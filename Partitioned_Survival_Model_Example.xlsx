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vateinterimname-my.sharepoint.com/personal/mirko_vonhein_privateinterimname_onmicrosoft_com/Documents/YouTube/research/PSM_Excel_Tutorial/online model/"/>
    </mc:Choice>
  </mc:AlternateContent>
  <xr:revisionPtr revIDLastSave="584" documentId="8_{9388B7A4-EFCA-441F-8697-72A578F97332}" xr6:coauthVersionLast="47" xr6:coauthVersionMax="47" xr10:uidLastSave="{9F00B7FA-9E39-4D4C-87B2-AFA91F6E1EA2}"/>
  <bookViews>
    <workbookView xWindow="-110" yWindow="-110" windowWidth="38620" windowHeight="21100" xr2:uid="{C05140CD-EA06-4CD3-AD66-BD610C9F52F1}"/>
  </bookViews>
  <sheets>
    <sheet name="Results" sheetId="7" r:id="rId1"/>
    <sheet name="Engine" sheetId="4" r:id="rId2"/>
    <sheet name="Life Tables" sheetId="6" r:id="rId3"/>
    <sheet name="Inputs" sheetId="5" r:id="rId4"/>
    <sheet name="Survival Parameters" sheetId="3" r:id="rId5"/>
    <sheet name="KM Data" sheetId="2" r:id="rId6"/>
    <sheet name="TTE" sheetId="1" r:id="rId7"/>
  </sheets>
  <definedNames>
    <definedName name="Days_per_Month">Inputs!$B$6</definedName>
    <definedName name="Days_per_Year">Inputs!$B$5</definedName>
    <definedName name="Discount_Rate">Inputs!$B$3</definedName>
    <definedName name="label_curves">Inputs!$D$10:$D$16</definedName>
    <definedName name="Max_Time_Horizon__in_Years">Inputs!$B$8</definedName>
    <definedName name="Min_Time_Horizon__5_Years___60_Months">Inputs!$B$7</definedName>
    <definedName name="Patient_Baseline_Age">Inputs!$B$2</definedName>
    <definedName name="PD_Cost_Annually">Inputs!$B$19</definedName>
    <definedName name="PD_Utility">Inputs!$B$16</definedName>
    <definedName name="Per_Cent_Female">Inputs!$B$13</definedName>
    <definedName name="PFS_Cost_Annually">Inputs!$B$18</definedName>
    <definedName name="PFS_Utility">Inputs!$B$15</definedName>
    <definedName name="Treatment_Acquisition_Cost__Annually">Inputs!$B$20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7" l="1"/>
  <c r="D32" i="7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9" i="4"/>
  <c r="R4" i="4"/>
  <c r="K4" i="4"/>
  <c r="L7" i="4" s="1" a="1"/>
  <c r="L7" i="4" s="1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9" i="4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8" i="6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9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10" i="4"/>
  <c r="C11" i="4"/>
  <c r="C10" i="4"/>
  <c r="B11" i="4" s="1"/>
  <c r="B4" i="5"/>
  <c r="B6" i="5"/>
  <c r="B12" i="4"/>
  <c r="C12" i="4" s="1"/>
  <c r="B13" i="4" s="1"/>
  <c r="C13" i="4" s="1"/>
  <c r="B14" i="4" s="1"/>
  <c r="C14" i="4" s="1"/>
  <c r="B15" i="4" s="1"/>
  <c r="C15" i="4" s="1"/>
  <c r="B16" i="4" s="1"/>
  <c r="C16" i="4" s="1"/>
  <c r="B17" i="4" s="1"/>
  <c r="C17" i="4" s="1"/>
  <c r="B18" i="4" s="1"/>
  <c r="C18" i="4" s="1"/>
  <c r="B19" i="4" s="1"/>
  <c r="C19" i="4" s="1"/>
  <c r="B20" i="4" s="1"/>
  <c r="C20" i="4" s="1"/>
  <c r="B21" i="4" s="1"/>
  <c r="C21" i="4" s="1"/>
  <c r="B22" i="4" s="1"/>
  <c r="C22" i="4" s="1"/>
  <c r="B23" i="4" s="1"/>
  <c r="C23" i="4" s="1"/>
  <c r="B24" i="4" s="1"/>
  <c r="C24" i="4" s="1"/>
  <c r="B25" i="4" s="1"/>
  <c r="C25" i="4" s="1"/>
  <c r="B26" i="4" s="1"/>
  <c r="C26" i="4" s="1"/>
  <c r="B27" i="4" s="1"/>
  <c r="C27" i="4" s="1"/>
  <c r="B28" i="4" s="1"/>
  <c r="C28" i="4" s="1"/>
  <c r="B29" i="4" s="1"/>
  <c r="C29" i="4" s="1"/>
  <c r="B30" i="4" s="1"/>
  <c r="C30" i="4" s="1"/>
  <c r="B31" i="4" s="1"/>
  <c r="C31" i="4" s="1"/>
  <c r="B32" i="4" s="1"/>
  <c r="C32" i="4" s="1"/>
  <c r="B33" i="4" s="1"/>
  <c r="C33" i="4" s="1"/>
  <c r="B34" i="4" s="1"/>
  <c r="C34" i="4" s="1"/>
  <c r="B35" i="4" s="1"/>
  <c r="C35" i="4" s="1"/>
  <c r="B36" i="4" s="1"/>
  <c r="C36" i="4" s="1"/>
  <c r="B37" i="4" s="1"/>
  <c r="C37" i="4" s="1"/>
  <c r="B38" i="4" s="1"/>
  <c r="C38" i="4" s="1"/>
  <c r="B39" i="4" s="1"/>
  <c r="C39" i="4" s="1"/>
  <c r="B40" i="4" s="1"/>
  <c r="C40" i="4" s="1"/>
  <c r="B41" i="4" s="1"/>
  <c r="C41" i="4" s="1"/>
  <c r="B42" i="4" s="1"/>
  <c r="C42" i="4" s="1"/>
  <c r="B43" i="4" s="1"/>
  <c r="C43" i="4" s="1"/>
  <c r="B44" i="4" s="1"/>
  <c r="C44" i="4" s="1"/>
  <c r="B45" i="4" s="1"/>
  <c r="C45" i="4" s="1"/>
  <c r="B46" i="4" s="1"/>
  <c r="C46" i="4" s="1"/>
  <c r="B47" i="4" s="1"/>
  <c r="C47" i="4" s="1"/>
  <c r="B48" i="4" s="1"/>
  <c r="C48" i="4" s="1"/>
  <c r="B49" i="4" s="1"/>
  <c r="C49" i="4" s="1"/>
  <c r="B50" i="4" s="1"/>
  <c r="C50" i="4" s="1"/>
  <c r="B51" i="4" s="1"/>
  <c r="C51" i="4" s="1"/>
  <c r="B52" i="4" s="1"/>
  <c r="C52" i="4" s="1"/>
  <c r="B53" i="4" s="1"/>
  <c r="C53" i="4" s="1"/>
  <c r="B54" i="4" s="1"/>
  <c r="C54" i="4" s="1"/>
  <c r="B55" i="4" s="1"/>
  <c r="C55" i="4" s="1"/>
  <c r="B56" i="4" s="1"/>
  <c r="C56" i="4" s="1"/>
  <c r="B57" i="4" s="1"/>
  <c r="C57" i="4" s="1"/>
  <c r="B58" i="4" s="1"/>
  <c r="C58" i="4" s="1"/>
  <c r="B59" i="4" s="1"/>
  <c r="C59" i="4" s="1"/>
  <c r="B60" i="4" s="1"/>
  <c r="C60" i="4" s="1"/>
  <c r="B61" i="4" s="1"/>
  <c r="C61" i="4" s="1"/>
  <c r="B62" i="4" s="1"/>
  <c r="C62" i="4" s="1"/>
  <c r="B63" i="4" s="1"/>
  <c r="C63" i="4" s="1"/>
  <c r="B64" i="4" s="1"/>
  <c r="C64" i="4" s="1"/>
  <c r="B65" i="4" s="1"/>
  <c r="C65" i="4" s="1"/>
  <c r="B66" i="4" s="1"/>
  <c r="C66" i="4" s="1"/>
  <c r="B67" i="4" s="1"/>
  <c r="C67" i="4" s="1"/>
  <c r="B68" i="4" s="1"/>
  <c r="C68" i="4" s="1"/>
  <c r="B69" i="4" s="1"/>
  <c r="C69" i="4" s="1"/>
  <c r="B70" i="4" s="1"/>
  <c r="C70" i="4" s="1"/>
  <c r="B71" i="4" s="1"/>
  <c r="C71" i="4" s="1"/>
  <c r="B72" i="4" s="1"/>
  <c r="C72" i="4" s="1"/>
  <c r="B73" i="4" s="1"/>
  <c r="C73" i="4" s="1"/>
  <c r="B74" i="4" s="1"/>
  <c r="C74" i="4" s="1"/>
  <c r="B75" i="4" s="1"/>
  <c r="C75" i="4" s="1"/>
  <c r="B76" i="4" s="1"/>
  <c r="C76" i="4" s="1"/>
  <c r="B77" i="4" s="1"/>
  <c r="C77" i="4" s="1"/>
  <c r="B78" i="4" s="1"/>
  <c r="C78" i="4" s="1"/>
  <c r="B79" i="4" s="1"/>
  <c r="C79" i="4" s="1"/>
  <c r="B80" i="4" s="1"/>
  <c r="C80" i="4" s="1"/>
  <c r="B81" i="4" s="1"/>
  <c r="C81" i="4" s="1"/>
  <c r="B82" i="4" s="1"/>
  <c r="C82" i="4" s="1"/>
  <c r="B83" i="4" s="1"/>
  <c r="C83" i="4" s="1"/>
  <c r="B84" i="4" s="1"/>
  <c r="C84" i="4" s="1"/>
  <c r="B85" i="4" s="1"/>
  <c r="C85" i="4" s="1"/>
  <c r="B86" i="4" s="1"/>
  <c r="C86" i="4" s="1"/>
  <c r="B87" i="4" s="1"/>
  <c r="C87" i="4" s="1"/>
  <c r="B88" i="4" s="1"/>
  <c r="C88" i="4" s="1"/>
  <c r="B89" i="4" s="1"/>
  <c r="C89" i="4" s="1"/>
  <c r="B90" i="4" s="1"/>
  <c r="C90" i="4" s="1"/>
  <c r="B91" i="4" s="1"/>
  <c r="C91" i="4" s="1"/>
  <c r="B92" i="4" s="1"/>
  <c r="C92" i="4" s="1"/>
  <c r="B93" i="4" s="1"/>
  <c r="C93" i="4" s="1"/>
  <c r="B94" i="4" s="1"/>
  <c r="C94" i="4" s="1"/>
  <c r="B95" i="4" s="1"/>
  <c r="C95" i="4" s="1"/>
  <c r="B96" i="4" s="1"/>
  <c r="C96" i="4" s="1"/>
  <c r="B97" i="4" s="1"/>
  <c r="C97" i="4" s="1"/>
  <c r="B98" i="4" s="1"/>
  <c r="C98" i="4" s="1"/>
  <c r="B99" i="4" s="1"/>
  <c r="C99" i="4" s="1"/>
  <c r="B100" i="4" s="1"/>
  <c r="C100" i="4" s="1"/>
  <c r="B101" i="4" s="1"/>
  <c r="C101" i="4" s="1"/>
  <c r="B102" i="4" s="1"/>
  <c r="C102" i="4" s="1"/>
  <c r="B103" i="4" s="1"/>
  <c r="C103" i="4" s="1"/>
  <c r="B104" i="4" s="1"/>
  <c r="C104" i="4" s="1"/>
  <c r="B105" i="4" s="1"/>
  <c r="C105" i="4" s="1"/>
  <c r="B106" i="4" s="1"/>
  <c r="C106" i="4" s="1"/>
  <c r="B107" i="4" s="1"/>
  <c r="C107" i="4" s="1"/>
  <c r="B108" i="4" s="1"/>
  <c r="C108" i="4" s="1"/>
  <c r="B109" i="4" s="1"/>
  <c r="C109" i="4" s="1"/>
  <c r="B110" i="4" s="1"/>
  <c r="C110" i="4" s="1"/>
  <c r="B111" i="4" s="1"/>
  <c r="C111" i="4" s="1"/>
  <c r="B112" i="4" s="1"/>
  <c r="C112" i="4" s="1"/>
  <c r="B113" i="4" s="1"/>
  <c r="C113" i="4" s="1"/>
  <c r="B114" i="4" s="1"/>
  <c r="C114" i="4" s="1"/>
  <c r="B115" i="4" s="1"/>
  <c r="C115" i="4" s="1"/>
  <c r="B116" i="4" s="1"/>
  <c r="C116" i="4" s="1"/>
  <c r="B117" i="4" s="1"/>
  <c r="C117" i="4" s="1"/>
  <c r="B118" i="4" s="1"/>
  <c r="C118" i="4" s="1"/>
  <c r="B119" i="4" s="1"/>
  <c r="C119" i="4" s="1"/>
  <c r="B120" i="4" s="1"/>
  <c r="C120" i="4" s="1"/>
  <c r="B121" i="4" s="1"/>
  <c r="C121" i="4" s="1"/>
  <c r="B122" i="4" s="1"/>
  <c r="C122" i="4" s="1"/>
  <c r="B123" i="4" s="1"/>
  <c r="C123" i="4" s="1"/>
  <c r="B124" i="4" s="1"/>
  <c r="C124" i="4" s="1"/>
  <c r="B125" i="4" s="1"/>
  <c r="C125" i="4" s="1"/>
  <c r="B126" i="4" s="1"/>
  <c r="C126" i="4" s="1"/>
  <c r="B127" i="4" s="1"/>
  <c r="C127" i="4" s="1"/>
  <c r="B128" i="4" s="1"/>
  <c r="C128" i="4" s="1"/>
  <c r="B129" i="4" s="1"/>
  <c r="C129" i="4" s="1"/>
  <c r="B130" i="4" s="1"/>
  <c r="C130" i="4" s="1"/>
  <c r="B131" i="4" s="1"/>
  <c r="C131" i="4" s="1"/>
  <c r="B132" i="4" s="1"/>
  <c r="C132" i="4" s="1"/>
  <c r="B133" i="4" s="1"/>
  <c r="C133" i="4" s="1"/>
  <c r="B134" i="4" s="1"/>
  <c r="C134" i="4" s="1"/>
  <c r="B135" i="4" s="1"/>
  <c r="C135" i="4" s="1"/>
  <c r="B136" i="4" s="1"/>
  <c r="C136" i="4" s="1"/>
  <c r="B137" i="4" s="1"/>
  <c r="C137" i="4" s="1"/>
  <c r="B138" i="4" s="1"/>
  <c r="C138" i="4" s="1"/>
  <c r="B139" i="4" s="1"/>
  <c r="C139" i="4" s="1"/>
  <c r="B140" i="4" s="1"/>
  <c r="C140" i="4" s="1"/>
  <c r="B141" i="4" s="1"/>
  <c r="C141" i="4" s="1"/>
  <c r="B142" i="4" s="1"/>
  <c r="C142" i="4" s="1"/>
  <c r="B143" i="4" s="1"/>
  <c r="C143" i="4" s="1"/>
  <c r="B144" i="4" s="1"/>
  <c r="C144" i="4" s="1"/>
  <c r="B145" i="4" s="1"/>
  <c r="C145" i="4" s="1"/>
  <c r="B146" i="4" s="1"/>
  <c r="C146" i="4" s="1"/>
  <c r="B147" i="4" s="1"/>
  <c r="C147" i="4" s="1"/>
  <c r="B148" i="4" s="1"/>
  <c r="C148" i="4" s="1"/>
  <c r="B149" i="4" s="1"/>
  <c r="C149" i="4" s="1"/>
  <c r="B150" i="4" s="1"/>
  <c r="C150" i="4" s="1"/>
  <c r="B151" i="4" s="1"/>
  <c r="C151" i="4" s="1"/>
  <c r="B152" i="4" s="1"/>
  <c r="C152" i="4" s="1"/>
  <c r="B153" i="4" s="1"/>
  <c r="C153" i="4" s="1"/>
  <c r="B154" i="4" s="1"/>
  <c r="C154" i="4" s="1"/>
  <c r="B155" i="4" s="1"/>
  <c r="C155" i="4" s="1"/>
  <c r="B156" i="4" s="1"/>
  <c r="C156" i="4" s="1"/>
  <c r="B157" i="4" s="1"/>
  <c r="C157" i="4" s="1"/>
  <c r="B158" i="4" s="1"/>
  <c r="C158" i="4" s="1"/>
  <c r="B159" i="4" s="1"/>
  <c r="C159" i="4" s="1"/>
  <c r="B160" i="4" s="1"/>
  <c r="C160" i="4" s="1"/>
  <c r="B161" i="4" s="1"/>
  <c r="C161" i="4" s="1"/>
  <c r="B162" i="4" s="1"/>
  <c r="C162" i="4" s="1"/>
  <c r="B163" i="4" s="1"/>
  <c r="C163" i="4" s="1"/>
  <c r="B164" i="4" s="1"/>
  <c r="C164" i="4" s="1"/>
  <c r="B165" i="4" s="1"/>
  <c r="C165" i="4" s="1"/>
  <c r="B166" i="4" s="1"/>
  <c r="C166" i="4" s="1"/>
  <c r="B167" i="4" s="1"/>
  <c r="C167" i="4" s="1"/>
  <c r="B168" i="4" s="1"/>
  <c r="C168" i="4" s="1"/>
  <c r="B169" i="4" s="1"/>
  <c r="C169" i="4" s="1"/>
  <c r="B170" i="4" s="1"/>
  <c r="C170" i="4" s="1"/>
  <c r="B171" i="4" s="1"/>
  <c r="C171" i="4" s="1"/>
  <c r="B172" i="4" s="1"/>
  <c r="C172" i="4" s="1"/>
  <c r="B173" i="4" s="1"/>
  <c r="C173" i="4" s="1"/>
  <c r="B174" i="4" s="1"/>
  <c r="C174" i="4" s="1"/>
  <c r="B175" i="4" s="1"/>
  <c r="C175" i="4" s="1"/>
  <c r="B176" i="4" s="1"/>
  <c r="C176" i="4" s="1"/>
  <c r="B177" i="4" s="1"/>
  <c r="C177" i="4" s="1"/>
  <c r="B178" i="4" s="1"/>
  <c r="C178" i="4" s="1"/>
  <c r="B179" i="4" s="1"/>
  <c r="C179" i="4" s="1"/>
  <c r="B180" i="4" s="1"/>
  <c r="C180" i="4" s="1"/>
  <c r="B181" i="4" s="1"/>
  <c r="C181" i="4" s="1"/>
  <c r="B182" i="4" s="1"/>
  <c r="C182" i="4" s="1"/>
  <c r="B183" i="4" s="1"/>
  <c r="C183" i="4" s="1"/>
  <c r="B184" i="4" s="1"/>
  <c r="C184" i="4" s="1"/>
  <c r="B185" i="4" s="1"/>
  <c r="C185" i="4" s="1"/>
  <c r="B186" i="4" s="1"/>
  <c r="C186" i="4" s="1"/>
  <c r="B187" i="4" s="1"/>
  <c r="C187" i="4" s="1"/>
  <c r="B188" i="4" s="1"/>
  <c r="C188" i="4" s="1"/>
  <c r="B189" i="4" s="1"/>
  <c r="C189" i="4" s="1"/>
  <c r="B190" i="4" s="1"/>
  <c r="C190" i="4" s="1"/>
  <c r="B191" i="4" s="1"/>
  <c r="C191" i="4" s="1"/>
  <c r="B192" i="4" s="1"/>
  <c r="C192" i="4" s="1"/>
  <c r="B193" i="4" s="1"/>
  <c r="C193" i="4" s="1"/>
  <c r="B194" i="4" s="1"/>
  <c r="C194" i="4" s="1"/>
  <c r="B195" i="4" s="1"/>
  <c r="C195" i="4" s="1"/>
  <c r="B196" i="4" s="1"/>
  <c r="C196" i="4" s="1"/>
  <c r="B197" i="4" s="1"/>
  <c r="C197" i="4" s="1"/>
  <c r="B198" i="4" s="1"/>
  <c r="C198" i="4" s="1"/>
  <c r="B199" i="4" s="1"/>
  <c r="C199" i="4" s="1"/>
  <c r="B200" i="4" s="1"/>
  <c r="C200" i="4" s="1"/>
  <c r="B201" i="4" s="1"/>
  <c r="C201" i="4" s="1"/>
  <c r="B202" i="4" s="1"/>
  <c r="C202" i="4" s="1"/>
  <c r="B203" i="4" s="1"/>
  <c r="C203" i="4" s="1"/>
  <c r="B204" i="4" s="1"/>
  <c r="C204" i="4" s="1"/>
  <c r="B205" i="4" s="1"/>
  <c r="C205" i="4" s="1"/>
  <c r="B206" i="4" s="1"/>
  <c r="C206" i="4" s="1"/>
  <c r="B207" i="4" s="1"/>
  <c r="C207" i="4" s="1"/>
  <c r="B208" i="4" s="1"/>
  <c r="C208" i="4" s="1"/>
  <c r="B209" i="4" s="1"/>
  <c r="C209" i="4" s="1"/>
  <c r="B210" i="4" s="1"/>
  <c r="C210" i="4" s="1"/>
  <c r="B211" i="4" s="1"/>
  <c r="C211" i="4" s="1"/>
  <c r="B212" i="4" s="1"/>
  <c r="C212" i="4" s="1"/>
  <c r="B213" i="4" s="1"/>
  <c r="C213" i="4" s="1"/>
  <c r="B214" i="4" s="1"/>
  <c r="C214" i="4" s="1"/>
  <c r="B215" i="4" s="1"/>
  <c r="C215" i="4" s="1"/>
  <c r="B216" i="4" s="1"/>
  <c r="C216" i="4" s="1"/>
  <c r="B217" i="4" s="1"/>
  <c r="C217" i="4" s="1"/>
  <c r="B218" i="4" s="1"/>
  <c r="C218" i="4" s="1"/>
  <c r="B219" i="4" s="1"/>
  <c r="C219" i="4" s="1"/>
  <c r="B220" i="4" s="1"/>
  <c r="C220" i="4" s="1"/>
  <c r="B221" i="4" s="1"/>
  <c r="C221" i="4" s="1"/>
  <c r="B222" i="4" s="1"/>
  <c r="C222" i="4" s="1"/>
  <c r="B223" i="4" s="1"/>
  <c r="C223" i="4" s="1"/>
  <c r="B224" i="4" s="1"/>
  <c r="C224" i="4" s="1"/>
  <c r="B225" i="4" s="1"/>
  <c r="C225" i="4" s="1"/>
  <c r="B226" i="4" s="1"/>
  <c r="C226" i="4" s="1"/>
  <c r="B227" i="4" s="1"/>
  <c r="C227" i="4" s="1"/>
  <c r="B228" i="4" s="1"/>
  <c r="C228" i="4" s="1"/>
  <c r="B229" i="4" s="1"/>
  <c r="C229" i="4" s="1"/>
  <c r="B230" i="4" s="1"/>
  <c r="C230" i="4" s="1"/>
  <c r="B231" i="4" s="1"/>
  <c r="C231" i="4" s="1"/>
  <c r="B232" i="4" s="1"/>
  <c r="C232" i="4" s="1"/>
  <c r="B233" i="4" s="1"/>
  <c r="C233" i="4" s="1"/>
  <c r="B234" i="4" s="1"/>
  <c r="C234" i="4" s="1"/>
  <c r="B235" i="4" s="1"/>
  <c r="C235" i="4" s="1"/>
  <c r="B236" i="4" s="1"/>
  <c r="C236" i="4" s="1"/>
  <c r="B237" i="4" s="1"/>
  <c r="C237" i="4" s="1"/>
  <c r="B238" i="4" s="1"/>
  <c r="C238" i="4" s="1"/>
  <c r="B239" i="4" s="1"/>
  <c r="C239" i="4" s="1"/>
  <c r="B240" i="4" s="1"/>
  <c r="C240" i="4" s="1"/>
  <c r="B241" i="4" s="1"/>
  <c r="C241" i="4" s="1"/>
  <c r="B242" i="4" s="1"/>
  <c r="C242" i="4" s="1"/>
  <c r="B243" i="4" s="1"/>
  <c r="C243" i="4" s="1"/>
  <c r="B244" i="4" s="1"/>
  <c r="C244" i="4" s="1"/>
  <c r="B245" i="4" s="1"/>
  <c r="C245" i="4" s="1"/>
  <c r="B246" i="4" s="1"/>
  <c r="C246" i="4" s="1"/>
  <c r="B247" i="4" s="1"/>
  <c r="C247" i="4" s="1"/>
  <c r="B248" i="4" s="1"/>
  <c r="C248" i="4" s="1"/>
  <c r="B249" i="4" s="1"/>
  <c r="C249" i="4" s="1"/>
  <c r="B250" i="4" s="1"/>
  <c r="C250" i="4" s="1"/>
  <c r="B251" i="4" s="1"/>
  <c r="C251" i="4" s="1"/>
  <c r="B252" i="4" s="1"/>
  <c r="C252" i="4" s="1"/>
  <c r="B253" i="4" s="1"/>
  <c r="C253" i="4" s="1"/>
  <c r="B254" i="4" s="1"/>
  <c r="C254" i="4" s="1"/>
  <c r="B255" i="4" s="1"/>
  <c r="C255" i="4" s="1"/>
  <c r="B256" i="4" s="1"/>
  <c r="C256" i="4" s="1"/>
  <c r="B257" i="4" s="1"/>
  <c r="C257" i="4" s="1"/>
  <c r="B258" i="4" s="1"/>
  <c r="C258" i="4" s="1"/>
  <c r="B259" i="4" s="1"/>
  <c r="C259" i="4" s="1"/>
  <c r="B260" i="4" s="1"/>
  <c r="C260" i="4" s="1"/>
  <c r="B261" i="4" s="1"/>
  <c r="C261" i="4" s="1"/>
  <c r="B262" i="4" s="1"/>
  <c r="C262" i="4" s="1"/>
  <c r="B263" i="4" s="1"/>
  <c r="C263" i="4" s="1"/>
  <c r="B264" i="4" s="1"/>
  <c r="C264" i="4" s="1"/>
  <c r="B265" i="4" s="1"/>
  <c r="C265" i="4" s="1"/>
  <c r="B266" i="4" s="1"/>
  <c r="C266" i="4" s="1"/>
  <c r="B267" i="4" s="1"/>
  <c r="C267" i="4" s="1"/>
  <c r="B268" i="4" s="1"/>
  <c r="C268" i="4" s="1"/>
  <c r="B269" i="4" s="1"/>
  <c r="C269" i="4" s="1"/>
  <c r="B270" i="4" s="1"/>
  <c r="C270" i="4" s="1"/>
  <c r="B271" i="4" s="1"/>
  <c r="C271" i="4" s="1"/>
  <c r="B272" i="4" s="1"/>
  <c r="C272" i="4" s="1"/>
  <c r="B273" i="4" s="1"/>
  <c r="C273" i="4" s="1"/>
  <c r="B274" i="4" s="1"/>
  <c r="C274" i="4" s="1"/>
  <c r="B275" i="4" s="1"/>
  <c r="C275" i="4" s="1"/>
  <c r="B276" i="4" s="1"/>
  <c r="C276" i="4" s="1"/>
  <c r="B277" i="4" s="1"/>
  <c r="C277" i="4" s="1"/>
  <c r="B278" i="4" s="1"/>
  <c r="C278" i="4" s="1"/>
  <c r="B279" i="4" s="1"/>
  <c r="C279" i="4" s="1"/>
  <c r="B280" i="4" s="1"/>
  <c r="C280" i="4" s="1"/>
  <c r="B281" i="4" s="1"/>
  <c r="C281" i="4" s="1"/>
  <c r="B282" i="4" s="1"/>
  <c r="C282" i="4" s="1"/>
  <c r="B283" i="4" s="1"/>
  <c r="C283" i="4" s="1"/>
  <c r="B284" i="4" s="1"/>
  <c r="C284" i="4" s="1"/>
  <c r="B285" i="4" s="1"/>
  <c r="C285" i="4" s="1"/>
  <c r="B286" i="4" s="1"/>
  <c r="C286" i="4" s="1"/>
  <c r="B287" i="4" s="1"/>
  <c r="C287" i="4" s="1"/>
  <c r="B288" i="4" s="1"/>
  <c r="C288" i="4" s="1"/>
  <c r="B289" i="4" s="1"/>
  <c r="C289" i="4" s="1"/>
  <c r="B290" i="4" s="1"/>
  <c r="C290" i="4" s="1"/>
  <c r="B291" i="4" s="1"/>
  <c r="C291" i="4" s="1"/>
  <c r="B292" i="4" s="1"/>
  <c r="C292" i="4" s="1"/>
  <c r="B293" i="4" s="1"/>
  <c r="C293" i="4" s="1"/>
  <c r="B294" i="4" s="1"/>
  <c r="C294" i="4" s="1"/>
  <c r="B295" i="4" s="1"/>
  <c r="C295" i="4" s="1"/>
  <c r="B296" i="4" s="1"/>
  <c r="C296" i="4" s="1"/>
  <c r="B297" i="4" s="1"/>
  <c r="C297" i="4" s="1"/>
  <c r="B298" i="4" s="1"/>
  <c r="C298" i="4" s="1"/>
  <c r="B299" i="4" s="1"/>
  <c r="C299" i="4" s="1"/>
  <c r="B300" i="4" s="1"/>
  <c r="C300" i="4" s="1"/>
  <c r="B301" i="4" s="1"/>
  <c r="C301" i="4" s="1"/>
  <c r="B302" i="4" s="1"/>
  <c r="C302" i="4" s="1"/>
  <c r="B303" i="4" s="1"/>
  <c r="C303" i="4" s="1"/>
  <c r="B304" i="4" s="1"/>
  <c r="C304" i="4" s="1"/>
  <c r="B305" i="4" s="1"/>
  <c r="C305" i="4" s="1"/>
  <c r="B306" i="4" s="1"/>
  <c r="C306" i="4" s="1"/>
  <c r="B307" i="4" s="1"/>
  <c r="C307" i="4" s="1"/>
  <c r="B308" i="4" s="1"/>
  <c r="C308" i="4" s="1"/>
  <c r="B309" i="4" s="1"/>
  <c r="C309" i="4" s="1"/>
  <c r="B310" i="4" s="1"/>
  <c r="C310" i="4" s="1"/>
  <c r="B311" i="4" s="1"/>
  <c r="C311" i="4" s="1"/>
  <c r="B312" i="4" s="1"/>
  <c r="C312" i="4" s="1"/>
  <c r="B313" i="4" s="1"/>
  <c r="C313" i="4" s="1"/>
  <c r="B314" i="4" s="1"/>
  <c r="C314" i="4" s="1"/>
  <c r="B315" i="4" s="1"/>
  <c r="C315" i="4" s="1"/>
  <c r="B316" i="4" s="1"/>
  <c r="C316" i="4" s="1"/>
  <c r="B317" i="4" s="1"/>
  <c r="C317" i="4" s="1"/>
  <c r="B318" i="4" s="1"/>
  <c r="C318" i="4" s="1"/>
  <c r="B319" i="4" s="1"/>
  <c r="C319" i="4" s="1"/>
  <c r="B320" i="4" s="1"/>
  <c r="C320" i="4" s="1"/>
  <c r="B321" i="4" s="1"/>
  <c r="C321" i="4" s="1"/>
  <c r="B322" i="4" s="1"/>
  <c r="C322" i="4" s="1"/>
  <c r="B323" i="4" s="1"/>
  <c r="C323" i="4" s="1"/>
  <c r="B324" i="4" s="1"/>
  <c r="C324" i="4" s="1"/>
  <c r="B325" i="4" s="1"/>
  <c r="C325" i="4" s="1"/>
  <c r="B326" i="4" s="1"/>
  <c r="C326" i="4" s="1"/>
  <c r="B327" i="4" s="1"/>
  <c r="C327" i="4" s="1"/>
  <c r="B328" i="4" s="1"/>
  <c r="C328" i="4" s="1"/>
  <c r="B329" i="4" s="1"/>
  <c r="C329" i="4" s="1"/>
  <c r="B330" i="4" s="1"/>
  <c r="C330" i="4" s="1"/>
  <c r="B331" i="4" s="1"/>
  <c r="C331" i="4" s="1"/>
  <c r="B332" i="4" s="1"/>
  <c r="C332" i="4" s="1"/>
  <c r="B333" i="4" s="1"/>
  <c r="C333" i="4" s="1"/>
  <c r="B334" i="4" s="1"/>
  <c r="C334" i="4" s="1"/>
  <c r="B335" i="4" s="1"/>
  <c r="C335" i="4" s="1"/>
  <c r="B336" i="4" s="1"/>
  <c r="C336" i="4" s="1"/>
  <c r="B337" i="4" s="1"/>
  <c r="C337" i="4" s="1"/>
  <c r="B338" i="4" s="1"/>
  <c r="C338" i="4" s="1"/>
  <c r="B339" i="4" s="1"/>
  <c r="C339" i="4" s="1"/>
  <c r="B340" i="4" s="1"/>
  <c r="C340" i="4" s="1"/>
  <c r="B341" i="4" s="1"/>
  <c r="C341" i="4" s="1"/>
  <c r="B342" i="4" s="1"/>
  <c r="C342" i="4" s="1"/>
  <c r="B343" i="4" s="1"/>
  <c r="C343" i="4" s="1"/>
  <c r="B344" i="4" s="1"/>
  <c r="C344" i="4" s="1"/>
  <c r="B345" i="4" s="1"/>
  <c r="C345" i="4" s="1"/>
  <c r="B346" i="4" s="1"/>
  <c r="C346" i="4" s="1"/>
  <c r="B347" i="4" s="1"/>
  <c r="C347" i="4" s="1"/>
  <c r="B348" i="4" s="1"/>
  <c r="C348" i="4" s="1"/>
  <c r="B349" i="4" s="1"/>
  <c r="C349" i="4" s="1"/>
  <c r="B350" i="4" s="1"/>
  <c r="C350" i="4" s="1"/>
  <c r="B351" i="4" s="1"/>
  <c r="C351" i="4" s="1"/>
  <c r="B352" i="4" s="1"/>
  <c r="C352" i="4" s="1"/>
  <c r="B353" i="4" s="1"/>
  <c r="C353" i="4" s="1"/>
  <c r="B354" i="4" s="1"/>
  <c r="C354" i="4" s="1"/>
  <c r="B355" i="4" s="1"/>
  <c r="C355" i="4" s="1"/>
  <c r="B356" i="4" s="1"/>
  <c r="C356" i="4" s="1"/>
  <c r="B357" i="4" s="1"/>
  <c r="C357" i="4" s="1"/>
  <c r="B358" i="4" s="1"/>
  <c r="C358" i="4" s="1"/>
  <c r="B359" i="4" s="1"/>
  <c r="C359" i="4" s="1"/>
  <c r="B360" i="4" s="1"/>
  <c r="C360" i="4" s="1"/>
  <c r="B361" i="4" s="1"/>
  <c r="C361" i="4" s="1"/>
  <c r="B362" i="4" s="1"/>
  <c r="C362" i="4" s="1"/>
  <c r="B363" i="4" s="1"/>
  <c r="C363" i="4" s="1"/>
  <c r="B364" i="4" s="1"/>
  <c r="C364" i="4" s="1"/>
  <c r="B365" i="4" s="1"/>
  <c r="C365" i="4" s="1"/>
  <c r="B366" i="4" s="1"/>
  <c r="C366" i="4" s="1"/>
  <c r="B367" i="4" s="1"/>
  <c r="C367" i="4" s="1"/>
  <c r="B368" i="4" s="1"/>
  <c r="C368" i="4" s="1"/>
  <c r="B369" i="4" s="1"/>
  <c r="C369" i="4" s="1"/>
  <c r="B370" i="4" s="1"/>
  <c r="C370" i="4" s="1"/>
  <c r="B371" i="4" s="1"/>
  <c r="C371" i="4" s="1"/>
  <c r="B372" i="4" s="1"/>
  <c r="C372" i="4" s="1"/>
  <c r="B373" i="4" s="1"/>
  <c r="C373" i="4" s="1"/>
  <c r="B374" i="4" s="1"/>
  <c r="C374" i="4" s="1"/>
  <c r="B375" i="4" s="1"/>
  <c r="C375" i="4" s="1"/>
  <c r="B376" i="4" s="1"/>
  <c r="C376" i="4" s="1"/>
  <c r="B377" i="4" s="1"/>
  <c r="C377" i="4" s="1"/>
  <c r="B378" i="4" s="1"/>
  <c r="C378" i="4" s="1"/>
  <c r="B379" i="4" s="1"/>
  <c r="C379" i="4" s="1"/>
  <c r="B380" i="4" s="1"/>
  <c r="C380" i="4" s="1"/>
  <c r="B381" i="4" s="1"/>
  <c r="C381" i="4" s="1"/>
  <c r="B382" i="4" s="1"/>
  <c r="C382" i="4" s="1"/>
  <c r="B383" i="4" s="1"/>
  <c r="C383" i="4" s="1"/>
  <c r="B384" i="4" s="1"/>
  <c r="C384" i="4" s="1"/>
  <c r="B385" i="4" s="1"/>
  <c r="C385" i="4" s="1"/>
  <c r="B386" i="4" s="1"/>
  <c r="C386" i="4" s="1"/>
  <c r="B387" i="4" s="1"/>
  <c r="C387" i="4" s="1"/>
  <c r="B388" i="4" s="1"/>
  <c r="C388" i="4" s="1"/>
  <c r="B389" i="4" s="1"/>
  <c r="C389" i="4" s="1"/>
  <c r="B390" i="4" s="1"/>
  <c r="C390" i="4" s="1"/>
  <c r="B391" i="4" s="1"/>
  <c r="C391" i="4" s="1"/>
  <c r="B392" i="4" s="1"/>
  <c r="C392" i="4" s="1"/>
  <c r="B393" i="4" s="1"/>
  <c r="C393" i="4" s="1"/>
  <c r="B394" i="4" s="1"/>
  <c r="C394" i="4" s="1"/>
  <c r="B395" i="4" s="1"/>
  <c r="C395" i="4" s="1"/>
  <c r="B396" i="4" s="1"/>
  <c r="C396" i="4" s="1"/>
  <c r="B397" i="4" s="1"/>
  <c r="C397" i="4" s="1"/>
  <c r="B398" i="4" s="1"/>
  <c r="C398" i="4" s="1"/>
  <c r="B399" i="4" s="1"/>
  <c r="C399" i="4" s="1"/>
  <c r="B400" i="4" s="1"/>
  <c r="C400" i="4" s="1"/>
  <c r="B401" i="4" s="1"/>
  <c r="C401" i="4" s="1"/>
  <c r="B402" i="4" s="1"/>
  <c r="C402" i="4" s="1"/>
  <c r="B403" i="4" s="1"/>
  <c r="C403" i="4" s="1"/>
  <c r="B404" i="4" s="1"/>
  <c r="C404" i="4" s="1"/>
  <c r="B405" i="4" s="1"/>
  <c r="C405" i="4" s="1"/>
  <c r="B406" i="4" s="1"/>
  <c r="C406" i="4" s="1"/>
  <c r="B407" i="4" s="1"/>
  <c r="C407" i="4" s="1"/>
  <c r="B408" i="4" s="1"/>
  <c r="C408" i="4" s="1"/>
  <c r="B409" i="4" s="1"/>
  <c r="C409" i="4" s="1"/>
  <c r="B410" i="4" s="1"/>
  <c r="C410" i="4" s="1"/>
  <c r="B411" i="4" s="1"/>
  <c r="C411" i="4" s="1"/>
  <c r="B412" i="4" s="1"/>
  <c r="C412" i="4" s="1"/>
  <c r="B413" i="4" s="1"/>
  <c r="C413" i="4" s="1"/>
  <c r="B414" i="4" s="1"/>
  <c r="C414" i="4" s="1"/>
  <c r="B415" i="4" s="1"/>
  <c r="C415" i="4" s="1"/>
  <c r="B416" i="4" s="1"/>
  <c r="C416" i="4" s="1"/>
  <c r="B417" i="4" s="1"/>
  <c r="C417" i="4" s="1"/>
  <c r="B418" i="4" s="1"/>
  <c r="C418" i="4" s="1"/>
  <c r="B419" i="4" s="1"/>
  <c r="C419" i="4" s="1"/>
  <c r="B420" i="4" s="1"/>
  <c r="C420" i="4" s="1"/>
  <c r="B421" i="4" s="1"/>
  <c r="C421" i="4" s="1"/>
  <c r="B422" i="4" s="1"/>
  <c r="C422" i="4" s="1"/>
  <c r="B423" i="4" s="1"/>
  <c r="C423" i="4" s="1"/>
  <c r="B424" i="4" s="1"/>
  <c r="C424" i="4" s="1"/>
  <c r="B425" i="4" s="1"/>
  <c r="C425" i="4" s="1"/>
  <c r="B426" i="4" s="1"/>
  <c r="C426" i="4" s="1"/>
  <c r="B427" i="4" s="1"/>
  <c r="C427" i="4" s="1"/>
  <c r="B428" i="4" s="1"/>
  <c r="C428" i="4" s="1"/>
  <c r="B429" i="4" s="1"/>
  <c r="C429" i="4" s="1"/>
  <c r="B430" i="4" s="1"/>
  <c r="C430" i="4" s="1"/>
  <c r="B431" i="4" s="1"/>
  <c r="C431" i="4" s="1"/>
  <c r="B432" i="4" s="1"/>
  <c r="C432" i="4" s="1"/>
  <c r="B433" i="4" s="1"/>
  <c r="C433" i="4" s="1"/>
  <c r="B434" i="4" s="1"/>
  <c r="C434" i="4" s="1"/>
  <c r="B435" i="4" s="1"/>
  <c r="C435" i="4" s="1"/>
  <c r="B436" i="4" s="1"/>
  <c r="C436" i="4" s="1"/>
  <c r="B437" i="4" s="1"/>
  <c r="C437" i="4" s="1"/>
  <c r="B438" i="4" s="1"/>
  <c r="C438" i="4" s="1"/>
  <c r="B439" i="4" s="1"/>
  <c r="C439" i="4" s="1"/>
  <c r="B440" i="4" s="1"/>
  <c r="C440" i="4" s="1"/>
  <c r="B441" i="4" s="1"/>
  <c r="C441" i="4" s="1"/>
  <c r="B442" i="4" s="1"/>
  <c r="C442" i="4" s="1"/>
  <c r="B443" i="4" s="1"/>
  <c r="C443" i="4" s="1"/>
  <c r="B444" i="4" s="1"/>
  <c r="C444" i="4" s="1"/>
  <c r="B445" i="4" s="1"/>
  <c r="C445" i="4" s="1"/>
  <c r="B446" i="4" s="1"/>
  <c r="C446" i="4" s="1"/>
  <c r="B447" i="4" s="1"/>
  <c r="C447" i="4" s="1"/>
  <c r="B448" i="4" s="1"/>
  <c r="C448" i="4" s="1"/>
  <c r="B449" i="4" s="1"/>
  <c r="C449" i="4" s="1"/>
  <c r="B450" i="4" s="1"/>
  <c r="C450" i="4" s="1"/>
  <c r="B451" i="4" s="1"/>
  <c r="C451" i="4" s="1"/>
  <c r="B452" i="4" s="1"/>
  <c r="C452" i="4" s="1"/>
  <c r="B453" i="4" s="1"/>
  <c r="C453" i="4" s="1"/>
  <c r="B454" i="4" s="1"/>
  <c r="C454" i="4" s="1"/>
  <c r="B455" i="4" s="1"/>
  <c r="C455" i="4" s="1"/>
  <c r="B456" i="4" s="1"/>
  <c r="C456" i="4" s="1"/>
  <c r="B457" i="4" s="1"/>
  <c r="C457" i="4" s="1"/>
  <c r="B458" i="4" s="1"/>
  <c r="C458" i="4" s="1"/>
  <c r="B459" i="4" s="1"/>
  <c r="C459" i="4" s="1"/>
  <c r="B460" i="4" s="1"/>
  <c r="C460" i="4" s="1"/>
  <c r="B461" i="4" s="1"/>
  <c r="C461" i="4" s="1"/>
  <c r="B462" i="4" s="1"/>
  <c r="C462" i="4" s="1"/>
  <c r="B463" i="4" s="1"/>
  <c r="C463" i="4" s="1"/>
  <c r="B464" i="4" s="1"/>
  <c r="C464" i="4" s="1"/>
  <c r="B465" i="4" s="1"/>
  <c r="C465" i="4" s="1"/>
  <c r="B466" i="4" s="1"/>
  <c r="C466" i="4" s="1"/>
  <c r="B467" i="4" s="1"/>
  <c r="C467" i="4" s="1"/>
  <c r="B468" i="4" s="1"/>
  <c r="C468" i="4" s="1"/>
  <c r="B469" i="4" s="1"/>
  <c r="C469" i="4" s="1"/>
  <c r="B470" i="4" s="1"/>
  <c r="C470" i="4" s="1"/>
  <c r="B471" i="4" s="1"/>
  <c r="C471" i="4" s="1"/>
  <c r="B472" i="4" s="1"/>
  <c r="C472" i="4" s="1"/>
  <c r="B473" i="4" s="1"/>
  <c r="C473" i="4" s="1"/>
  <c r="B474" i="4" s="1"/>
  <c r="C474" i="4" s="1"/>
  <c r="B475" i="4" s="1"/>
  <c r="C475" i="4" s="1"/>
  <c r="B476" i="4" s="1"/>
  <c r="C476" i="4" s="1"/>
  <c r="B477" i="4" s="1"/>
  <c r="C477" i="4" s="1"/>
  <c r="B478" i="4" s="1"/>
  <c r="C478" i="4" s="1"/>
  <c r="B479" i="4" s="1"/>
  <c r="C479" i="4" s="1"/>
  <c r="B480" i="4" s="1"/>
  <c r="C480" i="4" s="1"/>
  <c r="B481" i="4" s="1"/>
  <c r="C481" i="4" s="1"/>
  <c r="B482" i="4" s="1"/>
  <c r="C482" i="4" s="1"/>
  <c r="B483" i="4" s="1"/>
  <c r="C483" i="4" s="1"/>
  <c r="B484" i="4" s="1"/>
  <c r="C484" i="4" s="1"/>
  <c r="B485" i="4" s="1"/>
  <c r="C485" i="4" s="1"/>
  <c r="B486" i="4" s="1"/>
  <c r="C486" i="4" s="1"/>
  <c r="B487" i="4" s="1"/>
  <c r="C487" i="4" s="1"/>
  <c r="B488" i="4" s="1"/>
  <c r="C488" i="4" s="1"/>
  <c r="B489" i="4" s="1"/>
  <c r="C489" i="4" s="1"/>
  <c r="B490" i="4" s="1"/>
  <c r="C490" i="4" s="1"/>
  <c r="B491" i="4" s="1"/>
  <c r="C491" i="4" s="1"/>
  <c r="B492" i="4" s="1"/>
  <c r="C492" i="4" s="1"/>
  <c r="B493" i="4" s="1"/>
  <c r="C493" i="4" s="1"/>
  <c r="B494" i="4" s="1"/>
  <c r="C494" i="4" s="1"/>
  <c r="B495" i="4" s="1"/>
  <c r="C495" i="4" s="1"/>
  <c r="B496" i="4" s="1"/>
  <c r="C496" i="4" s="1"/>
  <c r="B497" i="4" s="1"/>
  <c r="C497" i="4" s="1"/>
  <c r="B498" i="4" s="1"/>
  <c r="C498" i="4" s="1"/>
  <c r="B499" i="4" s="1"/>
  <c r="C499" i="4" s="1"/>
  <c r="B500" i="4" s="1"/>
  <c r="C500" i="4" s="1"/>
  <c r="B501" i="4" s="1"/>
  <c r="C501" i="4" s="1"/>
  <c r="B502" i="4" s="1"/>
  <c r="C502" i="4" s="1"/>
  <c r="B503" i="4" s="1"/>
  <c r="C503" i="4" s="1"/>
  <c r="B504" i="4" s="1"/>
  <c r="C504" i="4" s="1"/>
  <c r="B505" i="4" s="1"/>
  <c r="C505" i="4" s="1"/>
  <c r="B506" i="4" s="1"/>
  <c r="C506" i="4" s="1"/>
  <c r="B507" i="4" s="1"/>
  <c r="C507" i="4" s="1"/>
  <c r="B508" i="4" s="1"/>
  <c r="C508" i="4" s="1"/>
  <c r="B509" i="4" s="1"/>
  <c r="C509" i="4" s="1"/>
  <c r="B510" i="4" s="1"/>
  <c r="C510" i="4" s="1"/>
  <c r="B511" i="4" s="1"/>
  <c r="C511" i="4" s="1"/>
  <c r="B512" i="4" s="1"/>
  <c r="C512" i="4" s="1"/>
  <c r="B513" i="4" s="1"/>
  <c r="C513" i="4" s="1"/>
  <c r="B514" i="4" s="1"/>
  <c r="C514" i="4" s="1"/>
  <c r="B515" i="4" s="1"/>
  <c r="C515" i="4" s="1"/>
  <c r="B516" i="4" s="1"/>
  <c r="C516" i="4" s="1"/>
  <c r="B517" i="4" s="1"/>
  <c r="C517" i="4" s="1"/>
  <c r="B518" i="4" s="1"/>
  <c r="C518" i="4" s="1"/>
  <c r="B519" i="4" s="1"/>
  <c r="C519" i="4" s="1"/>
  <c r="B520" i="4" s="1"/>
  <c r="C520" i="4" s="1"/>
  <c r="B521" i="4" s="1"/>
  <c r="C521" i="4" s="1"/>
  <c r="B522" i="4" s="1"/>
  <c r="C522" i="4" s="1"/>
  <c r="B523" i="4" s="1"/>
  <c r="C523" i="4" s="1"/>
  <c r="B524" i="4" s="1"/>
  <c r="C524" i="4" s="1"/>
  <c r="B525" i="4" s="1"/>
  <c r="C525" i="4" s="1"/>
  <c r="B526" i="4" s="1"/>
  <c r="C526" i="4" s="1"/>
  <c r="B527" i="4" s="1"/>
  <c r="C527" i="4" s="1"/>
  <c r="B528" i="4" s="1"/>
  <c r="C528" i="4" s="1"/>
  <c r="B529" i="4" s="1"/>
  <c r="C529" i="4" s="1"/>
  <c r="B530" i="4" s="1"/>
  <c r="C530" i="4" s="1"/>
  <c r="B531" i="4" s="1"/>
  <c r="C531" i="4" s="1"/>
  <c r="B532" i="4" s="1"/>
  <c r="C532" i="4" s="1"/>
  <c r="B533" i="4" s="1"/>
  <c r="C533" i="4" s="1"/>
  <c r="B534" i="4" s="1"/>
  <c r="C534" i="4" s="1"/>
  <c r="B535" i="4" s="1"/>
  <c r="C535" i="4" s="1"/>
  <c r="B536" i="4" s="1"/>
  <c r="C536" i="4" s="1"/>
  <c r="B537" i="4" s="1"/>
  <c r="C537" i="4" s="1"/>
  <c r="B538" i="4" s="1"/>
  <c r="C538" i="4" s="1"/>
  <c r="B539" i="4" s="1"/>
  <c r="C539" i="4" s="1"/>
  <c r="B540" i="4" s="1"/>
  <c r="C540" i="4" s="1"/>
  <c r="B541" i="4" s="1"/>
  <c r="C541" i="4" s="1"/>
  <c r="B542" i="4" s="1"/>
  <c r="C542" i="4" s="1"/>
  <c r="B543" i="4" s="1"/>
  <c r="C543" i="4" s="1"/>
  <c r="B544" i="4" s="1"/>
  <c r="C544" i="4" s="1"/>
  <c r="B545" i="4" s="1"/>
  <c r="C545" i="4" s="1"/>
  <c r="B546" i="4" s="1"/>
  <c r="C546" i="4" s="1"/>
  <c r="B547" i="4" s="1"/>
  <c r="C547" i="4" s="1"/>
  <c r="B548" i="4" s="1"/>
  <c r="C548" i="4" s="1"/>
  <c r="B549" i="4" s="1"/>
  <c r="C549" i="4" s="1"/>
  <c r="B550" i="4" s="1"/>
  <c r="C550" i="4" s="1"/>
  <c r="B551" i="4" s="1"/>
  <c r="C551" i="4" s="1"/>
  <c r="B552" i="4" s="1"/>
  <c r="C552" i="4" s="1"/>
  <c r="B553" i="4" s="1"/>
  <c r="C553" i="4" s="1"/>
  <c r="B554" i="4" s="1"/>
  <c r="C554" i="4" s="1"/>
  <c r="B555" i="4" s="1"/>
  <c r="C555" i="4" s="1"/>
  <c r="B556" i="4" s="1"/>
  <c r="C556" i="4" s="1"/>
  <c r="B557" i="4" s="1"/>
  <c r="C557" i="4" s="1"/>
  <c r="B558" i="4" s="1"/>
  <c r="C558" i="4" s="1"/>
  <c r="B559" i="4" s="1"/>
  <c r="C559" i="4" s="1"/>
  <c r="B560" i="4" s="1"/>
  <c r="C560" i="4" s="1"/>
  <c r="B561" i="4" s="1"/>
  <c r="C561" i="4" s="1"/>
  <c r="B562" i="4" s="1"/>
  <c r="C562" i="4" s="1"/>
  <c r="B563" i="4" s="1"/>
  <c r="C563" i="4" s="1"/>
  <c r="B564" i="4" s="1"/>
  <c r="C564" i="4" s="1"/>
  <c r="B565" i="4" s="1"/>
  <c r="C565" i="4" s="1"/>
  <c r="B566" i="4" s="1"/>
  <c r="C566" i="4" s="1"/>
  <c r="B567" i="4" s="1"/>
  <c r="C567" i="4" s="1"/>
  <c r="B568" i="4" s="1"/>
  <c r="C568" i="4" s="1"/>
  <c r="B569" i="4" s="1"/>
  <c r="C569" i="4" s="1"/>
  <c r="B570" i="4" s="1"/>
  <c r="C570" i="4" s="1"/>
  <c r="B571" i="4" s="1"/>
  <c r="C571" i="4" s="1"/>
  <c r="B572" i="4" s="1"/>
  <c r="C572" i="4" s="1"/>
  <c r="B573" i="4" s="1"/>
  <c r="C573" i="4" s="1"/>
  <c r="B574" i="4" s="1"/>
  <c r="C574" i="4" s="1"/>
  <c r="B575" i="4" s="1"/>
  <c r="C575" i="4" s="1"/>
  <c r="B576" i="4" s="1"/>
  <c r="C576" i="4" s="1"/>
  <c r="B577" i="4" s="1"/>
  <c r="C577" i="4" s="1"/>
  <c r="B578" i="4" s="1"/>
  <c r="C578" i="4" s="1"/>
  <c r="B579" i="4" s="1"/>
  <c r="C579" i="4" s="1"/>
  <c r="B580" i="4" s="1"/>
  <c r="C580" i="4" s="1"/>
  <c r="B581" i="4" s="1"/>
  <c r="C581" i="4" s="1"/>
  <c r="B582" i="4" s="1"/>
  <c r="C582" i="4" s="1"/>
  <c r="B583" i="4" s="1"/>
  <c r="C583" i="4" s="1"/>
  <c r="B584" i="4" s="1"/>
  <c r="C584" i="4" s="1"/>
  <c r="B585" i="4" s="1"/>
  <c r="C585" i="4" s="1"/>
  <c r="B586" i="4" s="1"/>
  <c r="C586" i="4" s="1"/>
  <c r="B587" i="4" s="1"/>
  <c r="C587" i="4" s="1"/>
  <c r="B588" i="4" s="1"/>
  <c r="C588" i="4" s="1"/>
  <c r="B589" i="4" s="1"/>
  <c r="C589" i="4" s="1"/>
  <c r="B590" i="4" s="1"/>
  <c r="C590" i="4" s="1"/>
  <c r="B591" i="4" s="1"/>
  <c r="C591" i="4" s="1"/>
  <c r="B592" i="4" s="1"/>
  <c r="C592" i="4" s="1"/>
  <c r="B593" i="4" s="1"/>
  <c r="C593" i="4" s="1"/>
  <c r="B594" i="4" s="1"/>
  <c r="C594" i="4" s="1"/>
  <c r="B595" i="4" s="1"/>
  <c r="C595" i="4" s="1"/>
  <c r="B596" i="4" s="1"/>
  <c r="C596" i="4" s="1"/>
  <c r="B597" i="4" s="1"/>
  <c r="C597" i="4" s="1"/>
  <c r="B598" i="4" s="1"/>
  <c r="C598" i="4" s="1"/>
  <c r="B599" i="4" s="1"/>
  <c r="C599" i="4" s="1"/>
  <c r="B600" i="4" s="1"/>
  <c r="C600" i="4" s="1"/>
  <c r="B601" i="4" s="1"/>
  <c r="C601" i="4" s="1"/>
  <c r="B602" i="4" s="1"/>
  <c r="C602" i="4" s="1"/>
  <c r="B603" i="4" s="1"/>
  <c r="C603" i="4" s="1"/>
  <c r="B604" i="4" s="1"/>
  <c r="C604" i="4" s="1"/>
  <c r="B605" i="4" s="1"/>
  <c r="C605" i="4" s="1"/>
  <c r="B606" i="4" s="1"/>
  <c r="C606" i="4" s="1"/>
  <c r="B607" i="4" s="1"/>
  <c r="C607" i="4" s="1"/>
  <c r="B608" i="4" s="1"/>
  <c r="C608" i="4" s="1"/>
  <c r="B609" i="4" s="1"/>
  <c r="C609" i="4" s="1"/>
  <c r="B10" i="4"/>
  <c r="S7" i="4" l="1" a="1"/>
  <c r="S7" i="4" s="1"/>
  <c r="R5" i="4" a="1"/>
  <c r="R5" i="4" s="1"/>
  <c r="R6" i="4" a="1"/>
  <c r="R6" i="4" s="1"/>
  <c r="R7" i="4" a="1"/>
  <c r="R7" i="4" s="1"/>
  <c r="S5" i="4" a="1"/>
  <c r="S5" i="4" s="1"/>
  <c r="S103" i="4" s="1"/>
  <c r="S6" i="4" a="1"/>
  <c r="S6" i="4" s="1"/>
  <c r="K5" i="4" a="1"/>
  <c r="K5" i="4" s="1"/>
  <c r="K6" i="4" a="1"/>
  <c r="K6" i="4" s="1"/>
  <c r="K7" i="4" a="1"/>
  <c r="K7" i="4" s="1"/>
  <c r="L5" i="4" a="1"/>
  <c r="L5" i="4" s="1"/>
  <c r="L6" i="4" a="1"/>
  <c r="L6" i="4" s="1"/>
  <c r="L39" i="4" l="1"/>
  <c r="S572" i="4"/>
  <c r="S606" i="4"/>
  <c r="S609" i="4"/>
  <c r="S411" i="4"/>
  <c r="S41" i="4"/>
  <c r="S481" i="4"/>
  <c r="S601" i="4"/>
  <c r="S81" i="4"/>
  <c r="S128" i="4"/>
  <c r="S569" i="4"/>
  <c r="S171" i="4"/>
  <c r="S211" i="4"/>
  <c r="S120" i="4"/>
  <c r="S301" i="4"/>
  <c r="S531" i="4"/>
  <c r="S341" i="4"/>
  <c r="S537" i="4"/>
  <c r="S387" i="4"/>
  <c r="S466" i="4"/>
  <c r="S379" i="4"/>
  <c r="S508" i="4"/>
  <c r="S443" i="4"/>
  <c r="S545" i="4"/>
  <c r="S152" i="4"/>
  <c r="S51" i="4"/>
  <c r="S88" i="4"/>
  <c r="S96" i="4"/>
  <c r="S566" i="4"/>
  <c r="S604" i="4"/>
  <c r="S139" i="4"/>
  <c r="T102" i="4"/>
  <c r="S490" i="4"/>
  <c r="S38" i="4"/>
  <c r="S54" i="4"/>
  <c r="S527" i="4"/>
  <c r="S66" i="4"/>
  <c r="S102" i="4"/>
  <c r="S564" i="4"/>
  <c r="S34" i="4"/>
  <c r="S142" i="4"/>
  <c r="L226" i="4"/>
  <c r="L483" i="4"/>
  <c r="L515" i="4"/>
  <c r="L157" i="4"/>
  <c r="L36" i="4"/>
  <c r="L403" i="4"/>
  <c r="L88" i="4"/>
  <c r="L189" i="4"/>
  <c r="L68" i="4"/>
  <c r="L470" i="4"/>
  <c r="L414" i="4"/>
  <c r="L325" i="4"/>
  <c r="L436" i="4"/>
  <c r="L216" i="4"/>
  <c r="L478" i="4"/>
  <c r="L389" i="4"/>
  <c r="L194" i="4"/>
  <c r="L547" i="4"/>
  <c r="L510" i="4"/>
  <c r="L421" i="4"/>
  <c r="L451" i="4"/>
  <c r="L453" i="4"/>
  <c r="L374" i="4"/>
  <c r="L567" i="4"/>
  <c r="L340" i="4"/>
  <c r="L404" i="4"/>
  <c r="L532" i="4"/>
  <c r="L377" i="4"/>
  <c r="L574" i="4"/>
  <c r="L485" i="4"/>
  <c r="L564" i="4"/>
  <c r="L409" i="4"/>
  <c r="L606" i="4"/>
  <c r="L517" i="4"/>
  <c r="L115" i="4"/>
  <c r="L61" i="4"/>
  <c r="L120" i="4"/>
  <c r="L248" i="4"/>
  <c r="L241" i="4"/>
  <c r="L273" i="4"/>
  <c r="L596" i="4"/>
  <c r="L441" i="4"/>
  <c r="L31" i="4"/>
  <c r="L549" i="4"/>
  <c r="L542" i="4"/>
  <c r="L305" i="4"/>
  <c r="L21" i="4"/>
  <c r="L473" i="4"/>
  <c r="L224" i="4"/>
  <c r="L147" i="4"/>
  <c r="L502" i="4"/>
  <c r="L339" i="4"/>
  <c r="L184" i="4"/>
  <c r="L209" i="4"/>
  <c r="L337" i="4"/>
  <c r="L53" i="4"/>
  <c r="L505" i="4"/>
  <c r="L256" i="4"/>
  <c r="L579" i="4"/>
  <c r="L85" i="4"/>
  <c r="L537" i="4"/>
  <c r="L288" i="4"/>
  <c r="L604" i="4"/>
  <c r="L24" i="4"/>
  <c r="L152" i="4"/>
  <c r="L280" i="4"/>
  <c r="L401" i="4"/>
  <c r="L117" i="4"/>
  <c r="L569" i="4"/>
  <c r="L320" i="4"/>
  <c r="L475" i="4"/>
  <c r="L275" i="4"/>
  <c r="L100" i="4"/>
  <c r="L468" i="4"/>
  <c r="L177" i="4"/>
  <c r="L433" i="4"/>
  <c r="L149" i="4"/>
  <c r="L601" i="4"/>
  <c r="L352" i="4"/>
  <c r="L379" i="4"/>
  <c r="L211" i="4"/>
  <c r="L307" i="4"/>
  <c r="L145" i="4"/>
  <c r="L369" i="4"/>
  <c r="L465" i="4"/>
  <c r="L181" i="4"/>
  <c r="L26" i="4"/>
  <c r="L384" i="4"/>
  <c r="L179" i="4"/>
  <c r="L93" i="4"/>
  <c r="L357" i="4"/>
  <c r="L500" i="4"/>
  <c r="L497" i="4"/>
  <c r="L150" i="4"/>
  <c r="L58" i="4"/>
  <c r="L416" i="4"/>
  <c r="L182" i="4"/>
  <c r="L187" i="4"/>
  <c r="L448" i="4"/>
  <c r="L406" i="4"/>
  <c r="L56" i="4"/>
  <c r="L214" i="4"/>
  <c r="L219" i="4"/>
  <c r="L34" i="4"/>
  <c r="L411" i="4"/>
  <c r="L125" i="4"/>
  <c r="L246" i="4"/>
  <c r="L251" i="4"/>
  <c r="L66" i="4"/>
  <c r="L83" i="4"/>
  <c r="L29" i="4"/>
  <c r="L446" i="4"/>
  <c r="L529" i="4"/>
  <c r="L594" i="4"/>
  <c r="L278" i="4"/>
  <c r="L283" i="4"/>
  <c r="L98" i="4"/>
  <c r="L258" i="4"/>
  <c r="L599" i="4"/>
  <c r="L221" i="4"/>
  <c r="L530" i="4"/>
  <c r="L19" i="4"/>
  <c r="L310" i="4"/>
  <c r="L315" i="4"/>
  <c r="L130" i="4"/>
  <c r="L438" i="4"/>
  <c r="L243" i="4"/>
  <c r="L372" i="4"/>
  <c r="L113" i="4"/>
  <c r="L562" i="4"/>
  <c r="L51" i="4"/>
  <c r="L342" i="4"/>
  <c r="L347" i="4"/>
  <c r="L162" i="4"/>
  <c r="T609" i="4"/>
  <c r="S389" i="4"/>
  <c r="S125" i="4"/>
  <c r="S256" i="4"/>
  <c r="S426" i="4"/>
  <c r="S583" i="4"/>
  <c r="S179" i="4"/>
  <c r="S182" i="4"/>
  <c r="S119" i="4"/>
  <c r="T119" i="4" s="1"/>
  <c r="S209" i="4"/>
  <c r="S339" i="4"/>
  <c r="S502" i="4"/>
  <c r="S93" i="4"/>
  <c r="S267" i="4"/>
  <c r="S270" i="4"/>
  <c r="S505" i="4"/>
  <c r="S353" i="4"/>
  <c r="T352" i="4" s="1"/>
  <c r="S251" i="4"/>
  <c r="S409" i="4"/>
  <c r="S76" i="4"/>
  <c r="S167" i="4"/>
  <c r="S253" i="4"/>
  <c r="S383" i="4"/>
  <c r="S543" i="4"/>
  <c r="S137" i="4"/>
  <c r="S307" i="4"/>
  <c r="S310" i="4"/>
  <c r="S417" i="4"/>
  <c r="S261" i="4"/>
  <c r="S321" i="4"/>
  <c r="S219" i="4"/>
  <c r="S377" i="4"/>
  <c r="S116" i="4"/>
  <c r="S207" i="4"/>
  <c r="S297" i="4"/>
  <c r="S424" i="4"/>
  <c r="S581" i="4"/>
  <c r="S177" i="4"/>
  <c r="S352" i="4"/>
  <c r="S358" i="4"/>
  <c r="S230" i="4"/>
  <c r="S229" i="4"/>
  <c r="S289" i="4"/>
  <c r="S187" i="4"/>
  <c r="S345" i="4"/>
  <c r="S163" i="4"/>
  <c r="S247" i="4"/>
  <c r="T246" i="4" s="1"/>
  <c r="S337" i="4"/>
  <c r="S462" i="4"/>
  <c r="S46" i="4"/>
  <c r="S221" i="4"/>
  <c r="S394" i="4"/>
  <c r="S397" i="4"/>
  <c r="S224" i="4"/>
  <c r="S197" i="4"/>
  <c r="S257" i="4"/>
  <c r="S155" i="4"/>
  <c r="S313" i="4"/>
  <c r="S204" i="4"/>
  <c r="S295" i="4"/>
  <c r="S381" i="4"/>
  <c r="S500" i="4"/>
  <c r="S86" i="4"/>
  <c r="S265" i="4"/>
  <c r="S10" i="4"/>
  <c r="S435" i="4"/>
  <c r="S24" i="4"/>
  <c r="S287" i="4"/>
  <c r="S165" i="4"/>
  <c r="S225" i="4"/>
  <c r="T224" i="4" s="1"/>
  <c r="S123" i="4"/>
  <c r="S281" i="4"/>
  <c r="S244" i="4"/>
  <c r="S335" i="4"/>
  <c r="S422" i="4"/>
  <c r="S541" i="4"/>
  <c r="S134" i="4"/>
  <c r="T133" i="4" s="1"/>
  <c r="S305" i="4"/>
  <c r="T304" i="4" s="1"/>
  <c r="S52" i="4"/>
  <c r="T51" i="4" s="1"/>
  <c r="S477" i="4"/>
  <c r="T476" i="4" s="1"/>
  <c r="S473" i="4"/>
  <c r="S330" i="4"/>
  <c r="S133" i="4"/>
  <c r="S193" i="4"/>
  <c r="S91" i="4"/>
  <c r="S249" i="4"/>
  <c r="S291" i="4"/>
  <c r="S375" i="4"/>
  <c r="S460" i="4"/>
  <c r="S579" i="4"/>
  <c r="S174" i="4"/>
  <c r="S349" i="4"/>
  <c r="S99" i="4"/>
  <c r="S516" i="4"/>
  <c r="S79" i="4"/>
  <c r="S370" i="4"/>
  <c r="S101" i="4"/>
  <c r="S161" i="4"/>
  <c r="S59" i="4"/>
  <c r="S217" i="4"/>
  <c r="S332" i="4"/>
  <c r="S420" i="4"/>
  <c r="S498" i="4"/>
  <c r="S44" i="4"/>
  <c r="S214" i="4"/>
  <c r="S392" i="4"/>
  <c r="S140" i="4"/>
  <c r="S13" i="4"/>
  <c r="S49" i="4"/>
  <c r="T48" i="4" s="1"/>
  <c r="S413" i="4"/>
  <c r="S69" i="4"/>
  <c r="S129" i="4"/>
  <c r="T128" i="4" s="1"/>
  <c r="S27" i="4"/>
  <c r="S185" i="4"/>
  <c r="S372" i="4"/>
  <c r="S458" i="4"/>
  <c r="S535" i="4"/>
  <c r="S84" i="4"/>
  <c r="S262" i="4"/>
  <c r="S430" i="4"/>
  <c r="S180" i="4"/>
  <c r="S55" i="4"/>
  <c r="T54" i="4" s="1"/>
  <c r="S453" i="4"/>
  <c r="S37" i="4"/>
  <c r="S97" i="4"/>
  <c r="S570" i="4"/>
  <c r="T569" i="4" s="1"/>
  <c r="S153" i="4"/>
  <c r="S415" i="4"/>
  <c r="S496" i="4"/>
  <c r="S576" i="4"/>
  <c r="S131" i="4"/>
  <c r="S302" i="4"/>
  <c r="T301" i="4" s="1"/>
  <c r="S468" i="4"/>
  <c r="S227" i="4"/>
  <c r="S446" i="4"/>
  <c r="S198" i="4"/>
  <c r="T197" i="4" s="1"/>
  <c r="S367" i="4"/>
  <c r="S607" i="4"/>
  <c r="T606" i="4" s="1"/>
  <c r="S391" i="4"/>
  <c r="S237" i="4"/>
  <c r="S20" i="4"/>
  <c r="S279" i="4"/>
  <c r="S405" i="4"/>
  <c r="S112" i="4"/>
  <c r="S560" i="4"/>
  <c r="S404" i="4"/>
  <c r="S524" i="4"/>
  <c r="S240" i="4"/>
  <c r="S35" i="4"/>
  <c r="T34" i="4" s="1"/>
  <c r="S78" i="4"/>
  <c r="S118" i="4"/>
  <c r="S166" i="4"/>
  <c r="S206" i="4"/>
  <c r="S246" i="4"/>
  <c r="S294" i="4"/>
  <c r="S334" i="4"/>
  <c r="S374" i="4"/>
  <c r="S419" i="4"/>
  <c r="S457" i="4"/>
  <c r="S495" i="4"/>
  <c r="S532" i="4"/>
  <c r="T531" i="4" s="1"/>
  <c r="S573" i="4"/>
  <c r="T572" i="4" s="1"/>
  <c r="S48" i="4"/>
  <c r="S71" i="4"/>
  <c r="S328" i="4"/>
  <c r="T327" i="4" s="1"/>
  <c r="S429" i="4"/>
  <c r="S365" i="4"/>
  <c r="S110" i="4"/>
  <c r="S111" i="4"/>
  <c r="S72" i="4"/>
  <c r="S348" i="4"/>
  <c r="S467" i="4"/>
  <c r="T466" i="4" s="1"/>
  <c r="S584" i="4"/>
  <c r="T583" i="4" s="1"/>
  <c r="S451" i="4"/>
  <c r="S220" i="4"/>
  <c r="T219" i="4" s="1"/>
  <c r="S509" i="4"/>
  <c r="T508" i="4" s="1"/>
  <c r="S238" i="4"/>
  <c r="S21" i="4"/>
  <c r="S200" i="4"/>
  <c r="S562" i="4"/>
  <c r="S176" i="4"/>
  <c r="S68" i="4"/>
  <c r="S447" i="4"/>
  <c r="S199" i="4"/>
  <c r="S136" i="4"/>
  <c r="S19" i="4"/>
  <c r="S327" i="4"/>
  <c r="S264" i="4"/>
  <c r="S547" i="4"/>
  <c r="S277" i="4"/>
  <c r="S150" i="4"/>
  <c r="S488" i="4"/>
  <c r="S156" i="4"/>
  <c r="T155" i="4" s="1"/>
  <c r="S304" i="4"/>
  <c r="S324" i="4"/>
  <c r="S278" i="4"/>
  <c r="T277" i="4" s="1"/>
  <c r="S525" i="4"/>
  <c r="T524" i="4" s="1"/>
  <c r="S92" i="4"/>
  <c r="T91" i="4" s="1"/>
  <c r="S486" i="4"/>
  <c r="S366" i="4"/>
  <c r="T365" i="4" s="1"/>
  <c r="S485" i="4"/>
  <c r="S149" i="4"/>
  <c r="S561" i="4"/>
  <c r="S239" i="4"/>
  <c r="T238" i="4" s="1"/>
  <c r="S368" i="4"/>
  <c r="S236" i="4"/>
  <c r="S109" i="4"/>
  <c r="S151" i="4"/>
  <c r="T151" i="4" s="1"/>
  <c r="S600" i="4"/>
  <c r="T600" i="4" s="1"/>
  <c r="S432" i="4"/>
  <c r="S470" i="4"/>
  <c r="S512" i="4"/>
  <c r="S550" i="4"/>
  <c r="S587" i="4"/>
  <c r="S551" i="4"/>
  <c r="S588" i="4"/>
  <c r="S18" i="4"/>
  <c r="S445" i="4"/>
  <c r="S598" i="4"/>
  <c r="S489" i="4"/>
  <c r="T488" i="4" s="1"/>
  <c r="S396" i="4"/>
  <c r="S434" i="4"/>
  <c r="S476" i="4"/>
  <c r="S515" i="4"/>
  <c r="S552" i="4"/>
  <c r="S589" i="4"/>
  <c r="S67" i="4"/>
  <c r="T66" i="4" s="1"/>
  <c r="S403" i="4"/>
  <c r="S597" i="4"/>
  <c r="S563" i="4"/>
  <c r="T562" i="4" s="1"/>
  <c r="S553" i="4"/>
  <c r="S590" i="4"/>
  <c r="T589" i="4" s="1"/>
  <c r="S148" i="4"/>
  <c r="S522" i="4"/>
  <c r="S196" i="4"/>
  <c r="S487" i="4"/>
  <c r="T486" i="4" s="1"/>
  <c r="S406" i="4"/>
  <c r="S526" i="4"/>
  <c r="T526" i="4" s="1"/>
  <c r="S195" i="4"/>
  <c r="S284" i="4"/>
  <c r="S188" i="4"/>
  <c r="S232" i="4"/>
  <c r="S272" i="4"/>
  <c r="S316" i="4"/>
  <c r="S360" i="4"/>
  <c r="S399" i="4"/>
  <c r="S437" i="4"/>
  <c r="S479" i="4"/>
  <c r="S518" i="4"/>
  <c r="S555" i="4"/>
  <c r="S592" i="4"/>
  <c r="S108" i="4"/>
  <c r="S559" i="4"/>
  <c r="S448" i="4"/>
  <c r="T447" i="4" s="1"/>
  <c r="S15" i="4"/>
  <c r="S61" i="4"/>
  <c r="S105" i="4"/>
  <c r="S145" i="4"/>
  <c r="S189" i="4"/>
  <c r="S233" i="4"/>
  <c r="S273" i="4"/>
  <c r="T272" i="4" s="1"/>
  <c r="S317" i="4"/>
  <c r="T316" i="4" s="1"/>
  <c r="S361" i="4"/>
  <c r="T360" i="4" s="1"/>
  <c r="S400" i="4"/>
  <c r="T399" i="4" s="1"/>
  <c r="S438" i="4"/>
  <c r="T437" i="4" s="1"/>
  <c r="S480" i="4"/>
  <c r="T479" i="4" s="1"/>
  <c r="S519" i="4"/>
  <c r="T518" i="4" s="1"/>
  <c r="S556" i="4"/>
  <c r="T555" i="4" s="1"/>
  <c r="S593" i="4"/>
  <c r="S276" i="4"/>
  <c r="S596" i="4"/>
  <c r="S326" i="4"/>
  <c r="S599" i="4"/>
  <c r="S16" i="4"/>
  <c r="S63" i="4"/>
  <c r="S106" i="4"/>
  <c r="S146" i="4"/>
  <c r="S191" i="4"/>
  <c r="S234" i="4"/>
  <c r="S274" i="4"/>
  <c r="S319" i="4"/>
  <c r="S362" i="4"/>
  <c r="S401" i="4"/>
  <c r="S439" i="4"/>
  <c r="S483" i="4"/>
  <c r="S520" i="4"/>
  <c r="S557" i="4"/>
  <c r="S594" i="4"/>
  <c r="S323" i="4"/>
  <c r="S22" i="4"/>
  <c r="S17" i="4"/>
  <c r="S64" i="4"/>
  <c r="T63" i="4" s="1"/>
  <c r="S107" i="4"/>
  <c r="T106" i="4" s="1"/>
  <c r="S147" i="4"/>
  <c r="T146" i="4" s="1"/>
  <c r="S192" i="4"/>
  <c r="T191" i="4" s="1"/>
  <c r="S235" i="4"/>
  <c r="T234" i="4" s="1"/>
  <c r="S275" i="4"/>
  <c r="T274" i="4" s="1"/>
  <c r="S320" i="4"/>
  <c r="T319" i="4" s="1"/>
  <c r="S363" i="4"/>
  <c r="T362" i="4" s="1"/>
  <c r="S402" i="4"/>
  <c r="T401" i="4" s="1"/>
  <c r="S444" i="4"/>
  <c r="T443" i="4" s="1"/>
  <c r="S484" i="4"/>
  <c r="S521" i="4"/>
  <c r="S558" i="4"/>
  <c r="S595" i="4"/>
  <c r="S364" i="4"/>
  <c r="S523" i="4"/>
  <c r="S70" i="4"/>
  <c r="S407" i="4"/>
  <c r="S491" i="4"/>
  <c r="S36" i="4"/>
  <c r="T35" i="4" s="1"/>
  <c r="S65" i="4"/>
  <c r="T65" i="4" s="1"/>
  <c r="S538" i="4"/>
  <c r="T537" i="4" s="1"/>
  <c r="S121" i="4"/>
  <c r="T120" i="4" s="1"/>
  <c r="S455" i="4"/>
  <c r="S533" i="4"/>
  <c r="T532" i="4" s="1"/>
  <c r="S9" i="4"/>
  <c r="S172" i="4"/>
  <c r="T171" i="4" s="1"/>
  <c r="S342" i="4"/>
  <c r="T341" i="4" s="1"/>
  <c r="S510" i="4"/>
  <c r="S268" i="4"/>
  <c r="S143" i="4"/>
  <c r="T142" i="4" s="1"/>
  <c r="S602" i="4"/>
  <c r="T601" i="4" s="1"/>
  <c r="S325" i="4"/>
  <c r="T324" i="4" s="1"/>
  <c r="S474" i="4"/>
  <c r="S57" i="4"/>
  <c r="S530" i="4"/>
  <c r="S608" i="4"/>
  <c r="S82" i="4"/>
  <c r="T81" i="4" s="1"/>
  <c r="S259" i="4"/>
  <c r="S427" i="4"/>
  <c r="T426" i="4" s="1"/>
  <c r="S585" i="4"/>
  <c r="S355" i="4"/>
  <c r="S231" i="4"/>
  <c r="S603" i="4"/>
  <c r="S514" i="4"/>
  <c r="S318" i="4"/>
  <c r="S442" i="4"/>
  <c r="S25" i="4"/>
  <c r="T24" i="4" s="1"/>
  <c r="S567" i="4"/>
  <c r="S40" i="4"/>
  <c r="T40" i="4" s="1"/>
  <c r="S127" i="4"/>
  <c r="S300" i="4"/>
  <c r="S465" i="4"/>
  <c r="T465" i="4" s="1"/>
  <c r="S50" i="4"/>
  <c r="S395" i="4"/>
  <c r="S271" i="4"/>
  <c r="S169" i="4"/>
  <c r="S242" i="4"/>
  <c r="S506" i="4"/>
  <c r="S548" i="4"/>
  <c r="T547" i="4" s="1"/>
  <c r="S29" i="4"/>
  <c r="S482" i="4"/>
  <c r="T481" i="4" s="1"/>
  <c r="S286" i="4"/>
  <c r="S410" i="4"/>
  <c r="T409" i="4" s="1"/>
  <c r="S568" i="4"/>
  <c r="T567" i="4" s="1"/>
  <c r="S605" i="4"/>
  <c r="S80" i="4"/>
  <c r="T79" i="4" s="1"/>
  <c r="S170" i="4"/>
  <c r="T170" i="4" s="1"/>
  <c r="S340" i="4"/>
  <c r="T339" i="4" s="1"/>
  <c r="S503" i="4"/>
  <c r="S95" i="4"/>
  <c r="S433" i="4"/>
  <c r="S311" i="4"/>
  <c r="T310" i="4" s="1"/>
  <c r="S28" i="4"/>
  <c r="T27" i="4" s="1"/>
  <c r="S74" i="4"/>
  <c r="S578" i="4"/>
  <c r="S493" i="4"/>
  <c r="S388" i="4"/>
  <c r="T387" i="4" s="1"/>
  <c r="S75" i="4"/>
  <c r="S450" i="4"/>
  <c r="S254" i="4"/>
  <c r="S378" i="4"/>
  <c r="T377" i="4" s="1"/>
  <c r="S536" i="4"/>
  <c r="T535" i="4" s="1"/>
  <c r="S32" i="4"/>
  <c r="S124" i="4"/>
  <c r="T123" i="4" s="1"/>
  <c r="S210" i="4"/>
  <c r="T209" i="4" s="1"/>
  <c r="S384" i="4"/>
  <c r="S544" i="4"/>
  <c r="T543" i="4" s="1"/>
  <c r="S138" i="4"/>
  <c r="T137" i="4" s="1"/>
  <c r="S471" i="4"/>
  <c r="T470" i="4" s="1"/>
  <c r="S359" i="4"/>
  <c r="T358" i="4" s="1"/>
  <c r="S449" i="4"/>
  <c r="T448" i="4" s="1"/>
  <c r="S283" i="4"/>
  <c r="S33" i="4"/>
  <c r="S183" i="4"/>
  <c r="T182" i="4" s="1"/>
  <c r="S23" i="4"/>
  <c r="S115" i="4"/>
  <c r="S418" i="4"/>
  <c r="T417" i="4" s="1"/>
  <c r="S222" i="4"/>
  <c r="S346" i="4"/>
  <c r="S504" i="4"/>
  <c r="S77" i="4"/>
  <c r="S168" i="4"/>
  <c r="S255" i="4"/>
  <c r="S425" i="4"/>
  <c r="T424" i="4" s="1"/>
  <c r="S582" i="4"/>
  <c r="T581" i="4" s="1"/>
  <c r="S178" i="4"/>
  <c r="T177" i="4" s="1"/>
  <c r="S513" i="4"/>
  <c r="T512" i="4" s="1"/>
  <c r="S398" i="4"/>
  <c r="T37" i="4"/>
  <c r="S347" i="4"/>
  <c r="S293" i="4"/>
  <c r="S528" i="4"/>
  <c r="T527" i="4" s="1"/>
  <c r="S89" i="4"/>
  <c r="S308" i="4"/>
  <c r="T307" i="4" s="1"/>
  <c r="S73" i="4"/>
  <c r="S160" i="4"/>
  <c r="S386" i="4"/>
  <c r="T386" i="4" s="1"/>
  <c r="S190" i="4"/>
  <c r="T189" i="4" s="1"/>
  <c r="S314" i="4"/>
  <c r="T313" i="4" s="1"/>
  <c r="S472" i="4"/>
  <c r="S117" i="4"/>
  <c r="T116" i="4" s="1"/>
  <c r="S208" i="4"/>
  <c r="T207" i="4" s="1"/>
  <c r="S298" i="4"/>
  <c r="T297" i="4" s="1"/>
  <c r="S463" i="4"/>
  <c r="S47" i="4"/>
  <c r="S223" i="4"/>
  <c r="S11" i="4"/>
  <c r="T10" i="4" s="1"/>
  <c r="S436" i="4"/>
  <c r="T435" i="4" s="1"/>
  <c r="S113" i="4"/>
  <c r="S203" i="4"/>
  <c r="S354" i="4"/>
  <c r="S158" i="4"/>
  <c r="S282" i="4"/>
  <c r="T281" i="4" s="1"/>
  <c r="S440" i="4"/>
  <c r="S164" i="4"/>
  <c r="S252" i="4"/>
  <c r="S338" i="4"/>
  <c r="S501" i="4"/>
  <c r="T500" i="4" s="1"/>
  <c r="S87" i="4"/>
  <c r="T86" i="4" s="1"/>
  <c r="S266" i="4"/>
  <c r="T265" i="4" s="1"/>
  <c r="S53" i="4"/>
  <c r="S478" i="4"/>
  <c r="S357" i="4"/>
  <c r="S159" i="4"/>
  <c r="S157" i="4"/>
  <c r="T156" i="4" s="1"/>
  <c r="S243" i="4"/>
  <c r="S322" i="4"/>
  <c r="T321" i="4" s="1"/>
  <c r="S126" i="4"/>
  <c r="T125" i="4" s="1"/>
  <c r="S250" i="4"/>
  <c r="T249" i="4" s="1"/>
  <c r="S408" i="4"/>
  <c r="T407" i="4" s="1"/>
  <c r="S205" i="4"/>
  <c r="T204" i="4" s="1"/>
  <c r="S296" i="4"/>
  <c r="T295" i="4" s="1"/>
  <c r="S382" i="4"/>
  <c r="T381" i="4" s="1"/>
  <c r="S542" i="4"/>
  <c r="S135" i="4"/>
  <c r="S306" i="4"/>
  <c r="S100" i="4"/>
  <c r="T99" i="4" s="1"/>
  <c r="S517" i="4"/>
  <c r="T516" i="4" s="1"/>
  <c r="S315" i="4"/>
  <c r="S202" i="4"/>
  <c r="S201" i="4"/>
  <c r="T200" i="4" s="1"/>
  <c r="S288" i="4"/>
  <c r="T287" i="4" s="1"/>
  <c r="S290" i="4"/>
  <c r="T289" i="4" s="1"/>
  <c r="S94" i="4"/>
  <c r="S218" i="4"/>
  <c r="T217" i="4" s="1"/>
  <c r="S376" i="4"/>
  <c r="T375" i="4" s="1"/>
  <c r="S245" i="4"/>
  <c r="S336" i="4"/>
  <c r="T335" i="4" s="1"/>
  <c r="S423" i="4"/>
  <c r="T422" i="4" s="1"/>
  <c r="S580" i="4"/>
  <c r="T579" i="4" s="1"/>
  <c r="S175" i="4"/>
  <c r="T174" i="4" s="1"/>
  <c r="S351" i="4"/>
  <c r="S141" i="4"/>
  <c r="S554" i="4"/>
  <c r="S464" i="4"/>
  <c r="S241" i="4"/>
  <c r="T240" i="4" s="1"/>
  <c r="S331" i="4"/>
  <c r="S258" i="4"/>
  <c r="T257" i="4" s="1"/>
  <c r="S62" i="4"/>
  <c r="T61" i="4" s="1"/>
  <c r="S186" i="4"/>
  <c r="S344" i="4"/>
  <c r="S292" i="4"/>
  <c r="T291" i="4" s="1"/>
  <c r="S380" i="4"/>
  <c r="T379" i="4" s="1"/>
  <c r="S461" i="4"/>
  <c r="T460" i="4" s="1"/>
  <c r="S45" i="4"/>
  <c r="T44" i="4" s="1"/>
  <c r="S215" i="4"/>
  <c r="S393" i="4"/>
  <c r="T392" i="4" s="1"/>
  <c r="S181" i="4"/>
  <c r="T180" i="4" s="1"/>
  <c r="S591" i="4"/>
  <c r="S574" i="4"/>
  <c r="T573" i="4" s="1"/>
  <c r="S350" i="4"/>
  <c r="T349" i="4" s="1"/>
  <c r="S285" i="4"/>
  <c r="S371" i="4"/>
  <c r="T370" i="4" s="1"/>
  <c r="S226" i="4"/>
  <c r="T225" i="4" s="1"/>
  <c r="S30" i="4"/>
  <c r="T29" i="4" s="1"/>
  <c r="S154" i="4"/>
  <c r="T153" i="4" s="1"/>
  <c r="S312" i="4"/>
  <c r="S333" i="4"/>
  <c r="T332" i="4" s="1"/>
  <c r="S421" i="4"/>
  <c r="T420" i="4" s="1"/>
  <c r="S499" i="4"/>
  <c r="T498" i="4" s="1"/>
  <c r="S85" i="4"/>
  <c r="T84" i="4" s="1"/>
  <c r="S263" i="4"/>
  <c r="T262" i="4" s="1"/>
  <c r="S431" i="4"/>
  <c r="T430" i="4" s="1"/>
  <c r="S228" i="4"/>
  <c r="T227" i="4" s="1"/>
  <c r="S14" i="4"/>
  <c r="S299" i="4"/>
  <c r="S212" i="4"/>
  <c r="T211" i="4" s="1"/>
  <c r="S565" i="4"/>
  <c r="T564" i="4" s="1"/>
  <c r="S329" i="4"/>
  <c r="T328" i="4" s="1"/>
  <c r="S414" i="4"/>
  <c r="S194" i="4"/>
  <c r="T193" i="4" s="1"/>
  <c r="S571" i="4"/>
  <c r="T570" i="4" s="1"/>
  <c r="S122" i="4"/>
  <c r="T121" i="4" s="1"/>
  <c r="S280" i="4"/>
  <c r="S373" i="4"/>
  <c r="T372" i="4" s="1"/>
  <c r="S459" i="4"/>
  <c r="T458" i="4" s="1"/>
  <c r="S540" i="4"/>
  <c r="S132" i="4"/>
  <c r="T131" i="4" s="1"/>
  <c r="S303" i="4"/>
  <c r="S469" i="4"/>
  <c r="T468" i="4" s="1"/>
  <c r="S269" i="4"/>
  <c r="S60" i="4"/>
  <c r="T59" i="4" s="1"/>
  <c r="S56" i="4"/>
  <c r="T55" i="4" s="1"/>
  <c r="S385" i="4"/>
  <c r="T384" i="4" s="1"/>
  <c r="S42" i="4"/>
  <c r="T41" i="4" s="1"/>
  <c r="S546" i="4"/>
  <c r="S369" i="4"/>
  <c r="S454" i="4"/>
  <c r="T453" i="4" s="1"/>
  <c r="S162" i="4"/>
  <c r="T161" i="4" s="1"/>
  <c r="S539" i="4"/>
  <c r="T538" i="4" s="1"/>
  <c r="S90" i="4"/>
  <c r="T89" i="4" s="1"/>
  <c r="S248" i="4"/>
  <c r="S416" i="4"/>
  <c r="T415" i="4" s="1"/>
  <c r="S497" i="4"/>
  <c r="T496" i="4" s="1"/>
  <c r="S577" i="4"/>
  <c r="T576" i="4" s="1"/>
  <c r="S173" i="4"/>
  <c r="T172" i="4" s="1"/>
  <c r="S343" i="4"/>
  <c r="S511" i="4"/>
  <c r="T510" i="4" s="1"/>
  <c r="S309" i="4"/>
  <c r="T308" i="4" s="1"/>
  <c r="S104" i="4"/>
  <c r="T103" i="4" s="1"/>
  <c r="S441" i="4"/>
  <c r="S412" i="4"/>
  <c r="T411" i="4" s="1"/>
  <c r="S492" i="4"/>
  <c r="T491" i="4" s="1"/>
  <c r="S130" i="4"/>
  <c r="S507" i="4"/>
  <c r="T506" i="4" s="1"/>
  <c r="S58" i="4"/>
  <c r="S216" i="4"/>
  <c r="T215" i="4" s="1"/>
  <c r="S456" i="4"/>
  <c r="T455" i="4" s="1"/>
  <c r="S534" i="4"/>
  <c r="S43" i="4"/>
  <c r="S213" i="4"/>
  <c r="S390" i="4"/>
  <c r="T389" i="4" s="1"/>
  <c r="S549" i="4"/>
  <c r="T548" i="4" s="1"/>
  <c r="S356" i="4"/>
  <c r="S144" i="4"/>
  <c r="T143" i="4" s="1"/>
  <c r="S39" i="4"/>
  <c r="T38" i="4" s="1"/>
  <c r="S114" i="4"/>
  <c r="T113" i="4" s="1"/>
  <c r="S452" i="4"/>
  <c r="S529" i="4"/>
  <c r="S98" i="4"/>
  <c r="T97" i="4" s="1"/>
  <c r="S475" i="4"/>
  <c r="S26" i="4"/>
  <c r="T25" i="4" s="1"/>
  <c r="S184" i="4"/>
  <c r="S494" i="4"/>
  <c r="T493" i="4" s="1"/>
  <c r="S575" i="4"/>
  <c r="S83" i="4"/>
  <c r="S260" i="4"/>
  <c r="S428" i="4"/>
  <c r="S586" i="4"/>
  <c r="S12" i="4"/>
  <c r="S31" i="4"/>
  <c r="L443" i="4"/>
  <c r="L253" i="4"/>
  <c r="L63" i="4"/>
  <c r="L480" i="4"/>
  <c r="L290" i="4"/>
  <c r="L132" i="4"/>
  <c r="L581" i="4"/>
  <c r="L285" i="4"/>
  <c r="L95" i="4"/>
  <c r="L512" i="4"/>
  <c r="L322" i="4"/>
  <c r="L164" i="4"/>
  <c r="L38" i="4"/>
  <c r="L90" i="4"/>
  <c r="L507" i="4"/>
  <c r="L317" i="4"/>
  <c r="L127" i="4"/>
  <c r="L544" i="4"/>
  <c r="L354" i="4"/>
  <c r="L196" i="4"/>
  <c r="L70" i="4"/>
  <c r="L312" i="4"/>
  <c r="L122" i="4"/>
  <c r="L539" i="4"/>
  <c r="L349" i="4"/>
  <c r="L159" i="4"/>
  <c r="L576" i="4"/>
  <c r="L386" i="4"/>
  <c r="L228" i="4"/>
  <c r="L102" i="4"/>
  <c r="L534" i="4"/>
  <c r="L344" i="4"/>
  <c r="L154" i="4"/>
  <c r="L571" i="4"/>
  <c r="L381" i="4"/>
  <c r="L191" i="4"/>
  <c r="L608" i="4"/>
  <c r="L418" i="4"/>
  <c r="L260" i="4"/>
  <c r="L134" i="4"/>
  <c r="L566" i="4"/>
  <c r="L376" i="4"/>
  <c r="M376" i="4" s="1"/>
  <c r="L186" i="4"/>
  <c r="M186" i="4" s="1"/>
  <c r="L603" i="4"/>
  <c r="L413" i="4"/>
  <c r="L223" i="4"/>
  <c r="M223" i="4" s="1"/>
  <c r="L33" i="4"/>
  <c r="L450" i="4"/>
  <c r="L292" i="4"/>
  <c r="L166" i="4"/>
  <c r="L598" i="4"/>
  <c r="L408" i="4"/>
  <c r="L218" i="4"/>
  <c r="L28" i="4"/>
  <c r="L445" i="4"/>
  <c r="L255" i="4"/>
  <c r="L65" i="4"/>
  <c r="M65" i="4" s="1"/>
  <c r="L482" i="4"/>
  <c r="M482" i="4" s="1"/>
  <c r="L324" i="4"/>
  <c r="M324" i="4" s="1"/>
  <c r="L198" i="4"/>
  <c r="L23" i="4"/>
  <c r="L440" i="4"/>
  <c r="M440" i="4" s="1"/>
  <c r="L250" i="4"/>
  <c r="L60" i="4"/>
  <c r="L477" i="4"/>
  <c r="L287" i="4"/>
  <c r="L97" i="4"/>
  <c r="L514" i="4"/>
  <c r="M514" i="4" s="1"/>
  <c r="L356" i="4"/>
  <c r="L230" i="4"/>
  <c r="L55" i="4"/>
  <c r="L92" i="4"/>
  <c r="L509" i="4"/>
  <c r="L319" i="4"/>
  <c r="L129" i="4"/>
  <c r="L546" i="4"/>
  <c r="L388" i="4"/>
  <c r="L262" i="4"/>
  <c r="L50" i="4"/>
  <c r="M50" i="4" s="1"/>
  <c r="L504" i="4"/>
  <c r="L314" i="4"/>
  <c r="M314" i="4" s="1"/>
  <c r="L124" i="4"/>
  <c r="L541" i="4"/>
  <c r="L351" i="4"/>
  <c r="L161" i="4"/>
  <c r="M161" i="4" s="1"/>
  <c r="L578" i="4"/>
  <c r="L420" i="4"/>
  <c r="L294" i="4"/>
  <c r="L82" i="4"/>
  <c r="L119" i="4"/>
  <c r="L536" i="4"/>
  <c r="L346" i="4"/>
  <c r="M346" i="4" s="1"/>
  <c r="L156" i="4"/>
  <c r="L573" i="4"/>
  <c r="L383" i="4"/>
  <c r="L193" i="4"/>
  <c r="L9" i="4"/>
  <c r="L452" i="4"/>
  <c r="L326" i="4"/>
  <c r="M325" i="4" s="1"/>
  <c r="L18" i="4"/>
  <c r="L151" i="4"/>
  <c r="M150" i="4" s="1"/>
  <c r="L568" i="4"/>
  <c r="L378" i="4"/>
  <c r="M377" i="4" s="1"/>
  <c r="L188" i="4"/>
  <c r="M187" i="4" s="1"/>
  <c r="L605" i="4"/>
  <c r="L415" i="4"/>
  <c r="M414" i="4" s="1"/>
  <c r="L225" i="4"/>
  <c r="M224" i="4" s="1"/>
  <c r="L35" i="4"/>
  <c r="M34" i="4" s="1"/>
  <c r="L484" i="4"/>
  <c r="M483" i="4" s="1"/>
  <c r="L358" i="4"/>
  <c r="M357" i="4" s="1"/>
  <c r="L435" i="4"/>
  <c r="L146" i="4"/>
  <c r="L410" i="4"/>
  <c r="L220" i="4"/>
  <c r="M219" i="4" s="1"/>
  <c r="L30" i="4"/>
  <c r="M29" i="4" s="1"/>
  <c r="L447" i="4"/>
  <c r="L257" i="4"/>
  <c r="L67" i="4"/>
  <c r="M66" i="4" s="1"/>
  <c r="L516" i="4"/>
  <c r="M515" i="4" s="1"/>
  <c r="L390" i="4"/>
  <c r="L282" i="4"/>
  <c r="L531" i="4"/>
  <c r="L595" i="4"/>
  <c r="M594" i="4" s="1"/>
  <c r="L442" i="4"/>
  <c r="M441" i="4" s="1"/>
  <c r="L252" i="4"/>
  <c r="M251" i="4" s="1"/>
  <c r="L62" i="4"/>
  <c r="M61" i="4" s="1"/>
  <c r="L479" i="4"/>
  <c r="L289" i="4"/>
  <c r="L99" i="4"/>
  <c r="L548" i="4"/>
  <c r="L422" i="4"/>
  <c r="M250" i="4"/>
  <c r="L561" i="4"/>
  <c r="L472" i="4"/>
  <c r="L499" i="4"/>
  <c r="L600" i="4"/>
  <c r="L437" i="4"/>
  <c r="M436" i="4" s="1"/>
  <c r="L247" i="4"/>
  <c r="M246" i="4" s="1"/>
  <c r="L57" i="4"/>
  <c r="M56" i="4" s="1"/>
  <c r="L474" i="4"/>
  <c r="L284" i="4"/>
  <c r="L94" i="4"/>
  <c r="L511" i="4"/>
  <c r="L321" i="4"/>
  <c r="M320" i="4" s="1"/>
  <c r="L131" i="4"/>
  <c r="M130" i="4" s="1"/>
  <c r="L580" i="4"/>
  <c r="M579" i="4" s="1"/>
  <c r="L454" i="4"/>
  <c r="L593" i="4"/>
  <c r="M593" i="4" s="1"/>
  <c r="L87" i="4"/>
  <c r="M87" i="4" s="1"/>
  <c r="L373" i="4"/>
  <c r="L178" i="4"/>
  <c r="M177" i="4" s="1"/>
  <c r="L215" i="4"/>
  <c r="M214" i="4" s="1"/>
  <c r="L20" i="4"/>
  <c r="M20" i="4" s="1"/>
  <c r="L242" i="4"/>
  <c r="M241" i="4" s="1"/>
  <c r="L52" i="4"/>
  <c r="M51" i="4" s="1"/>
  <c r="L469" i="4"/>
  <c r="M468" i="4" s="1"/>
  <c r="L279" i="4"/>
  <c r="M278" i="4" s="1"/>
  <c r="L89" i="4"/>
  <c r="M88" i="4" s="1"/>
  <c r="L506" i="4"/>
  <c r="L316" i="4"/>
  <c r="M315" i="4" s="1"/>
  <c r="L126" i="4"/>
  <c r="L543" i="4"/>
  <c r="M542" i="4" s="1"/>
  <c r="L353" i="4"/>
  <c r="M352" i="4" s="1"/>
  <c r="L163" i="4"/>
  <c r="M162" i="4" s="1"/>
  <c r="L37" i="4"/>
  <c r="M36" i="4" s="1"/>
  <c r="L486" i="4"/>
  <c r="L274" i="4"/>
  <c r="M273" i="4" s="1"/>
  <c r="L84" i="4"/>
  <c r="L501" i="4"/>
  <c r="M500" i="4" s="1"/>
  <c r="L311" i="4"/>
  <c r="M310" i="4" s="1"/>
  <c r="L121" i="4"/>
  <c r="M120" i="4" s="1"/>
  <c r="L538" i="4"/>
  <c r="M537" i="4" s="1"/>
  <c r="L348" i="4"/>
  <c r="M347" i="4" s="1"/>
  <c r="L158" i="4"/>
  <c r="M157" i="4" s="1"/>
  <c r="L575" i="4"/>
  <c r="M574" i="4" s="1"/>
  <c r="L385" i="4"/>
  <c r="L195" i="4"/>
  <c r="M194" i="4" s="1"/>
  <c r="L69" i="4"/>
  <c r="M68" i="4" s="1"/>
  <c r="M60" i="4"/>
  <c r="L520" i="4"/>
  <c r="L525" i="4"/>
  <c r="L526" i="4"/>
  <c r="L495" i="4"/>
  <c r="L400" i="4"/>
  <c r="L519" i="4"/>
  <c r="L13" i="4"/>
  <c r="L270" i="4"/>
  <c r="L303" i="4"/>
  <c r="L240" i="4"/>
  <c r="L583" i="4"/>
  <c r="L15" i="4"/>
  <c r="L208" i="4"/>
  <c r="L45" i="4"/>
  <c r="L142" i="4"/>
  <c r="L47" i="4"/>
  <c r="L176" i="4"/>
  <c r="L109" i="4"/>
  <c r="L206" i="4"/>
  <c r="L79" i="4"/>
  <c r="L144" i="4"/>
  <c r="L173" i="4"/>
  <c r="L110" i="4"/>
  <c r="M109" i="4" s="1"/>
  <c r="L239" i="4"/>
  <c r="L16" i="4"/>
  <c r="L397" i="4"/>
  <c r="L430" i="4"/>
  <c r="L431" i="4"/>
  <c r="L368" i="4"/>
  <c r="L557" i="4"/>
  <c r="L302" i="4"/>
  <c r="L591" i="4"/>
  <c r="L592" i="4"/>
  <c r="L488" i="4"/>
  <c r="L429" i="4"/>
  <c r="L558" i="4"/>
  <c r="L527" i="4"/>
  <c r="L528" i="4"/>
  <c r="L584" i="4"/>
  <c r="L365" i="4"/>
  <c r="L366" i="4"/>
  <c r="L367" i="4"/>
  <c r="L464" i="4"/>
  <c r="L551" i="4"/>
  <c r="L493" i="4"/>
  <c r="L494" i="4"/>
  <c r="L463" i="4"/>
  <c r="L432" i="4"/>
  <c r="M432" i="4" s="1"/>
  <c r="L590" i="4"/>
  <c r="L143" i="4"/>
  <c r="L398" i="4"/>
  <c r="L560" i="4"/>
  <c r="L582" i="4"/>
  <c r="M581" i="4" s="1"/>
  <c r="L237" i="4"/>
  <c r="L238" i="4"/>
  <c r="M237" i="4" s="1"/>
  <c r="L271" i="4"/>
  <c r="L304" i="4"/>
  <c r="L550" i="4"/>
  <c r="M549" i="4" s="1"/>
  <c r="L77" i="4"/>
  <c r="L518" i="4"/>
  <c r="M517" i="4" s="1"/>
  <c r="L295" i="4"/>
  <c r="L327" i="4"/>
  <c r="M326" i="4" s="1"/>
  <c r="L359" i="4"/>
  <c r="M358" i="4" s="1"/>
  <c r="L391" i="4"/>
  <c r="L423" i="4"/>
  <c r="M422" i="4" s="1"/>
  <c r="L455" i="4"/>
  <c r="M454" i="4" s="1"/>
  <c r="L487" i="4"/>
  <c r="L552" i="4"/>
  <c r="L269" i="4"/>
  <c r="L78" i="4"/>
  <c r="M77" i="4" s="1"/>
  <c r="L175" i="4"/>
  <c r="L80" i="4"/>
  <c r="M79" i="4" s="1"/>
  <c r="L40" i="4"/>
  <c r="M39" i="4" s="1"/>
  <c r="L72" i="4"/>
  <c r="L104" i="4"/>
  <c r="L136" i="4"/>
  <c r="L168" i="4"/>
  <c r="L200" i="4"/>
  <c r="L232" i="4"/>
  <c r="L264" i="4"/>
  <c r="L296" i="4"/>
  <c r="L328" i="4"/>
  <c r="L360" i="4"/>
  <c r="L392" i="4"/>
  <c r="L424" i="4"/>
  <c r="L456" i="4"/>
  <c r="L461" i="4"/>
  <c r="L14" i="4"/>
  <c r="L559" i="4"/>
  <c r="L496" i="4"/>
  <c r="L41" i="4"/>
  <c r="L73" i="4"/>
  <c r="L105" i="4"/>
  <c r="L137" i="4"/>
  <c r="L169" i="4"/>
  <c r="L201" i="4"/>
  <c r="M200" i="4" s="1"/>
  <c r="L233" i="4"/>
  <c r="L265" i="4"/>
  <c r="L297" i="4"/>
  <c r="M296" i="4" s="1"/>
  <c r="L329" i="4"/>
  <c r="M328" i="4" s="1"/>
  <c r="L361" i="4"/>
  <c r="M360" i="4" s="1"/>
  <c r="L393" i="4"/>
  <c r="M392" i="4" s="1"/>
  <c r="L425" i="4"/>
  <c r="M424" i="4" s="1"/>
  <c r="L457" i="4"/>
  <c r="M456" i="4" s="1"/>
  <c r="L489" i="4"/>
  <c r="L521" i="4"/>
  <c r="L553" i="4"/>
  <c r="L585" i="4"/>
  <c r="L141" i="4"/>
  <c r="L174" i="4"/>
  <c r="L111" i="4"/>
  <c r="L112" i="4"/>
  <c r="M111" i="4" s="1"/>
  <c r="L10" i="4"/>
  <c r="L42" i="4"/>
  <c r="L74" i="4"/>
  <c r="L106" i="4"/>
  <c r="L138" i="4"/>
  <c r="L170" i="4"/>
  <c r="L202" i="4"/>
  <c r="L234" i="4"/>
  <c r="L266" i="4"/>
  <c r="L298" i="4"/>
  <c r="L330" i="4"/>
  <c r="L362" i="4"/>
  <c r="L394" i="4"/>
  <c r="L426" i="4"/>
  <c r="L458" i="4"/>
  <c r="L490" i="4"/>
  <c r="L522" i="4"/>
  <c r="L554" i="4"/>
  <c r="L586" i="4"/>
  <c r="L301" i="4"/>
  <c r="L46" i="4"/>
  <c r="M45" i="4" s="1"/>
  <c r="L207" i="4"/>
  <c r="M206" i="4" s="1"/>
  <c r="L48" i="4"/>
  <c r="M47" i="4" s="1"/>
  <c r="L11" i="4"/>
  <c r="L43" i="4"/>
  <c r="M42" i="4" s="1"/>
  <c r="L75" i="4"/>
  <c r="M74" i="4" s="1"/>
  <c r="L107" i="4"/>
  <c r="L139" i="4"/>
  <c r="L171" i="4"/>
  <c r="L203" i="4"/>
  <c r="L235" i="4"/>
  <c r="L267" i="4"/>
  <c r="L299" i="4"/>
  <c r="L331" i="4"/>
  <c r="L363" i="4"/>
  <c r="L395" i="4"/>
  <c r="L427" i="4"/>
  <c r="L459" i="4"/>
  <c r="L491" i="4"/>
  <c r="L523" i="4"/>
  <c r="L555" i="4"/>
  <c r="L587" i="4"/>
  <c r="L205" i="4"/>
  <c r="L589" i="4"/>
  <c r="L462" i="4"/>
  <c r="L399" i="4"/>
  <c r="M398" i="4" s="1"/>
  <c r="L336" i="4"/>
  <c r="L12" i="4"/>
  <c r="L44" i="4"/>
  <c r="L76" i="4"/>
  <c r="L108" i="4"/>
  <c r="L140" i="4"/>
  <c r="L172" i="4"/>
  <c r="L204" i="4"/>
  <c r="M203" i="4" s="1"/>
  <c r="L236" i="4"/>
  <c r="M235" i="4" s="1"/>
  <c r="L268" i="4"/>
  <c r="L300" i="4"/>
  <c r="M299" i="4" s="1"/>
  <c r="L332" i="4"/>
  <c r="M331" i="4" s="1"/>
  <c r="L364" i="4"/>
  <c r="L396" i="4"/>
  <c r="L428" i="4"/>
  <c r="L460" i="4"/>
  <c r="L492" i="4"/>
  <c r="L524" i="4"/>
  <c r="L556" i="4"/>
  <c r="L588" i="4"/>
  <c r="L333" i="4"/>
  <c r="L334" i="4"/>
  <c r="L335" i="4"/>
  <c r="L272" i="4"/>
  <c r="L306" i="4"/>
  <c r="M305" i="4" s="1"/>
  <c r="L116" i="4"/>
  <c r="M115" i="4" s="1"/>
  <c r="L533" i="4"/>
  <c r="M532" i="4" s="1"/>
  <c r="L343" i="4"/>
  <c r="M342" i="4" s="1"/>
  <c r="L153" i="4"/>
  <c r="M152" i="4" s="1"/>
  <c r="L570" i="4"/>
  <c r="M569" i="4" s="1"/>
  <c r="L380" i="4"/>
  <c r="L190" i="4"/>
  <c r="M189" i="4" s="1"/>
  <c r="L607" i="4"/>
  <c r="M606" i="4" s="1"/>
  <c r="L417" i="4"/>
  <c r="L227" i="4"/>
  <c r="M226" i="4" s="1"/>
  <c r="L101" i="4"/>
  <c r="M100" i="4" s="1"/>
  <c r="L71" i="4"/>
  <c r="M351" i="4"/>
  <c r="M188" i="4"/>
  <c r="M338" i="4"/>
  <c r="L245" i="4"/>
  <c r="L309" i="4"/>
  <c r="M309" i="4" s="1"/>
  <c r="L563" i="4"/>
  <c r="M562" i="4" s="1"/>
  <c r="L25" i="4"/>
  <c r="M24" i="4" s="1"/>
  <c r="L338" i="4"/>
  <c r="L148" i="4"/>
  <c r="M147" i="4" s="1"/>
  <c r="L565" i="4"/>
  <c r="L375" i="4"/>
  <c r="L185" i="4"/>
  <c r="L602" i="4"/>
  <c r="M601" i="4" s="1"/>
  <c r="L412" i="4"/>
  <c r="M411" i="4" s="1"/>
  <c r="L222" i="4"/>
  <c r="L32" i="4"/>
  <c r="M31" i="4" s="1"/>
  <c r="L449" i="4"/>
  <c r="M448" i="4" s="1"/>
  <c r="L259" i="4"/>
  <c r="L133" i="4"/>
  <c r="M132" i="4" s="1"/>
  <c r="L103" i="4"/>
  <c r="M541" i="4"/>
  <c r="L370" i="4"/>
  <c r="L180" i="4"/>
  <c r="L597" i="4"/>
  <c r="M596" i="4" s="1"/>
  <c r="L407" i="4"/>
  <c r="M406" i="4" s="1"/>
  <c r="L217" i="4"/>
  <c r="M216" i="4" s="1"/>
  <c r="L27" i="4"/>
  <c r="L444" i="4"/>
  <c r="M443" i="4" s="1"/>
  <c r="L254" i="4"/>
  <c r="L64" i="4"/>
  <c r="M63" i="4" s="1"/>
  <c r="L481" i="4"/>
  <c r="M480" i="4" s="1"/>
  <c r="L291" i="4"/>
  <c r="M290" i="4" s="1"/>
  <c r="L165" i="4"/>
  <c r="M164" i="4" s="1"/>
  <c r="L135" i="4"/>
  <c r="M134" i="4" s="1"/>
  <c r="M124" i="4"/>
  <c r="M225" i="4"/>
  <c r="L402" i="4"/>
  <c r="M401" i="4" s="1"/>
  <c r="L212" i="4"/>
  <c r="M211" i="4" s="1"/>
  <c r="L22" i="4"/>
  <c r="M21" i="4" s="1"/>
  <c r="L439" i="4"/>
  <c r="L249" i="4"/>
  <c r="M248" i="4" s="1"/>
  <c r="L59" i="4"/>
  <c r="L476" i="4"/>
  <c r="M475" i="4" s="1"/>
  <c r="L286" i="4"/>
  <c r="M285" i="4" s="1"/>
  <c r="L96" i="4"/>
  <c r="M95" i="4" s="1"/>
  <c r="L513" i="4"/>
  <c r="L323" i="4"/>
  <c r="L197" i="4"/>
  <c r="M196" i="4" s="1"/>
  <c r="L167" i="4"/>
  <c r="L371" i="4"/>
  <c r="L467" i="4"/>
  <c r="L114" i="4"/>
  <c r="M113" i="4" s="1"/>
  <c r="L183" i="4"/>
  <c r="M182" i="4" s="1"/>
  <c r="L405" i="4"/>
  <c r="L210" i="4"/>
  <c r="L17" i="4"/>
  <c r="L434" i="4"/>
  <c r="M433" i="4" s="1"/>
  <c r="L244" i="4"/>
  <c r="L54" i="4"/>
  <c r="L471" i="4"/>
  <c r="M470" i="4" s="1"/>
  <c r="L281" i="4"/>
  <c r="M280" i="4" s="1"/>
  <c r="L91" i="4"/>
  <c r="L508" i="4"/>
  <c r="M507" i="4" s="1"/>
  <c r="L318" i="4"/>
  <c r="M317" i="4" s="1"/>
  <c r="L128" i="4"/>
  <c r="M127" i="4" s="1"/>
  <c r="L545" i="4"/>
  <c r="L355" i="4"/>
  <c r="M354" i="4" s="1"/>
  <c r="L229" i="4"/>
  <c r="L199" i="4"/>
  <c r="M477" i="4"/>
  <c r="M605" i="4"/>
  <c r="L49" i="4"/>
  <c r="L466" i="4"/>
  <c r="L276" i="4"/>
  <c r="M275" i="4" s="1"/>
  <c r="L86" i="4"/>
  <c r="M85" i="4" s="1"/>
  <c r="L503" i="4"/>
  <c r="M502" i="4" s="1"/>
  <c r="L313" i="4"/>
  <c r="L123" i="4"/>
  <c r="L540" i="4"/>
  <c r="L350" i="4"/>
  <c r="L160" i="4"/>
  <c r="L577" i="4"/>
  <c r="L387" i="4"/>
  <c r="L261" i="4"/>
  <c r="L231" i="4"/>
  <c r="M230" i="4" s="1"/>
  <c r="M28" i="4"/>
  <c r="M319" i="4"/>
  <c r="L213" i="4"/>
  <c r="L277" i="4"/>
  <c r="M277" i="4" s="1"/>
  <c r="L341" i="4"/>
  <c r="L81" i="4"/>
  <c r="L498" i="4"/>
  <c r="M497" i="4" s="1"/>
  <c r="L308" i="4"/>
  <c r="M307" i="4" s="1"/>
  <c r="L118" i="4"/>
  <c r="M117" i="4" s="1"/>
  <c r="L535" i="4"/>
  <c r="M534" i="4" s="1"/>
  <c r="L345" i="4"/>
  <c r="L155" i="4"/>
  <c r="M154" i="4" s="1"/>
  <c r="L572" i="4"/>
  <c r="L382" i="4"/>
  <c r="M381" i="4" s="1"/>
  <c r="L192" i="4"/>
  <c r="M191" i="4" s="1"/>
  <c r="L609" i="4"/>
  <c r="L419" i="4"/>
  <c r="M418" i="4" s="1"/>
  <c r="L293" i="4"/>
  <c r="L263" i="4"/>
  <c r="M262" i="4" s="1"/>
  <c r="M180" i="4" l="1"/>
  <c r="M102" i="4"/>
  <c r="M547" i="4"/>
  <c r="M125" i="4"/>
  <c r="M478" i="4"/>
  <c r="M220" i="4"/>
  <c r="M566" i="4"/>
  <c r="T138" i="4"/>
  <c r="T230" i="4"/>
  <c r="T244" i="4"/>
  <c r="T560" i="4"/>
  <c r="T71" i="4"/>
  <c r="T545" i="4"/>
  <c r="T22" i="4"/>
  <c r="T302" i="4"/>
  <c r="T214" i="4"/>
  <c r="T57" i="4"/>
  <c r="T471" i="4"/>
  <c r="T165" i="4"/>
  <c r="T261" i="4"/>
  <c r="T242" i="4"/>
  <c r="T342" i="4"/>
  <c r="M595" i="4"/>
  <c r="M527" i="4"/>
  <c r="M70" i="4"/>
  <c r="M390" i="4"/>
  <c r="M335" i="4"/>
  <c r="M228" i="4"/>
  <c r="M145" i="4"/>
  <c r="M510" i="4"/>
  <c r="M369" i="4"/>
  <c r="T347" i="4"/>
  <c r="T451" i="4"/>
  <c r="T607" i="4"/>
  <c r="T147" i="4"/>
  <c r="T110" i="4"/>
  <c r="T552" i="4"/>
  <c r="T432" i="4"/>
  <c r="T232" i="4"/>
  <c r="T268" i="4"/>
  <c r="T16" i="4"/>
  <c r="T21" i="4"/>
  <c r="T185" i="4"/>
  <c r="T330" i="4"/>
  <c r="T584" i="4"/>
  <c r="M52" i="4"/>
  <c r="M253" i="4"/>
  <c r="M264" i="4"/>
  <c r="M121" i="4"/>
  <c r="M232" i="4"/>
  <c r="M26" i="4"/>
  <c r="M590" i="4"/>
  <c r="M445" i="4"/>
  <c r="M16" i="4"/>
  <c r="M209" i="4"/>
  <c r="M430" i="4"/>
  <c r="M576" i="4"/>
  <c r="M142" i="4"/>
  <c r="M386" i="4"/>
  <c r="M198" i="4"/>
  <c r="M571" i="4"/>
  <c r="T163" i="4"/>
  <c r="T187" i="4"/>
  <c r="T472" i="4"/>
  <c r="T250" i="4"/>
  <c r="T378" i="4"/>
  <c r="T336" i="4"/>
  <c r="T412" i="4"/>
  <c r="T603" i="4"/>
  <c r="T368" i="4"/>
  <c r="T502" i="4"/>
  <c r="T93" i="4"/>
  <c r="T345" i="4"/>
  <c r="T118" i="4"/>
  <c r="T445" i="4"/>
  <c r="T188" i="4"/>
  <c r="T32" i="4"/>
  <c r="T588" i="4"/>
  <c r="T28" i="4"/>
  <c r="T551" i="4"/>
  <c r="T134" i="4"/>
  <c r="T539" i="4"/>
  <c r="T541" i="4"/>
  <c r="T95" i="4"/>
  <c r="T88" i="4"/>
  <c r="M591" i="4"/>
  <c r="M389" i="4"/>
  <c r="M379" i="4"/>
  <c r="M461" i="4"/>
  <c r="M294" i="4"/>
  <c r="M446" i="4"/>
  <c r="M159" i="4"/>
  <c r="M384" i="4"/>
  <c r="M349" i="4"/>
  <c r="M304" i="4"/>
  <c r="M450" i="4"/>
  <c r="M283" i="4"/>
  <c r="M166" i="4"/>
  <c r="M271" i="4"/>
  <c r="M473" i="4"/>
  <c r="M388" i="4"/>
  <c r="M545" i="4"/>
  <c r="M465" i="4"/>
  <c r="M221" i="4"/>
  <c r="M83" i="4"/>
  <c r="M599" i="4"/>
  <c r="M184" i="4"/>
  <c r="M498" i="4"/>
  <c r="M374" i="4"/>
  <c r="M471" i="4"/>
  <c r="M110" i="4"/>
  <c r="M560" i="4"/>
  <c r="M567" i="4"/>
  <c r="M337" i="4"/>
  <c r="M208" i="4"/>
  <c r="M421" i="4"/>
  <c r="M344" i="4"/>
  <c r="M464" i="4"/>
  <c r="M451" i="4"/>
  <c r="M539" i="4"/>
  <c r="M520" i="4"/>
  <c r="M239" i="4"/>
  <c r="M98" i="4"/>
  <c r="M415" i="4"/>
  <c r="M23" i="4"/>
  <c r="M488" i="4"/>
  <c r="M365" i="4"/>
  <c r="M302" i="4"/>
  <c r="M603" i="4"/>
  <c r="M563" i="4"/>
  <c r="M149" i="4"/>
  <c r="M287" i="4"/>
  <c r="M174" i="4"/>
  <c r="M12" i="4"/>
  <c r="M518" i="4"/>
  <c r="M53" i="4"/>
  <c r="M557" i="4"/>
  <c r="M255" i="4"/>
  <c r="M403" i="4"/>
  <c r="M525" i="4"/>
  <c r="M529" i="4"/>
  <c r="M504" i="4"/>
  <c r="M339" i="4"/>
  <c r="T195" i="4"/>
  <c r="T390" i="4"/>
  <c r="T12" i="4"/>
  <c r="T112" i="4"/>
  <c r="T529" i="4"/>
  <c r="T521" i="4"/>
  <c r="T148" i="4"/>
  <c r="T139" i="4"/>
  <c r="T604" i="4"/>
  <c r="T56" i="4"/>
  <c r="T484" i="4"/>
  <c r="T366" i="4"/>
  <c r="T114" i="4"/>
  <c r="T109" i="4"/>
  <c r="T364" i="4"/>
  <c r="T229" i="4"/>
  <c r="T305" i="4"/>
  <c r="T222" i="4"/>
  <c r="T285" i="4"/>
  <c r="T284" i="4"/>
  <c r="T46" i="4"/>
  <c r="T340" i="4"/>
  <c r="T596" i="4"/>
  <c r="T405" i="4"/>
  <c r="T462" i="4"/>
  <c r="T282" i="4"/>
  <c r="T129" i="4"/>
  <c r="T279" i="4"/>
  <c r="T505" i="4"/>
  <c r="T267" i="4"/>
  <c r="T503" i="4"/>
  <c r="T168" i="4"/>
  <c r="T509" i="4"/>
  <c r="T593" i="4"/>
  <c r="T440" i="4"/>
  <c r="T270" i="4"/>
  <c r="T152" i="4"/>
  <c r="T353" i="4"/>
  <c r="T276" i="4"/>
  <c r="T30" i="4"/>
  <c r="T558" i="4"/>
  <c r="T96" i="4"/>
  <c r="T107" i="4"/>
  <c r="T585" i="4"/>
  <c r="T427" i="4"/>
  <c r="T158" i="4"/>
  <c r="T444" i="4"/>
  <c r="T259" i="4"/>
  <c r="T356" i="4"/>
  <c r="T179" i="4"/>
  <c r="T566" i="4"/>
  <c r="T574" i="4"/>
  <c r="T350" i="4"/>
  <c r="T346" i="4"/>
  <c r="T490" i="4"/>
  <c r="T256" i="4"/>
  <c r="T247" i="4"/>
  <c r="T317" i="4"/>
  <c r="T406" i="4"/>
  <c r="T382" i="4"/>
  <c r="T513" i="4"/>
  <c r="T69" i="4"/>
  <c r="T252" i="4"/>
  <c r="T236" i="4"/>
  <c r="T396" i="4"/>
  <c r="T166" i="4"/>
  <c r="T355" i="4"/>
  <c r="T20" i="4"/>
  <c r="T75" i="4"/>
  <c r="T311" i="4"/>
  <c r="T220" i="4"/>
  <c r="T408" i="4"/>
  <c r="M128" i="4"/>
  <c r="M90" i="4"/>
  <c r="M71" i="4"/>
  <c r="M366" i="4"/>
  <c r="M469" i="4"/>
  <c r="M604" i="4"/>
  <c r="M318" i="4"/>
  <c r="M505" i="4"/>
  <c r="M508" i="4"/>
  <c r="M340" i="4"/>
  <c r="M267" i="4"/>
  <c r="M10" i="4"/>
  <c r="M364" i="4"/>
  <c r="M269" i="4"/>
  <c r="M91" i="4"/>
  <c r="M171" i="4"/>
  <c r="M526" i="4"/>
  <c r="M399" i="4"/>
  <c r="M139" i="4"/>
  <c r="M551" i="4"/>
  <c r="M494" i="4"/>
  <c r="M404" i="4"/>
  <c r="M553" i="4"/>
  <c r="M524" i="4"/>
  <c r="M288" i="4"/>
  <c r="O9" i="4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O56" i="4" s="1"/>
  <c r="O57" i="4" s="1"/>
  <c r="O58" i="4" s="1"/>
  <c r="O59" i="4" s="1"/>
  <c r="O60" i="4" s="1"/>
  <c r="O61" i="4" s="1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O82" i="4" s="1"/>
  <c r="O83" i="4" s="1"/>
  <c r="O84" i="4" s="1"/>
  <c r="O85" i="4" s="1"/>
  <c r="O86" i="4" s="1"/>
  <c r="O87" i="4" s="1"/>
  <c r="O88" i="4" s="1"/>
  <c r="O89" i="4" s="1"/>
  <c r="O90" i="4" s="1"/>
  <c r="O91" i="4" s="1"/>
  <c r="O92" i="4" s="1"/>
  <c r="O93" i="4" s="1"/>
  <c r="O94" i="4" s="1"/>
  <c r="O95" i="4" s="1"/>
  <c r="O96" i="4" s="1"/>
  <c r="O97" i="4" s="1"/>
  <c r="O98" i="4" s="1"/>
  <c r="O99" i="4" s="1"/>
  <c r="O100" i="4" s="1"/>
  <c r="O101" i="4" s="1"/>
  <c r="O102" i="4" s="1"/>
  <c r="O103" i="4" s="1"/>
  <c r="O104" i="4" s="1"/>
  <c r="O105" i="4" s="1"/>
  <c r="O106" i="4" s="1"/>
  <c r="O107" i="4" s="1"/>
  <c r="O108" i="4" s="1"/>
  <c r="O109" i="4" s="1"/>
  <c r="O110" i="4" s="1"/>
  <c r="O111" i="4" s="1"/>
  <c r="O112" i="4" s="1"/>
  <c r="O113" i="4" s="1"/>
  <c r="O114" i="4" s="1"/>
  <c r="O115" i="4" s="1"/>
  <c r="O116" i="4" s="1"/>
  <c r="O117" i="4" s="1"/>
  <c r="O118" i="4" s="1"/>
  <c r="O119" i="4" s="1"/>
  <c r="O120" i="4" s="1"/>
  <c r="O121" i="4" s="1"/>
  <c r="O122" i="4" s="1"/>
  <c r="O123" i="4" s="1"/>
  <c r="O124" i="4" s="1"/>
  <c r="O125" i="4" s="1"/>
  <c r="O126" i="4" s="1"/>
  <c r="O127" i="4" s="1"/>
  <c r="O128" i="4" s="1"/>
  <c r="O129" i="4" s="1"/>
  <c r="O130" i="4" s="1"/>
  <c r="O131" i="4" s="1"/>
  <c r="O132" i="4" s="1"/>
  <c r="O133" i="4" s="1"/>
  <c r="O134" i="4" s="1"/>
  <c r="O135" i="4" s="1"/>
  <c r="O136" i="4" s="1"/>
  <c r="O137" i="4" s="1"/>
  <c r="O138" i="4" s="1"/>
  <c r="O139" i="4" s="1"/>
  <c r="O140" i="4" s="1"/>
  <c r="O141" i="4" s="1"/>
  <c r="O142" i="4" s="1"/>
  <c r="O143" i="4" s="1"/>
  <c r="O144" i="4" s="1"/>
  <c r="O145" i="4" s="1"/>
  <c r="O146" i="4" s="1"/>
  <c r="O147" i="4" s="1"/>
  <c r="O148" i="4" s="1"/>
  <c r="O149" i="4" s="1"/>
  <c r="O150" i="4" s="1"/>
  <c r="O151" i="4" s="1"/>
  <c r="O152" i="4" s="1"/>
  <c r="O153" i="4" s="1"/>
  <c r="O154" i="4" s="1"/>
  <c r="O155" i="4" s="1"/>
  <c r="O156" i="4" s="1"/>
  <c r="O157" i="4" s="1"/>
  <c r="O158" i="4" s="1"/>
  <c r="O159" i="4" s="1"/>
  <c r="O160" i="4" s="1"/>
  <c r="O161" i="4" s="1"/>
  <c r="O162" i="4" s="1"/>
  <c r="O163" i="4" s="1"/>
  <c r="O164" i="4" s="1"/>
  <c r="O165" i="4" s="1"/>
  <c r="O166" i="4" s="1"/>
  <c r="O167" i="4" s="1"/>
  <c r="O168" i="4" s="1"/>
  <c r="O169" i="4" s="1"/>
  <c r="O170" i="4" s="1"/>
  <c r="O171" i="4" s="1"/>
  <c r="O172" i="4" s="1"/>
  <c r="O173" i="4" s="1"/>
  <c r="O174" i="4" s="1"/>
  <c r="O175" i="4" s="1"/>
  <c r="O176" i="4" s="1"/>
  <c r="O177" i="4" s="1"/>
  <c r="O178" i="4" s="1"/>
  <c r="O179" i="4" s="1"/>
  <c r="O180" i="4" s="1"/>
  <c r="O181" i="4" s="1"/>
  <c r="O182" i="4" s="1"/>
  <c r="O183" i="4" s="1"/>
  <c r="O184" i="4" s="1"/>
  <c r="O185" i="4" s="1"/>
  <c r="O186" i="4" s="1"/>
  <c r="O187" i="4" s="1"/>
  <c r="O188" i="4" s="1"/>
  <c r="O189" i="4" s="1"/>
  <c r="O190" i="4" s="1"/>
  <c r="O191" i="4" s="1"/>
  <c r="O192" i="4" s="1"/>
  <c r="O193" i="4" s="1"/>
  <c r="O194" i="4" s="1"/>
  <c r="O195" i="4" s="1"/>
  <c r="O196" i="4" s="1"/>
  <c r="O197" i="4" s="1"/>
  <c r="O198" i="4" s="1"/>
  <c r="O199" i="4" s="1"/>
  <c r="O200" i="4" s="1"/>
  <c r="O201" i="4" s="1"/>
  <c r="O202" i="4" s="1"/>
  <c r="O203" i="4" s="1"/>
  <c r="O204" i="4" s="1"/>
  <c r="O205" i="4" s="1"/>
  <c r="O206" i="4" s="1"/>
  <c r="O207" i="4" s="1"/>
  <c r="O208" i="4" s="1"/>
  <c r="O209" i="4" s="1"/>
  <c r="O210" i="4" s="1"/>
  <c r="O211" i="4" s="1"/>
  <c r="O212" i="4" s="1"/>
  <c r="O213" i="4" s="1"/>
  <c r="O214" i="4" s="1"/>
  <c r="O215" i="4" s="1"/>
  <c r="O216" i="4" s="1"/>
  <c r="O217" i="4" s="1"/>
  <c r="O218" i="4" s="1"/>
  <c r="O219" i="4" s="1"/>
  <c r="O220" i="4" s="1"/>
  <c r="O221" i="4" s="1"/>
  <c r="O222" i="4" s="1"/>
  <c r="O223" i="4" s="1"/>
  <c r="O224" i="4" s="1"/>
  <c r="O225" i="4" s="1"/>
  <c r="O226" i="4" s="1"/>
  <c r="O227" i="4" s="1"/>
  <c r="O228" i="4" s="1"/>
  <c r="O229" i="4" s="1"/>
  <c r="O230" i="4" s="1"/>
  <c r="O231" i="4" s="1"/>
  <c r="O232" i="4" s="1"/>
  <c r="O233" i="4" s="1"/>
  <c r="O234" i="4" s="1"/>
  <c r="O235" i="4" s="1"/>
  <c r="O236" i="4" s="1"/>
  <c r="O237" i="4" s="1"/>
  <c r="O238" i="4" s="1"/>
  <c r="O239" i="4" s="1"/>
  <c r="O240" i="4" s="1"/>
  <c r="O241" i="4" s="1"/>
  <c r="O242" i="4" s="1"/>
  <c r="O243" i="4" s="1"/>
  <c r="O244" i="4" s="1"/>
  <c r="O245" i="4" s="1"/>
  <c r="O246" i="4" s="1"/>
  <c r="O247" i="4" s="1"/>
  <c r="O248" i="4" s="1"/>
  <c r="O249" i="4" s="1"/>
  <c r="O250" i="4" s="1"/>
  <c r="O251" i="4" s="1"/>
  <c r="O252" i="4" s="1"/>
  <c r="O253" i="4" s="1"/>
  <c r="O254" i="4" s="1"/>
  <c r="O255" i="4" s="1"/>
  <c r="O256" i="4" s="1"/>
  <c r="O257" i="4" s="1"/>
  <c r="O258" i="4" s="1"/>
  <c r="O259" i="4" s="1"/>
  <c r="O260" i="4" s="1"/>
  <c r="O261" i="4" s="1"/>
  <c r="O262" i="4" s="1"/>
  <c r="O263" i="4" s="1"/>
  <c r="O264" i="4" s="1"/>
  <c r="O265" i="4" s="1"/>
  <c r="O266" i="4" s="1"/>
  <c r="O267" i="4" s="1"/>
  <c r="O268" i="4" s="1"/>
  <c r="O269" i="4" s="1"/>
  <c r="O270" i="4" s="1"/>
  <c r="O271" i="4" s="1"/>
  <c r="O272" i="4" s="1"/>
  <c r="O273" i="4" s="1"/>
  <c r="O274" i="4" s="1"/>
  <c r="O275" i="4" s="1"/>
  <c r="O276" i="4" s="1"/>
  <c r="O277" i="4" s="1"/>
  <c r="O278" i="4" s="1"/>
  <c r="O279" i="4" s="1"/>
  <c r="O280" i="4" s="1"/>
  <c r="O281" i="4" s="1"/>
  <c r="O282" i="4" s="1"/>
  <c r="O283" i="4" s="1"/>
  <c r="O284" i="4" s="1"/>
  <c r="O285" i="4" s="1"/>
  <c r="O286" i="4" s="1"/>
  <c r="O287" i="4" s="1"/>
  <c r="O288" i="4" s="1"/>
  <c r="O289" i="4" s="1"/>
  <c r="O290" i="4" s="1"/>
  <c r="O291" i="4" s="1"/>
  <c r="O292" i="4" s="1"/>
  <c r="O293" i="4" s="1"/>
  <c r="O294" i="4" s="1"/>
  <c r="O295" i="4" s="1"/>
  <c r="O296" i="4" s="1"/>
  <c r="O297" i="4" s="1"/>
  <c r="O298" i="4" s="1"/>
  <c r="O299" i="4" s="1"/>
  <c r="O300" i="4" s="1"/>
  <c r="O301" i="4" s="1"/>
  <c r="O302" i="4" s="1"/>
  <c r="O303" i="4" s="1"/>
  <c r="O304" i="4" s="1"/>
  <c r="O305" i="4" s="1"/>
  <c r="O306" i="4" s="1"/>
  <c r="O307" i="4" s="1"/>
  <c r="O308" i="4" s="1"/>
  <c r="O309" i="4" s="1"/>
  <c r="O310" i="4" s="1"/>
  <c r="O311" i="4" s="1"/>
  <c r="O312" i="4" s="1"/>
  <c r="O313" i="4" s="1"/>
  <c r="O314" i="4" s="1"/>
  <c r="O315" i="4" s="1"/>
  <c r="O316" i="4" s="1"/>
  <c r="O317" i="4" s="1"/>
  <c r="O318" i="4" s="1"/>
  <c r="O319" i="4" s="1"/>
  <c r="O320" i="4" s="1"/>
  <c r="O321" i="4" s="1"/>
  <c r="O322" i="4" s="1"/>
  <c r="O323" i="4" s="1"/>
  <c r="O324" i="4" s="1"/>
  <c r="O325" i="4" s="1"/>
  <c r="O326" i="4" s="1"/>
  <c r="O327" i="4" s="1"/>
  <c r="O328" i="4" s="1"/>
  <c r="O329" i="4" s="1"/>
  <c r="O330" i="4" s="1"/>
  <c r="O331" i="4" s="1"/>
  <c r="O332" i="4" s="1"/>
  <c r="O333" i="4" s="1"/>
  <c r="O334" i="4" s="1"/>
  <c r="O335" i="4" s="1"/>
  <c r="O336" i="4" s="1"/>
  <c r="O337" i="4" s="1"/>
  <c r="O338" i="4" s="1"/>
  <c r="O339" i="4" s="1"/>
  <c r="O340" i="4" s="1"/>
  <c r="O341" i="4" s="1"/>
  <c r="O342" i="4" s="1"/>
  <c r="O343" i="4" s="1"/>
  <c r="O344" i="4" s="1"/>
  <c r="O345" i="4" s="1"/>
  <c r="O346" i="4" s="1"/>
  <c r="O347" i="4" s="1"/>
  <c r="O348" i="4" s="1"/>
  <c r="O349" i="4" s="1"/>
  <c r="O350" i="4" s="1"/>
  <c r="O351" i="4" s="1"/>
  <c r="O352" i="4" s="1"/>
  <c r="O353" i="4" s="1"/>
  <c r="O354" i="4" s="1"/>
  <c r="O355" i="4" s="1"/>
  <c r="O356" i="4" s="1"/>
  <c r="O357" i="4" s="1"/>
  <c r="O358" i="4" s="1"/>
  <c r="O359" i="4" s="1"/>
  <c r="O360" i="4" s="1"/>
  <c r="O361" i="4" s="1"/>
  <c r="O362" i="4" s="1"/>
  <c r="O363" i="4" s="1"/>
  <c r="O364" i="4" s="1"/>
  <c r="O365" i="4" s="1"/>
  <c r="O366" i="4" s="1"/>
  <c r="O367" i="4" s="1"/>
  <c r="O368" i="4" s="1"/>
  <c r="O369" i="4" s="1"/>
  <c r="O370" i="4" s="1"/>
  <c r="O371" i="4" s="1"/>
  <c r="O372" i="4" s="1"/>
  <c r="O373" i="4" s="1"/>
  <c r="O374" i="4" s="1"/>
  <c r="O375" i="4" s="1"/>
  <c r="O376" i="4" s="1"/>
  <c r="O377" i="4" s="1"/>
  <c r="O378" i="4" s="1"/>
  <c r="O379" i="4" s="1"/>
  <c r="O380" i="4" s="1"/>
  <c r="O381" i="4" s="1"/>
  <c r="O382" i="4" s="1"/>
  <c r="O383" i="4" s="1"/>
  <c r="O384" i="4" s="1"/>
  <c r="O385" i="4" s="1"/>
  <c r="O386" i="4" s="1"/>
  <c r="O387" i="4" s="1"/>
  <c r="O388" i="4" s="1"/>
  <c r="O389" i="4" s="1"/>
  <c r="O390" i="4" s="1"/>
  <c r="O391" i="4" s="1"/>
  <c r="O392" i="4" s="1"/>
  <c r="O393" i="4" s="1"/>
  <c r="O394" i="4" s="1"/>
  <c r="O395" i="4" s="1"/>
  <c r="O396" i="4" s="1"/>
  <c r="O397" i="4" s="1"/>
  <c r="O398" i="4" s="1"/>
  <c r="O399" i="4" s="1"/>
  <c r="O400" i="4" s="1"/>
  <c r="O401" i="4" s="1"/>
  <c r="O402" i="4" s="1"/>
  <c r="O403" i="4" s="1"/>
  <c r="O404" i="4" s="1"/>
  <c r="O405" i="4" s="1"/>
  <c r="O406" i="4" s="1"/>
  <c r="O407" i="4" s="1"/>
  <c r="O408" i="4" s="1"/>
  <c r="O409" i="4" s="1"/>
  <c r="O410" i="4" s="1"/>
  <c r="O411" i="4" s="1"/>
  <c r="O412" i="4" s="1"/>
  <c r="O413" i="4" s="1"/>
  <c r="O414" i="4" s="1"/>
  <c r="O415" i="4" s="1"/>
  <c r="O416" i="4" s="1"/>
  <c r="O417" i="4" s="1"/>
  <c r="O418" i="4" s="1"/>
  <c r="O419" i="4" s="1"/>
  <c r="O420" i="4" s="1"/>
  <c r="O421" i="4" s="1"/>
  <c r="O422" i="4" s="1"/>
  <c r="O423" i="4" s="1"/>
  <c r="O424" i="4" s="1"/>
  <c r="O425" i="4" s="1"/>
  <c r="O426" i="4" s="1"/>
  <c r="O427" i="4" s="1"/>
  <c r="O428" i="4" s="1"/>
  <c r="O429" i="4" s="1"/>
  <c r="O430" i="4" s="1"/>
  <c r="O431" i="4" s="1"/>
  <c r="O432" i="4" s="1"/>
  <c r="O433" i="4" s="1"/>
  <c r="O434" i="4" s="1"/>
  <c r="O435" i="4" s="1"/>
  <c r="O436" i="4" s="1"/>
  <c r="O437" i="4" s="1"/>
  <c r="O438" i="4" s="1"/>
  <c r="O439" i="4" s="1"/>
  <c r="O440" i="4" s="1"/>
  <c r="O441" i="4" s="1"/>
  <c r="O442" i="4" s="1"/>
  <c r="O443" i="4" s="1"/>
  <c r="O444" i="4" s="1"/>
  <c r="O445" i="4" s="1"/>
  <c r="O446" i="4" s="1"/>
  <c r="O447" i="4" s="1"/>
  <c r="O448" i="4" s="1"/>
  <c r="O449" i="4" s="1"/>
  <c r="O450" i="4" s="1"/>
  <c r="O451" i="4" s="1"/>
  <c r="O452" i="4" s="1"/>
  <c r="O453" i="4" s="1"/>
  <c r="O454" i="4" s="1"/>
  <c r="O455" i="4" s="1"/>
  <c r="O456" i="4" s="1"/>
  <c r="O457" i="4" s="1"/>
  <c r="O458" i="4" s="1"/>
  <c r="O459" i="4" s="1"/>
  <c r="O460" i="4" s="1"/>
  <c r="O461" i="4" s="1"/>
  <c r="O462" i="4" s="1"/>
  <c r="O463" i="4" s="1"/>
  <c r="O464" i="4" s="1"/>
  <c r="O465" i="4" s="1"/>
  <c r="O466" i="4" s="1"/>
  <c r="O467" i="4" s="1"/>
  <c r="O468" i="4" s="1"/>
  <c r="O469" i="4" s="1"/>
  <c r="O470" i="4" s="1"/>
  <c r="O471" i="4" s="1"/>
  <c r="O472" i="4" s="1"/>
  <c r="O473" i="4" s="1"/>
  <c r="O474" i="4" s="1"/>
  <c r="O475" i="4" s="1"/>
  <c r="O476" i="4" s="1"/>
  <c r="O477" i="4" s="1"/>
  <c r="O478" i="4" s="1"/>
  <c r="O479" i="4" s="1"/>
  <c r="O480" i="4" s="1"/>
  <c r="O481" i="4" s="1"/>
  <c r="O482" i="4" s="1"/>
  <c r="O483" i="4" s="1"/>
  <c r="O484" i="4" s="1"/>
  <c r="O485" i="4" s="1"/>
  <c r="O486" i="4" s="1"/>
  <c r="O487" i="4" s="1"/>
  <c r="O488" i="4" s="1"/>
  <c r="O489" i="4" s="1"/>
  <c r="O490" i="4" s="1"/>
  <c r="O491" i="4" s="1"/>
  <c r="O492" i="4" s="1"/>
  <c r="O493" i="4" s="1"/>
  <c r="O494" i="4" s="1"/>
  <c r="O495" i="4" s="1"/>
  <c r="O496" i="4" s="1"/>
  <c r="O497" i="4" s="1"/>
  <c r="O498" i="4" s="1"/>
  <c r="O499" i="4" s="1"/>
  <c r="O500" i="4" s="1"/>
  <c r="O501" i="4" s="1"/>
  <c r="O502" i="4" s="1"/>
  <c r="O503" i="4" s="1"/>
  <c r="O504" i="4" s="1"/>
  <c r="O505" i="4" s="1"/>
  <c r="O506" i="4" s="1"/>
  <c r="O507" i="4" s="1"/>
  <c r="O508" i="4" s="1"/>
  <c r="O509" i="4" s="1"/>
  <c r="O510" i="4" s="1"/>
  <c r="O511" i="4" s="1"/>
  <c r="O512" i="4" s="1"/>
  <c r="O513" i="4" s="1"/>
  <c r="O514" i="4" s="1"/>
  <c r="O515" i="4" s="1"/>
  <c r="O516" i="4" s="1"/>
  <c r="O517" i="4" s="1"/>
  <c r="O518" i="4" s="1"/>
  <c r="O519" i="4" s="1"/>
  <c r="O520" i="4" s="1"/>
  <c r="O521" i="4" s="1"/>
  <c r="O522" i="4" s="1"/>
  <c r="O523" i="4" s="1"/>
  <c r="O524" i="4" s="1"/>
  <c r="O525" i="4" s="1"/>
  <c r="O526" i="4" s="1"/>
  <c r="O527" i="4" s="1"/>
  <c r="O528" i="4" s="1"/>
  <c r="O529" i="4" s="1"/>
  <c r="O530" i="4" s="1"/>
  <c r="O531" i="4" s="1"/>
  <c r="O532" i="4" s="1"/>
  <c r="O533" i="4" s="1"/>
  <c r="O534" i="4" s="1"/>
  <c r="O535" i="4" s="1"/>
  <c r="O536" i="4" s="1"/>
  <c r="O537" i="4" s="1"/>
  <c r="O538" i="4" s="1"/>
  <c r="O539" i="4" s="1"/>
  <c r="O540" i="4" s="1"/>
  <c r="O541" i="4" s="1"/>
  <c r="O542" i="4" s="1"/>
  <c r="O543" i="4" s="1"/>
  <c r="O544" i="4" s="1"/>
  <c r="O545" i="4" s="1"/>
  <c r="O546" i="4" s="1"/>
  <c r="O547" i="4" s="1"/>
  <c r="O548" i="4" s="1"/>
  <c r="O549" i="4" s="1"/>
  <c r="O550" i="4" s="1"/>
  <c r="O551" i="4" s="1"/>
  <c r="O552" i="4" s="1"/>
  <c r="O553" i="4" s="1"/>
  <c r="O554" i="4" s="1"/>
  <c r="O555" i="4" s="1"/>
  <c r="O556" i="4" s="1"/>
  <c r="O557" i="4" s="1"/>
  <c r="O558" i="4" s="1"/>
  <c r="O559" i="4" s="1"/>
  <c r="O560" i="4" s="1"/>
  <c r="O561" i="4" s="1"/>
  <c r="O562" i="4" s="1"/>
  <c r="O563" i="4" s="1"/>
  <c r="O564" i="4" s="1"/>
  <c r="O565" i="4" s="1"/>
  <c r="O566" i="4" s="1"/>
  <c r="O567" i="4" s="1"/>
  <c r="O568" i="4" s="1"/>
  <c r="O569" i="4" s="1"/>
  <c r="O570" i="4" s="1"/>
  <c r="O571" i="4" s="1"/>
  <c r="O572" i="4" s="1"/>
  <c r="O573" i="4" s="1"/>
  <c r="O574" i="4" s="1"/>
  <c r="O575" i="4" s="1"/>
  <c r="O576" i="4" s="1"/>
  <c r="O577" i="4" s="1"/>
  <c r="O578" i="4" s="1"/>
  <c r="O579" i="4" s="1"/>
  <c r="O580" i="4" s="1"/>
  <c r="O581" i="4" s="1"/>
  <c r="O582" i="4" s="1"/>
  <c r="O583" i="4" s="1"/>
  <c r="O584" i="4" s="1"/>
  <c r="O585" i="4" s="1"/>
  <c r="O586" i="4" s="1"/>
  <c r="O587" i="4" s="1"/>
  <c r="O588" i="4" s="1"/>
  <c r="O589" i="4" s="1"/>
  <c r="O590" i="4" s="1"/>
  <c r="O591" i="4" s="1"/>
  <c r="O592" i="4" s="1"/>
  <c r="O593" i="4" s="1"/>
  <c r="O594" i="4" s="1"/>
  <c r="O595" i="4" s="1"/>
  <c r="O596" i="4" s="1"/>
  <c r="O597" i="4" s="1"/>
  <c r="O598" i="4" s="1"/>
  <c r="O599" i="4" s="1"/>
  <c r="O600" i="4" s="1"/>
  <c r="O601" i="4" s="1"/>
  <c r="O602" i="4" s="1"/>
  <c r="O603" i="4" s="1"/>
  <c r="O604" i="4" s="1"/>
  <c r="O605" i="4" s="1"/>
  <c r="O606" i="4" s="1"/>
  <c r="O607" i="4" s="1"/>
  <c r="O608" i="4" s="1"/>
  <c r="O609" i="4" s="1"/>
  <c r="N9" i="4"/>
  <c r="Y9" i="4" s="1"/>
  <c r="P9" i="4"/>
  <c r="M192" i="4"/>
  <c r="M37" i="4"/>
  <c r="M107" i="4"/>
  <c r="M416" i="4"/>
  <c r="M372" i="4"/>
  <c r="M382" i="4"/>
  <c r="M163" i="4"/>
  <c r="M260" i="4"/>
  <c r="M466" i="4"/>
  <c r="M168" i="4"/>
  <c r="M572" i="4"/>
  <c r="M321" i="4"/>
  <c r="M428" i="4"/>
  <c r="M370" i="4"/>
  <c r="M136" i="4"/>
  <c r="M155" i="4"/>
  <c r="M511" i="4"/>
  <c r="M104" i="4"/>
  <c r="M84" i="4"/>
  <c r="M94" i="4"/>
  <c r="M122" i="4"/>
  <c r="M588" i="4"/>
  <c r="M530" i="4"/>
  <c r="M284" i="4"/>
  <c r="M179" i="4"/>
  <c r="M312" i="4"/>
  <c r="M396" i="4"/>
  <c r="M116" i="4"/>
  <c r="M15" i="4"/>
  <c r="M453" i="4"/>
  <c r="M405" i="4"/>
  <c r="M580" i="4"/>
  <c r="M19" i="4"/>
  <c r="M258" i="4"/>
  <c r="M378" i="4"/>
  <c r="M583" i="4"/>
  <c r="M460" i="4"/>
  <c r="M256" i="4"/>
  <c r="M292" i="4"/>
  <c r="M334" i="4"/>
  <c r="M93" i="4"/>
  <c r="M58" i="4"/>
  <c r="M217" i="4"/>
  <c r="M409" i="4"/>
  <c r="M407" i="4"/>
  <c r="M54" i="4"/>
  <c r="M438" i="4"/>
  <c r="M597" i="4"/>
  <c r="M564" i="4"/>
  <c r="M485" i="4"/>
  <c r="M243" i="4"/>
  <c r="M585" i="4"/>
  <c r="M141" i="4"/>
  <c r="M410" i="4"/>
  <c r="M544" i="4"/>
  <c r="M493" i="4"/>
  <c r="M181" i="4"/>
  <c r="T473" i="4"/>
  <c r="T343" i="4"/>
  <c r="T480" i="4"/>
  <c r="T428" i="4"/>
  <c r="T410" i="4"/>
  <c r="T391" i="4"/>
  <c r="T540" i="4"/>
  <c r="T413" i="4"/>
  <c r="T226" i="4"/>
  <c r="T213" i="4"/>
  <c r="T421" i="4"/>
  <c r="T162" i="4"/>
  <c r="T504" i="4"/>
  <c r="T507" i="4"/>
  <c r="T402" i="4"/>
  <c r="T70" i="4"/>
  <c r="T467" i="4"/>
  <c r="T43" i="4"/>
  <c r="T334" i="4"/>
  <c r="T344" i="4"/>
  <c r="T563" i="4"/>
  <c r="T241" i="4"/>
  <c r="T323" i="4"/>
  <c r="T47" i="4"/>
  <c r="T497" i="4"/>
  <c r="T243" i="4"/>
  <c r="T186" i="4"/>
  <c r="T144" i="4"/>
  <c r="T303" i="4"/>
  <c r="T130" i="4"/>
  <c r="T419" i="4"/>
  <c r="T280" i="4"/>
  <c r="T288" i="4"/>
  <c r="T269" i="4"/>
  <c r="T461" i="4"/>
  <c r="T298" i="4"/>
  <c r="T385" i="4"/>
  <c r="T383" i="4"/>
  <c r="T80" i="4"/>
  <c r="T322" i="4"/>
  <c r="T104" i="4"/>
  <c r="T575" i="4"/>
  <c r="T331" i="4"/>
  <c r="T122" i="4"/>
  <c r="T228" i="4"/>
  <c r="T266" i="4"/>
  <c r="T82" i="4"/>
  <c r="T605" i="4"/>
  <c r="T463" i="4"/>
  <c r="T159" i="4"/>
  <c r="T60" i="4"/>
  <c r="T514" i="4"/>
  <c r="T487" i="4"/>
  <c r="T494" i="4"/>
  <c r="T495" i="4"/>
  <c r="T216" i="4"/>
  <c r="T92" i="4"/>
  <c r="T13" i="4"/>
  <c r="T72" i="4"/>
  <c r="T394" i="4"/>
  <c r="T556" i="4"/>
  <c r="T14" i="4"/>
  <c r="T475" i="4"/>
  <c r="T149" i="4"/>
  <c r="T456" i="4"/>
  <c r="T414" i="4"/>
  <c r="T58" i="4"/>
  <c r="T164" i="4"/>
  <c r="T501" i="4"/>
  <c r="T553" i="4"/>
  <c r="T31" i="4"/>
  <c r="T49" i="4"/>
  <c r="T519" i="4"/>
  <c r="T433" i="4"/>
  <c r="T418" i="4"/>
  <c r="T160" i="4"/>
  <c r="T286" i="4"/>
  <c r="T357" i="4"/>
  <c r="T338" i="4"/>
  <c r="T183" i="4"/>
  <c r="T140" i="4"/>
  <c r="T464" i="4"/>
  <c r="W9" i="4"/>
  <c r="U9" i="4"/>
  <c r="V9" i="4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V36" i="4" s="1"/>
  <c r="V37" i="4" s="1"/>
  <c r="V38" i="4" s="1"/>
  <c r="V39" i="4" s="1"/>
  <c r="V40" i="4" s="1"/>
  <c r="V41" i="4" s="1"/>
  <c r="V42" i="4" s="1"/>
  <c r="V43" i="4" s="1"/>
  <c r="V44" i="4" s="1"/>
  <c r="V45" i="4" s="1"/>
  <c r="V46" i="4" s="1"/>
  <c r="V47" i="4" s="1"/>
  <c r="V48" i="4" s="1"/>
  <c r="V49" i="4" s="1"/>
  <c r="V50" i="4" s="1"/>
  <c r="V51" i="4" s="1"/>
  <c r="V52" i="4" s="1"/>
  <c r="V53" i="4" s="1"/>
  <c r="V54" i="4" s="1"/>
  <c r="V55" i="4" s="1"/>
  <c r="V56" i="4" s="1"/>
  <c r="V57" i="4" s="1"/>
  <c r="V58" i="4" s="1"/>
  <c r="V59" i="4" s="1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V70" i="4" s="1"/>
  <c r="V71" i="4" s="1"/>
  <c r="V72" i="4" s="1"/>
  <c r="V73" i="4" s="1"/>
  <c r="V74" i="4" s="1"/>
  <c r="V75" i="4" s="1"/>
  <c r="V76" i="4" s="1"/>
  <c r="V77" i="4" s="1"/>
  <c r="V78" i="4" s="1"/>
  <c r="V79" i="4" s="1"/>
  <c r="V80" i="4" s="1"/>
  <c r="V81" i="4" s="1"/>
  <c r="V82" i="4" s="1"/>
  <c r="V83" i="4" s="1"/>
  <c r="V84" i="4" s="1"/>
  <c r="V85" i="4" s="1"/>
  <c r="V86" i="4" s="1"/>
  <c r="V87" i="4" s="1"/>
  <c r="V88" i="4" s="1"/>
  <c r="V89" i="4" s="1"/>
  <c r="V90" i="4" s="1"/>
  <c r="V91" i="4" s="1"/>
  <c r="V92" i="4" s="1"/>
  <c r="V93" i="4" s="1"/>
  <c r="V94" i="4" s="1"/>
  <c r="V95" i="4" s="1"/>
  <c r="V96" i="4" s="1"/>
  <c r="V97" i="4" s="1"/>
  <c r="V98" i="4" s="1"/>
  <c r="V99" i="4" s="1"/>
  <c r="V100" i="4" s="1"/>
  <c r="V101" i="4" s="1"/>
  <c r="V102" i="4" s="1"/>
  <c r="V103" i="4" s="1"/>
  <c r="V104" i="4" s="1"/>
  <c r="V105" i="4" s="1"/>
  <c r="V106" i="4" s="1"/>
  <c r="V107" i="4" s="1"/>
  <c r="V108" i="4" s="1"/>
  <c r="V109" i="4" s="1"/>
  <c r="V110" i="4" s="1"/>
  <c r="V111" i="4" s="1"/>
  <c r="V112" i="4" s="1"/>
  <c r="V113" i="4" s="1"/>
  <c r="V114" i="4" s="1"/>
  <c r="V115" i="4" s="1"/>
  <c r="V116" i="4" s="1"/>
  <c r="V117" i="4" s="1"/>
  <c r="V118" i="4" s="1"/>
  <c r="V119" i="4" s="1"/>
  <c r="V120" i="4" s="1"/>
  <c r="V121" i="4" s="1"/>
  <c r="V122" i="4" s="1"/>
  <c r="V123" i="4" s="1"/>
  <c r="V124" i="4" s="1"/>
  <c r="V125" i="4" s="1"/>
  <c r="V126" i="4" s="1"/>
  <c r="V127" i="4" s="1"/>
  <c r="V128" i="4" s="1"/>
  <c r="V129" i="4" s="1"/>
  <c r="V130" i="4" s="1"/>
  <c r="V131" i="4" s="1"/>
  <c r="V132" i="4" s="1"/>
  <c r="V133" i="4" s="1"/>
  <c r="V134" i="4" s="1"/>
  <c r="V135" i="4" s="1"/>
  <c r="V136" i="4" s="1"/>
  <c r="V137" i="4" s="1"/>
  <c r="V138" i="4" s="1"/>
  <c r="V139" i="4" s="1"/>
  <c r="V140" i="4" s="1"/>
  <c r="V141" i="4" s="1"/>
  <c r="V142" i="4" s="1"/>
  <c r="V143" i="4" s="1"/>
  <c r="V144" i="4" s="1"/>
  <c r="V145" i="4" s="1"/>
  <c r="V146" i="4" s="1"/>
  <c r="V147" i="4" s="1"/>
  <c r="V148" i="4" s="1"/>
  <c r="V149" i="4" s="1"/>
  <c r="V150" i="4" s="1"/>
  <c r="V151" i="4" s="1"/>
  <c r="V152" i="4" s="1"/>
  <c r="V153" i="4" s="1"/>
  <c r="V154" i="4" s="1"/>
  <c r="V155" i="4" s="1"/>
  <c r="V156" i="4" s="1"/>
  <c r="V157" i="4" s="1"/>
  <c r="V158" i="4" s="1"/>
  <c r="V159" i="4" s="1"/>
  <c r="V160" i="4" s="1"/>
  <c r="V161" i="4" s="1"/>
  <c r="V162" i="4" s="1"/>
  <c r="V163" i="4" s="1"/>
  <c r="V164" i="4" s="1"/>
  <c r="V165" i="4" s="1"/>
  <c r="V166" i="4" s="1"/>
  <c r="V167" i="4" s="1"/>
  <c r="V168" i="4" s="1"/>
  <c r="V169" i="4" s="1"/>
  <c r="V170" i="4" s="1"/>
  <c r="V171" i="4" s="1"/>
  <c r="V172" i="4" s="1"/>
  <c r="V173" i="4" s="1"/>
  <c r="V174" i="4" s="1"/>
  <c r="V175" i="4" s="1"/>
  <c r="V176" i="4" s="1"/>
  <c r="V177" i="4" s="1"/>
  <c r="V178" i="4" s="1"/>
  <c r="V179" i="4" s="1"/>
  <c r="V180" i="4" s="1"/>
  <c r="V181" i="4" s="1"/>
  <c r="V182" i="4" s="1"/>
  <c r="V183" i="4" s="1"/>
  <c r="V184" i="4" s="1"/>
  <c r="V185" i="4" s="1"/>
  <c r="V186" i="4" s="1"/>
  <c r="V187" i="4" s="1"/>
  <c r="V188" i="4" s="1"/>
  <c r="V189" i="4" s="1"/>
  <c r="V190" i="4" s="1"/>
  <c r="V191" i="4" s="1"/>
  <c r="V192" i="4" s="1"/>
  <c r="V193" i="4" s="1"/>
  <c r="V194" i="4" s="1"/>
  <c r="V195" i="4" s="1"/>
  <c r="V196" i="4" s="1"/>
  <c r="V197" i="4" s="1"/>
  <c r="V198" i="4" s="1"/>
  <c r="V199" i="4" s="1"/>
  <c r="V200" i="4" s="1"/>
  <c r="V201" i="4" s="1"/>
  <c r="V202" i="4" s="1"/>
  <c r="V203" i="4" s="1"/>
  <c r="V204" i="4" s="1"/>
  <c r="V205" i="4" s="1"/>
  <c r="V206" i="4" s="1"/>
  <c r="V207" i="4" s="1"/>
  <c r="V208" i="4" s="1"/>
  <c r="V209" i="4" s="1"/>
  <c r="V210" i="4" s="1"/>
  <c r="V211" i="4" s="1"/>
  <c r="V212" i="4" s="1"/>
  <c r="V213" i="4" s="1"/>
  <c r="V214" i="4" s="1"/>
  <c r="V215" i="4" s="1"/>
  <c r="V216" i="4" s="1"/>
  <c r="V217" i="4" s="1"/>
  <c r="V218" i="4" s="1"/>
  <c r="V219" i="4" s="1"/>
  <c r="V220" i="4" s="1"/>
  <c r="V221" i="4" s="1"/>
  <c r="V222" i="4" s="1"/>
  <c r="V223" i="4" s="1"/>
  <c r="V224" i="4" s="1"/>
  <c r="V225" i="4" s="1"/>
  <c r="V226" i="4" s="1"/>
  <c r="V227" i="4" s="1"/>
  <c r="V228" i="4" s="1"/>
  <c r="V229" i="4" s="1"/>
  <c r="V230" i="4" s="1"/>
  <c r="V231" i="4" s="1"/>
  <c r="V232" i="4" s="1"/>
  <c r="V233" i="4" s="1"/>
  <c r="V234" i="4" s="1"/>
  <c r="V235" i="4" s="1"/>
  <c r="V236" i="4" s="1"/>
  <c r="V237" i="4" s="1"/>
  <c r="V238" i="4" s="1"/>
  <c r="V239" i="4" s="1"/>
  <c r="V240" i="4" s="1"/>
  <c r="V241" i="4" s="1"/>
  <c r="V242" i="4" s="1"/>
  <c r="V243" i="4" s="1"/>
  <c r="V244" i="4" s="1"/>
  <c r="V245" i="4" s="1"/>
  <c r="V246" i="4" s="1"/>
  <c r="V247" i="4" s="1"/>
  <c r="V248" i="4" s="1"/>
  <c r="V249" i="4" s="1"/>
  <c r="V250" i="4" s="1"/>
  <c r="V251" i="4" s="1"/>
  <c r="V252" i="4" s="1"/>
  <c r="V253" i="4" s="1"/>
  <c r="V254" i="4" s="1"/>
  <c r="V255" i="4" s="1"/>
  <c r="V256" i="4" s="1"/>
  <c r="V257" i="4" s="1"/>
  <c r="V258" i="4" s="1"/>
  <c r="V259" i="4" s="1"/>
  <c r="V260" i="4" s="1"/>
  <c r="V261" i="4" s="1"/>
  <c r="V262" i="4" s="1"/>
  <c r="V263" i="4" s="1"/>
  <c r="V264" i="4" s="1"/>
  <c r="V265" i="4" s="1"/>
  <c r="V266" i="4" s="1"/>
  <c r="V267" i="4" s="1"/>
  <c r="V268" i="4" s="1"/>
  <c r="V269" i="4" s="1"/>
  <c r="V270" i="4" s="1"/>
  <c r="V271" i="4" s="1"/>
  <c r="V272" i="4" s="1"/>
  <c r="V273" i="4" s="1"/>
  <c r="V274" i="4" s="1"/>
  <c r="V275" i="4" s="1"/>
  <c r="V276" i="4" s="1"/>
  <c r="V277" i="4" s="1"/>
  <c r="V278" i="4" s="1"/>
  <c r="V279" i="4" s="1"/>
  <c r="V280" i="4" s="1"/>
  <c r="V281" i="4" s="1"/>
  <c r="V282" i="4" s="1"/>
  <c r="V283" i="4" s="1"/>
  <c r="V284" i="4" s="1"/>
  <c r="V285" i="4" s="1"/>
  <c r="V286" i="4" s="1"/>
  <c r="V287" i="4" s="1"/>
  <c r="V288" i="4" s="1"/>
  <c r="V289" i="4" s="1"/>
  <c r="V290" i="4" s="1"/>
  <c r="V291" i="4" s="1"/>
  <c r="V292" i="4" s="1"/>
  <c r="V293" i="4" s="1"/>
  <c r="V294" i="4" s="1"/>
  <c r="V295" i="4" s="1"/>
  <c r="V296" i="4" s="1"/>
  <c r="V297" i="4" s="1"/>
  <c r="V298" i="4" s="1"/>
  <c r="V299" i="4" s="1"/>
  <c r="V300" i="4" s="1"/>
  <c r="V301" i="4" s="1"/>
  <c r="V302" i="4" s="1"/>
  <c r="V303" i="4" s="1"/>
  <c r="V304" i="4" s="1"/>
  <c r="V305" i="4" s="1"/>
  <c r="V306" i="4" s="1"/>
  <c r="V307" i="4" s="1"/>
  <c r="V308" i="4" s="1"/>
  <c r="V309" i="4" s="1"/>
  <c r="V310" i="4" s="1"/>
  <c r="V311" i="4" s="1"/>
  <c r="V312" i="4" s="1"/>
  <c r="V313" i="4" s="1"/>
  <c r="V314" i="4" s="1"/>
  <c r="V315" i="4" s="1"/>
  <c r="V316" i="4" s="1"/>
  <c r="V317" i="4" s="1"/>
  <c r="V318" i="4" s="1"/>
  <c r="V319" i="4" s="1"/>
  <c r="V320" i="4" s="1"/>
  <c r="V321" i="4" s="1"/>
  <c r="V322" i="4" s="1"/>
  <c r="V323" i="4" s="1"/>
  <c r="V324" i="4" s="1"/>
  <c r="V325" i="4" s="1"/>
  <c r="V326" i="4" s="1"/>
  <c r="V327" i="4" s="1"/>
  <c r="V328" i="4" s="1"/>
  <c r="V329" i="4" s="1"/>
  <c r="V330" i="4" s="1"/>
  <c r="V331" i="4" s="1"/>
  <c r="V332" i="4" s="1"/>
  <c r="V333" i="4" s="1"/>
  <c r="V334" i="4" s="1"/>
  <c r="V335" i="4" s="1"/>
  <c r="V336" i="4" s="1"/>
  <c r="V337" i="4" s="1"/>
  <c r="V338" i="4" s="1"/>
  <c r="V339" i="4" s="1"/>
  <c r="V340" i="4" s="1"/>
  <c r="V341" i="4" s="1"/>
  <c r="V342" i="4" s="1"/>
  <c r="V343" i="4" s="1"/>
  <c r="V344" i="4" s="1"/>
  <c r="V345" i="4" s="1"/>
  <c r="V346" i="4" s="1"/>
  <c r="V347" i="4" s="1"/>
  <c r="V348" i="4" s="1"/>
  <c r="V349" i="4" s="1"/>
  <c r="V350" i="4" s="1"/>
  <c r="V351" i="4" s="1"/>
  <c r="V352" i="4" s="1"/>
  <c r="V353" i="4" s="1"/>
  <c r="V354" i="4" s="1"/>
  <c r="V355" i="4" s="1"/>
  <c r="V356" i="4" s="1"/>
  <c r="V357" i="4" s="1"/>
  <c r="V358" i="4" s="1"/>
  <c r="V359" i="4" s="1"/>
  <c r="V360" i="4" s="1"/>
  <c r="V361" i="4" s="1"/>
  <c r="V362" i="4" s="1"/>
  <c r="V363" i="4" s="1"/>
  <c r="V364" i="4" s="1"/>
  <c r="V365" i="4" s="1"/>
  <c r="V366" i="4" s="1"/>
  <c r="V367" i="4" s="1"/>
  <c r="V368" i="4" s="1"/>
  <c r="V369" i="4" s="1"/>
  <c r="V370" i="4" s="1"/>
  <c r="V371" i="4" s="1"/>
  <c r="V372" i="4" s="1"/>
  <c r="V373" i="4" s="1"/>
  <c r="V374" i="4" s="1"/>
  <c r="V375" i="4" s="1"/>
  <c r="V376" i="4" s="1"/>
  <c r="V377" i="4" s="1"/>
  <c r="V378" i="4" s="1"/>
  <c r="V379" i="4" s="1"/>
  <c r="V380" i="4" s="1"/>
  <c r="V381" i="4" s="1"/>
  <c r="V382" i="4" s="1"/>
  <c r="V383" i="4" s="1"/>
  <c r="V384" i="4" s="1"/>
  <c r="V385" i="4" s="1"/>
  <c r="V386" i="4" s="1"/>
  <c r="V387" i="4" s="1"/>
  <c r="V388" i="4" s="1"/>
  <c r="V389" i="4" s="1"/>
  <c r="V390" i="4" s="1"/>
  <c r="V391" i="4" s="1"/>
  <c r="V392" i="4" s="1"/>
  <c r="V393" i="4" s="1"/>
  <c r="V394" i="4" s="1"/>
  <c r="V395" i="4" s="1"/>
  <c r="V396" i="4" s="1"/>
  <c r="V397" i="4" s="1"/>
  <c r="V398" i="4" s="1"/>
  <c r="V399" i="4" s="1"/>
  <c r="V400" i="4" s="1"/>
  <c r="V401" i="4" s="1"/>
  <c r="V402" i="4" s="1"/>
  <c r="V403" i="4" s="1"/>
  <c r="V404" i="4" s="1"/>
  <c r="V405" i="4" s="1"/>
  <c r="V406" i="4" s="1"/>
  <c r="V407" i="4" s="1"/>
  <c r="V408" i="4" s="1"/>
  <c r="V409" i="4" s="1"/>
  <c r="V410" i="4" s="1"/>
  <c r="V411" i="4" s="1"/>
  <c r="V412" i="4" s="1"/>
  <c r="V413" i="4" s="1"/>
  <c r="V414" i="4" s="1"/>
  <c r="V415" i="4" s="1"/>
  <c r="V416" i="4" s="1"/>
  <c r="V417" i="4" s="1"/>
  <c r="V418" i="4" s="1"/>
  <c r="V419" i="4" s="1"/>
  <c r="V420" i="4" s="1"/>
  <c r="V421" i="4" s="1"/>
  <c r="V422" i="4" s="1"/>
  <c r="V423" i="4" s="1"/>
  <c r="V424" i="4" s="1"/>
  <c r="V425" i="4" s="1"/>
  <c r="V426" i="4" s="1"/>
  <c r="V427" i="4" s="1"/>
  <c r="V428" i="4" s="1"/>
  <c r="V429" i="4" s="1"/>
  <c r="V430" i="4" s="1"/>
  <c r="V431" i="4" s="1"/>
  <c r="V432" i="4" s="1"/>
  <c r="V433" i="4" s="1"/>
  <c r="V434" i="4" s="1"/>
  <c r="V435" i="4" s="1"/>
  <c r="V436" i="4" s="1"/>
  <c r="V437" i="4" s="1"/>
  <c r="V438" i="4" s="1"/>
  <c r="V439" i="4" s="1"/>
  <c r="V440" i="4" s="1"/>
  <c r="V441" i="4" s="1"/>
  <c r="V442" i="4" s="1"/>
  <c r="V443" i="4" s="1"/>
  <c r="V444" i="4" s="1"/>
  <c r="V445" i="4" s="1"/>
  <c r="V446" i="4" s="1"/>
  <c r="V447" i="4" s="1"/>
  <c r="V448" i="4" s="1"/>
  <c r="V449" i="4" s="1"/>
  <c r="V450" i="4" s="1"/>
  <c r="V451" i="4" s="1"/>
  <c r="V452" i="4" s="1"/>
  <c r="V453" i="4" s="1"/>
  <c r="V454" i="4" s="1"/>
  <c r="V455" i="4" s="1"/>
  <c r="V456" i="4" s="1"/>
  <c r="V457" i="4" s="1"/>
  <c r="V458" i="4" s="1"/>
  <c r="V459" i="4" s="1"/>
  <c r="V460" i="4" s="1"/>
  <c r="V461" i="4" s="1"/>
  <c r="V462" i="4" s="1"/>
  <c r="V463" i="4" s="1"/>
  <c r="V464" i="4" s="1"/>
  <c r="V465" i="4" s="1"/>
  <c r="V466" i="4" s="1"/>
  <c r="V467" i="4" s="1"/>
  <c r="V468" i="4" s="1"/>
  <c r="V469" i="4" s="1"/>
  <c r="V470" i="4" s="1"/>
  <c r="V471" i="4" s="1"/>
  <c r="V472" i="4" s="1"/>
  <c r="V473" i="4" s="1"/>
  <c r="V474" i="4" s="1"/>
  <c r="V475" i="4" s="1"/>
  <c r="V476" i="4" s="1"/>
  <c r="V477" i="4" s="1"/>
  <c r="V478" i="4" s="1"/>
  <c r="V479" i="4" s="1"/>
  <c r="V480" i="4" s="1"/>
  <c r="V481" i="4" s="1"/>
  <c r="V482" i="4" s="1"/>
  <c r="V483" i="4" s="1"/>
  <c r="V484" i="4" s="1"/>
  <c r="V485" i="4" s="1"/>
  <c r="V486" i="4" s="1"/>
  <c r="V487" i="4" s="1"/>
  <c r="V488" i="4" s="1"/>
  <c r="V489" i="4" s="1"/>
  <c r="V490" i="4" s="1"/>
  <c r="V491" i="4" s="1"/>
  <c r="V492" i="4" s="1"/>
  <c r="V493" i="4" s="1"/>
  <c r="V494" i="4" s="1"/>
  <c r="V495" i="4" s="1"/>
  <c r="V496" i="4" s="1"/>
  <c r="V497" i="4" s="1"/>
  <c r="V498" i="4" s="1"/>
  <c r="V499" i="4" s="1"/>
  <c r="V500" i="4" s="1"/>
  <c r="V501" i="4" s="1"/>
  <c r="V502" i="4" s="1"/>
  <c r="V503" i="4" s="1"/>
  <c r="V504" i="4" s="1"/>
  <c r="V505" i="4" s="1"/>
  <c r="V506" i="4" s="1"/>
  <c r="V507" i="4" s="1"/>
  <c r="V508" i="4" s="1"/>
  <c r="V509" i="4" s="1"/>
  <c r="V510" i="4" s="1"/>
  <c r="V511" i="4" s="1"/>
  <c r="V512" i="4" s="1"/>
  <c r="V513" i="4" s="1"/>
  <c r="V514" i="4" s="1"/>
  <c r="V515" i="4" s="1"/>
  <c r="V516" i="4" s="1"/>
  <c r="V517" i="4" s="1"/>
  <c r="V518" i="4" s="1"/>
  <c r="V519" i="4" s="1"/>
  <c r="V520" i="4" s="1"/>
  <c r="V521" i="4" s="1"/>
  <c r="V522" i="4" s="1"/>
  <c r="V523" i="4" s="1"/>
  <c r="V524" i="4" s="1"/>
  <c r="V525" i="4" s="1"/>
  <c r="V526" i="4" s="1"/>
  <c r="V527" i="4" s="1"/>
  <c r="V528" i="4" s="1"/>
  <c r="V529" i="4" s="1"/>
  <c r="V530" i="4" s="1"/>
  <c r="V531" i="4" s="1"/>
  <c r="V532" i="4" s="1"/>
  <c r="V533" i="4" s="1"/>
  <c r="V534" i="4" s="1"/>
  <c r="V535" i="4" s="1"/>
  <c r="V536" i="4" s="1"/>
  <c r="V537" i="4" s="1"/>
  <c r="V538" i="4" s="1"/>
  <c r="V539" i="4" s="1"/>
  <c r="V540" i="4" s="1"/>
  <c r="V541" i="4" s="1"/>
  <c r="V542" i="4" s="1"/>
  <c r="V543" i="4" s="1"/>
  <c r="V544" i="4" s="1"/>
  <c r="V545" i="4" s="1"/>
  <c r="V546" i="4" s="1"/>
  <c r="V547" i="4" s="1"/>
  <c r="V548" i="4" s="1"/>
  <c r="V549" i="4" s="1"/>
  <c r="V550" i="4" s="1"/>
  <c r="V551" i="4" s="1"/>
  <c r="V552" i="4" s="1"/>
  <c r="V553" i="4" s="1"/>
  <c r="V554" i="4" s="1"/>
  <c r="V555" i="4" s="1"/>
  <c r="V556" i="4" s="1"/>
  <c r="V557" i="4" s="1"/>
  <c r="V558" i="4" s="1"/>
  <c r="V559" i="4" s="1"/>
  <c r="V560" i="4" s="1"/>
  <c r="V561" i="4" s="1"/>
  <c r="V562" i="4" s="1"/>
  <c r="V563" i="4" s="1"/>
  <c r="V564" i="4" s="1"/>
  <c r="V565" i="4" s="1"/>
  <c r="V566" i="4" s="1"/>
  <c r="V567" i="4" s="1"/>
  <c r="V568" i="4" s="1"/>
  <c r="V569" i="4" s="1"/>
  <c r="V570" i="4" s="1"/>
  <c r="V571" i="4" s="1"/>
  <c r="V572" i="4" s="1"/>
  <c r="V573" i="4" s="1"/>
  <c r="V574" i="4" s="1"/>
  <c r="V575" i="4" s="1"/>
  <c r="V576" i="4" s="1"/>
  <c r="V577" i="4" s="1"/>
  <c r="V578" i="4" s="1"/>
  <c r="V579" i="4" s="1"/>
  <c r="V580" i="4" s="1"/>
  <c r="V581" i="4" s="1"/>
  <c r="V582" i="4" s="1"/>
  <c r="V583" i="4" s="1"/>
  <c r="V584" i="4" s="1"/>
  <c r="V585" i="4" s="1"/>
  <c r="V586" i="4" s="1"/>
  <c r="V587" i="4" s="1"/>
  <c r="V588" i="4" s="1"/>
  <c r="V589" i="4" s="1"/>
  <c r="V590" i="4" s="1"/>
  <c r="V591" i="4" s="1"/>
  <c r="V592" i="4" s="1"/>
  <c r="V593" i="4" s="1"/>
  <c r="V594" i="4" s="1"/>
  <c r="V595" i="4" s="1"/>
  <c r="V596" i="4" s="1"/>
  <c r="V597" i="4" s="1"/>
  <c r="V598" i="4" s="1"/>
  <c r="V599" i="4" s="1"/>
  <c r="V600" i="4" s="1"/>
  <c r="V601" i="4" s="1"/>
  <c r="V602" i="4" s="1"/>
  <c r="V603" i="4" s="1"/>
  <c r="V604" i="4" s="1"/>
  <c r="V605" i="4" s="1"/>
  <c r="V606" i="4" s="1"/>
  <c r="V607" i="4" s="1"/>
  <c r="V608" i="4" s="1"/>
  <c r="V609" i="4" s="1"/>
  <c r="T482" i="4"/>
  <c r="T395" i="4"/>
  <c r="T546" i="4"/>
  <c r="T373" i="4"/>
  <c r="T100" i="4"/>
  <c r="T23" i="4"/>
  <c r="T351" i="4"/>
  <c r="T208" i="4"/>
  <c r="T477" i="4"/>
  <c r="T299" i="4"/>
  <c r="T438" i="4"/>
  <c r="T263" i="4"/>
  <c r="T333" i="4"/>
  <c r="T369" i="4"/>
  <c r="T87" i="4"/>
  <c r="T176" i="4"/>
  <c r="T52" i="4"/>
  <c r="T292" i="4"/>
  <c r="T253" i="4"/>
  <c r="T126" i="4"/>
  <c r="T454" i="4"/>
  <c r="T400" i="4"/>
  <c r="T591" i="4"/>
  <c r="T597" i="4"/>
  <c r="T326" i="4"/>
  <c r="T293" i="4"/>
  <c r="T36" i="4"/>
  <c r="T78" i="4"/>
  <c r="T489" i="4"/>
  <c r="T580" i="4"/>
  <c r="T33" i="4"/>
  <c r="T449" i="4"/>
  <c r="T39" i="4"/>
  <c r="T361" i="4"/>
  <c r="T554" i="4"/>
  <c r="T18" i="4"/>
  <c r="T245" i="4"/>
  <c r="T452" i="4"/>
  <c r="T536" i="4"/>
  <c r="T434" i="4"/>
  <c r="T423" i="4"/>
  <c r="T300" i="4"/>
  <c r="T11" i="4"/>
  <c r="T528" i="4"/>
  <c r="T74" i="4"/>
  <c r="T318" i="4"/>
  <c r="T517" i="4"/>
  <c r="T17" i="4"/>
  <c r="T135" i="4"/>
  <c r="T205" i="4"/>
  <c r="T53" i="4"/>
  <c r="T515" i="4"/>
  <c r="T9" i="4"/>
  <c r="T296" i="4"/>
  <c r="T565" i="4"/>
  <c r="T397" i="4"/>
  <c r="T64" i="4"/>
  <c r="T273" i="4"/>
  <c r="T478" i="4"/>
  <c r="T587" i="4"/>
  <c r="T198" i="4"/>
  <c r="T98" i="4"/>
  <c r="T264" i="4"/>
  <c r="T206" i="4"/>
  <c r="T181" i="4"/>
  <c r="T337" i="4"/>
  <c r="T492" i="4"/>
  <c r="T441" i="4"/>
  <c r="T233" i="4"/>
  <c r="T436" i="4"/>
  <c r="T550" i="4"/>
  <c r="T446" i="4"/>
  <c r="T117" i="4"/>
  <c r="T348" i="4"/>
  <c r="T85" i="4"/>
  <c r="T115" i="4"/>
  <c r="T178" i="4"/>
  <c r="T251" i="4"/>
  <c r="T577" i="4"/>
  <c r="T190" i="4"/>
  <c r="T398" i="4"/>
  <c r="T586" i="4"/>
  <c r="T67" i="4"/>
  <c r="T77" i="4"/>
  <c r="T429" i="4"/>
  <c r="T173" i="4"/>
  <c r="T499" i="4"/>
  <c r="T376" i="4"/>
  <c r="T582" i="4"/>
  <c r="T73" i="4"/>
  <c r="T145" i="4"/>
  <c r="T359" i="4"/>
  <c r="T549" i="4"/>
  <c r="T175" i="4"/>
  <c r="T578" i="4"/>
  <c r="T380" i="4"/>
  <c r="T218" i="4"/>
  <c r="T425" i="4"/>
  <c r="T439" i="4"/>
  <c r="T602" i="4"/>
  <c r="T105" i="4"/>
  <c r="T315" i="4"/>
  <c r="T511" i="4"/>
  <c r="T561" i="4"/>
  <c r="T239" i="4"/>
  <c r="T83" i="4"/>
  <c r="T459" i="4"/>
  <c r="T294" i="4"/>
  <c r="T320" i="4"/>
  <c r="T255" i="4"/>
  <c r="T45" i="4"/>
  <c r="T254" i="4"/>
  <c r="T210" i="4"/>
  <c r="T522" i="4"/>
  <c r="T62" i="4"/>
  <c r="T271" i="4"/>
  <c r="T469" i="4"/>
  <c r="T199" i="4"/>
  <c r="T523" i="4"/>
  <c r="T534" i="4"/>
  <c r="T374" i="4"/>
  <c r="T203" i="4"/>
  <c r="T260" i="4"/>
  <c r="T124" i="4"/>
  <c r="T393" i="4"/>
  <c r="T157" i="4"/>
  <c r="T167" i="4"/>
  <c r="T530" i="4"/>
  <c r="T363" i="4"/>
  <c r="T15" i="4"/>
  <c r="T231" i="4"/>
  <c r="T431" i="4"/>
  <c r="T403" i="4"/>
  <c r="T457" i="4"/>
  <c r="T290" i="4"/>
  <c r="T312" i="4"/>
  <c r="T416" i="4"/>
  <c r="T388" i="4"/>
  <c r="T76" i="4"/>
  <c r="T594" i="4"/>
  <c r="T598" i="4"/>
  <c r="T599" i="4"/>
  <c r="T237" i="4"/>
  <c r="T559" i="4"/>
  <c r="T371" i="4"/>
  <c r="T248" i="4"/>
  <c r="T154" i="4"/>
  <c r="T141" i="4"/>
  <c r="T571" i="4"/>
  <c r="T212" i="4"/>
  <c r="T201" i="4"/>
  <c r="T202" i="4"/>
  <c r="T94" i="4"/>
  <c r="T354" i="4"/>
  <c r="T557" i="4"/>
  <c r="T325" i="4"/>
  <c r="T283" i="4"/>
  <c r="T150" i="4"/>
  <c r="T111" i="4"/>
  <c r="T184" i="4"/>
  <c r="T90" i="4"/>
  <c r="T309" i="4"/>
  <c r="T50" i="4"/>
  <c r="T42" i="4"/>
  <c r="T314" i="4"/>
  <c r="T520" i="4"/>
  <c r="T595" i="4"/>
  <c r="T194" i="4"/>
  <c r="T108" i="4"/>
  <c r="T404" i="4"/>
  <c r="T26" i="4"/>
  <c r="T192" i="4"/>
  <c r="T196" i="4"/>
  <c r="T306" i="4"/>
  <c r="T127" i="4"/>
  <c r="T568" i="4"/>
  <c r="T533" i="4"/>
  <c r="T590" i="4"/>
  <c r="T544" i="4"/>
  <c r="T221" i="4"/>
  <c r="T483" i="4"/>
  <c r="T275" i="4"/>
  <c r="T525" i="4"/>
  <c r="T235" i="4"/>
  <c r="T450" i="4"/>
  <c r="T278" i="4"/>
  <c r="T132" i="4"/>
  <c r="T223" i="4"/>
  <c r="T136" i="4"/>
  <c r="T485" i="4"/>
  <c r="T474" i="4"/>
  <c r="T442" i="4"/>
  <c r="T169" i="4"/>
  <c r="T258" i="4"/>
  <c r="T592" i="4"/>
  <c r="T367" i="4"/>
  <c r="T19" i="4"/>
  <c r="T68" i="4"/>
  <c r="T329" i="4"/>
  <c r="T101" i="4"/>
  <c r="T542" i="4"/>
  <c r="T608" i="4"/>
  <c r="M345" i="4"/>
  <c r="M156" i="4"/>
  <c r="M535" i="4"/>
  <c r="M437" i="4"/>
  <c r="M55" i="4"/>
  <c r="M101" i="4"/>
  <c r="M486" i="4"/>
  <c r="M118" i="4"/>
  <c r="M114" i="4"/>
  <c r="M165" i="4"/>
  <c r="M227" i="4"/>
  <c r="M474" i="4"/>
  <c r="M487" i="4"/>
  <c r="M434" i="4"/>
  <c r="M81" i="4"/>
  <c r="M467" i="4"/>
  <c r="M291" i="4"/>
  <c r="M385" i="4"/>
  <c r="M400" i="4"/>
  <c r="M43" i="4"/>
  <c r="M521" i="4"/>
  <c r="M519" i="4"/>
  <c r="M528" i="4"/>
  <c r="M306" i="4"/>
  <c r="M449" i="4"/>
  <c r="M575" i="4"/>
  <c r="M341" i="4"/>
  <c r="M11" i="4"/>
  <c r="M489" i="4"/>
  <c r="M247" i="4"/>
  <c r="M257" i="4"/>
  <c r="M447" i="4"/>
  <c r="M229" i="4"/>
  <c r="M32" i="4"/>
  <c r="M158" i="4"/>
  <c r="M457" i="4"/>
  <c r="M301" i="4"/>
  <c r="M516" i="4"/>
  <c r="M499" i="4"/>
  <c r="M82" i="4"/>
  <c r="M383" i="4"/>
  <c r="M355" i="4"/>
  <c r="M222" i="4"/>
  <c r="M348" i="4"/>
  <c r="M425" i="4"/>
  <c r="M556" i="4"/>
  <c r="M509" i="4"/>
  <c r="M240" i="4"/>
  <c r="M513" i="4"/>
  <c r="M412" i="4"/>
  <c r="M538" i="4"/>
  <c r="M413" i="4"/>
  <c r="M393" i="4"/>
  <c r="M367" i="4"/>
  <c r="M561" i="4"/>
  <c r="M96" i="4"/>
  <c r="M602" i="4"/>
  <c r="M361" i="4"/>
  <c r="M72" i="4"/>
  <c r="M293" i="4"/>
  <c r="M286" i="4"/>
  <c r="M185" i="4"/>
  <c r="M311" i="4"/>
  <c r="M131" i="4"/>
  <c r="M75" i="4"/>
  <c r="M204" i="4"/>
  <c r="M329" i="4"/>
  <c r="M40" i="4"/>
  <c r="M76" i="4"/>
  <c r="M429" i="4"/>
  <c r="M419" i="4"/>
  <c r="M476" i="4"/>
  <c r="M375" i="4"/>
  <c r="M274" i="4"/>
  <c r="M289" i="4"/>
  <c r="M244" i="4"/>
  <c r="M57" i="4"/>
  <c r="M322" i="4"/>
  <c r="M586" i="4"/>
  <c r="M297" i="4"/>
  <c r="M495" i="4"/>
  <c r="M577" i="4"/>
  <c r="M59" i="4"/>
  <c r="M565" i="4"/>
  <c r="M183" i="4"/>
  <c r="M479" i="4"/>
  <c r="M554" i="4"/>
  <c r="M265" i="4"/>
  <c r="M558" i="4"/>
  <c r="M303" i="4"/>
  <c r="M86" i="4"/>
  <c r="M160" i="4"/>
  <c r="M249" i="4"/>
  <c r="M148" i="4"/>
  <c r="M35" i="4"/>
  <c r="M62" i="4"/>
  <c r="M522" i="4"/>
  <c r="M233" i="4"/>
  <c r="M13" i="4"/>
  <c r="M270" i="4"/>
  <c r="M238" i="4"/>
  <c r="M592" i="4"/>
  <c r="M350" i="4"/>
  <c r="M439" i="4"/>
  <c r="M548" i="4"/>
  <c r="M252" i="4"/>
  <c r="M490" i="4"/>
  <c r="M201" i="4"/>
  <c r="M540" i="4"/>
  <c r="M22" i="4"/>
  <c r="M119" i="4"/>
  <c r="M408" i="4"/>
  <c r="M442" i="4"/>
  <c r="M458" i="4"/>
  <c r="M169" i="4"/>
  <c r="M455" i="4"/>
  <c r="M236" i="4"/>
  <c r="M172" i="4"/>
  <c r="M178" i="4"/>
  <c r="M123" i="4"/>
  <c r="M402" i="4"/>
  <c r="M435" i="4"/>
  <c r="M69" i="4"/>
  <c r="M25" i="4"/>
  <c r="M608" i="4"/>
  <c r="M609" i="4"/>
  <c r="M426" i="4"/>
  <c r="M137" i="4"/>
  <c r="M423" i="4"/>
  <c r="M143" i="4"/>
  <c r="M67" i="4"/>
  <c r="M313" i="4"/>
  <c r="M368" i="4"/>
  <c r="M195" i="4"/>
  <c r="M215" i="4"/>
  <c r="M333" i="4"/>
  <c r="M394" i="4"/>
  <c r="M105" i="4"/>
  <c r="M391" i="4"/>
  <c r="M559" i="4"/>
  <c r="M78" i="4"/>
  <c r="M503" i="4"/>
  <c r="M151" i="4"/>
  <c r="M133" i="4"/>
  <c r="M353" i="4"/>
  <c r="M568" i="4"/>
  <c r="M332" i="4"/>
  <c r="M362" i="4"/>
  <c r="M73" i="4"/>
  <c r="M359" i="4"/>
  <c r="M397" i="4"/>
  <c r="M205" i="4"/>
  <c r="M49" i="4"/>
  <c r="M578" i="4"/>
  <c r="M259" i="4"/>
  <c r="M543" i="4"/>
  <c r="M272" i="4"/>
  <c r="M512" i="4"/>
  <c r="M587" i="4"/>
  <c r="M330" i="4"/>
  <c r="M41" i="4"/>
  <c r="M327" i="4"/>
  <c r="M108" i="4"/>
  <c r="M17" i="4"/>
  <c r="M417" i="4"/>
  <c r="M126" i="4"/>
  <c r="M92" i="4"/>
  <c r="M555" i="4"/>
  <c r="M298" i="4"/>
  <c r="M9" i="4"/>
  <c r="M295" i="4"/>
  <c r="M589" i="4"/>
  <c r="M175" i="4"/>
  <c r="M281" i="4"/>
  <c r="M501" i="4"/>
  <c r="M600" i="4"/>
  <c r="M197" i="4"/>
  <c r="M607" i="4"/>
  <c r="M316" i="4"/>
  <c r="M598" i="4"/>
  <c r="M523" i="4"/>
  <c r="M263" i="4"/>
  <c r="M431" i="4"/>
  <c r="M46" i="4"/>
  <c r="M336" i="4"/>
  <c r="M536" i="4"/>
  <c r="M323" i="4"/>
  <c r="M190" i="4"/>
  <c r="M506" i="4"/>
  <c r="M420" i="4"/>
  <c r="M300" i="4"/>
  <c r="M48" i="4"/>
  <c r="M231" i="4"/>
  <c r="M462" i="4"/>
  <c r="M242" i="4"/>
  <c r="M99" i="4"/>
  <c r="M193" i="4"/>
  <c r="M472" i="4"/>
  <c r="M481" i="4"/>
  <c r="M380" i="4"/>
  <c r="M89" i="4"/>
  <c r="M546" i="4"/>
  <c r="M80" i="4"/>
  <c r="M266" i="4"/>
  <c r="M210" i="4"/>
  <c r="M459" i="4"/>
  <c r="M202" i="4"/>
  <c r="M173" i="4"/>
  <c r="M199" i="4"/>
  <c r="M44" i="4"/>
  <c r="M146" i="4"/>
  <c r="M97" i="4"/>
  <c r="M176" i="4"/>
  <c r="M64" i="4"/>
  <c r="M570" i="4"/>
  <c r="M279" i="4"/>
  <c r="M129" i="4"/>
  <c r="M276" i="4"/>
  <c r="M234" i="4"/>
  <c r="M212" i="4"/>
  <c r="M496" i="4"/>
  <c r="M427" i="4"/>
  <c r="M170" i="4"/>
  <c r="M140" i="4"/>
  <c r="M167" i="4"/>
  <c r="M492" i="4"/>
  <c r="M207" i="4"/>
  <c r="M484" i="4"/>
  <c r="M282" i="4"/>
  <c r="M112" i="4"/>
  <c r="M33" i="4"/>
  <c r="M254" i="4"/>
  <c r="M153" i="4"/>
  <c r="M373" i="4"/>
  <c r="M144" i="4"/>
  <c r="M245" i="4"/>
  <c r="M30" i="4"/>
  <c r="M213" i="4"/>
  <c r="M395" i="4"/>
  <c r="M138" i="4"/>
  <c r="M584" i="4"/>
  <c r="M135" i="4"/>
  <c r="M550" i="4"/>
  <c r="M14" i="4"/>
  <c r="M18" i="4"/>
  <c r="M371" i="4"/>
  <c r="M261" i="4"/>
  <c r="M444" i="4"/>
  <c r="M343" i="4"/>
  <c r="M531" i="4"/>
  <c r="M356" i="4"/>
  <c r="M268" i="4"/>
  <c r="M218" i="4"/>
  <c r="M491" i="4"/>
  <c r="M573" i="4"/>
  <c r="M308" i="4"/>
  <c r="M363" i="4"/>
  <c r="M106" i="4"/>
  <c r="M552" i="4"/>
  <c r="M103" i="4"/>
  <c r="M463" i="4"/>
  <c r="M582" i="4"/>
  <c r="M387" i="4"/>
  <c r="M27" i="4"/>
  <c r="M533" i="4"/>
  <c r="M452" i="4"/>
  <c r="M38" i="4"/>
  <c r="W10" i="4" l="1"/>
  <c r="U10" i="4" s="1"/>
  <c r="P10" i="4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P37" i="4" s="1"/>
  <c r="P38" i="4" s="1"/>
  <c r="P39" i="4" s="1"/>
  <c r="P40" i="4" s="1"/>
  <c r="P41" i="4" s="1"/>
  <c r="P42" i="4" s="1"/>
  <c r="P43" i="4" s="1"/>
  <c r="P44" i="4" s="1"/>
  <c r="P45" i="4" s="1"/>
  <c r="P46" i="4" s="1"/>
  <c r="P47" i="4" s="1"/>
  <c r="P48" i="4" s="1"/>
  <c r="P49" i="4" s="1"/>
  <c r="P50" i="4" s="1"/>
  <c r="P51" i="4" s="1"/>
  <c r="P52" i="4" s="1"/>
  <c r="P53" i="4" s="1"/>
  <c r="P54" i="4" s="1"/>
  <c r="P55" i="4" s="1"/>
  <c r="P56" i="4" s="1"/>
  <c r="P57" i="4" s="1"/>
  <c r="P58" i="4" s="1"/>
  <c r="P59" i="4" s="1"/>
  <c r="P60" i="4" s="1"/>
  <c r="P61" i="4" s="1"/>
  <c r="P62" i="4" s="1"/>
  <c r="P63" i="4" s="1"/>
  <c r="P64" i="4" s="1"/>
  <c r="P65" i="4" s="1"/>
  <c r="P66" i="4" s="1"/>
  <c r="P67" i="4" s="1"/>
  <c r="P68" i="4" s="1"/>
  <c r="P69" i="4" s="1"/>
  <c r="P70" i="4" s="1"/>
  <c r="P71" i="4" s="1"/>
  <c r="P72" i="4" s="1"/>
  <c r="P73" i="4" s="1"/>
  <c r="P74" i="4" s="1"/>
  <c r="P75" i="4" s="1"/>
  <c r="P76" i="4" s="1"/>
  <c r="P77" i="4" s="1"/>
  <c r="P78" i="4" s="1"/>
  <c r="P79" i="4" s="1"/>
  <c r="P80" i="4" s="1"/>
  <c r="P81" i="4" s="1"/>
  <c r="P82" i="4" s="1"/>
  <c r="P83" i="4" s="1"/>
  <c r="P84" i="4" s="1"/>
  <c r="P85" i="4" s="1"/>
  <c r="P86" i="4" s="1"/>
  <c r="P87" i="4" s="1"/>
  <c r="P88" i="4" s="1"/>
  <c r="P89" i="4" s="1"/>
  <c r="P90" i="4" s="1"/>
  <c r="P91" i="4" s="1"/>
  <c r="P92" i="4" s="1"/>
  <c r="P93" i="4" s="1"/>
  <c r="P94" i="4" s="1"/>
  <c r="P95" i="4" s="1"/>
  <c r="P96" i="4" s="1"/>
  <c r="P97" i="4" s="1"/>
  <c r="P98" i="4" s="1"/>
  <c r="P99" i="4" s="1"/>
  <c r="P100" i="4" s="1"/>
  <c r="P101" i="4" s="1"/>
  <c r="P102" i="4" s="1"/>
  <c r="P103" i="4" s="1"/>
  <c r="P104" i="4" s="1"/>
  <c r="P105" i="4" s="1"/>
  <c r="P106" i="4" s="1"/>
  <c r="P107" i="4" s="1"/>
  <c r="P108" i="4" s="1"/>
  <c r="P109" i="4" s="1"/>
  <c r="P110" i="4" s="1"/>
  <c r="P111" i="4" s="1"/>
  <c r="P112" i="4" s="1"/>
  <c r="P113" i="4" s="1"/>
  <c r="P114" i="4" s="1"/>
  <c r="P115" i="4" s="1"/>
  <c r="P116" i="4" s="1"/>
  <c r="P117" i="4" s="1"/>
  <c r="P118" i="4" s="1"/>
  <c r="P119" i="4" s="1"/>
  <c r="P120" i="4" s="1"/>
  <c r="P121" i="4" s="1"/>
  <c r="P122" i="4" s="1"/>
  <c r="P123" i="4" s="1"/>
  <c r="P124" i="4" s="1"/>
  <c r="P125" i="4" s="1"/>
  <c r="P126" i="4" s="1"/>
  <c r="P127" i="4" s="1"/>
  <c r="P128" i="4" s="1"/>
  <c r="P129" i="4" s="1"/>
  <c r="P130" i="4" s="1"/>
  <c r="P131" i="4" s="1"/>
  <c r="P132" i="4" s="1"/>
  <c r="P133" i="4" s="1"/>
  <c r="P134" i="4" s="1"/>
  <c r="P135" i="4" s="1"/>
  <c r="P136" i="4" s="1"/>
  <c r="P137" i="4" s="1"/>
  <c r="P138" i="4" s="1"/>
  <c r="P139" i="4" s="1"/>
  <c r="P140" i="4" s="1"/>
  <c r="P141" i="4" s="1"/>
  <c r="P142" i="4" s="1"/>
  <c r="P143" i="4" s="1"/>
  <c r="P144" i="4" s="1"/>
  <c r="P145" i="4" s="1"/>
  <c r="P146" i="4" s="1"/>
  <c r="P147" i="4" s="1"/>
  <c r="P148" i="4" s="1"/>
  <c r="P149" i="4" s="1"/>
  <c r="P150" i="4" s="1"/>
  <c r="P151" i="4" s="1"/>
  <c r="P152" i="4" s="1"/>
  <c r="P153" i="4" s="1"/>
  <c r="P154" i="4" s="1"/>
  <c r="P155" i="4" s="1"/>
  <c r="P156" i="4" s="1"/>
  <c r="P157" i="4" s="1"/>
  <c r="P158" i="4" s="1"/>
  <c r="P159" i="4" s="1"/>
  <c r="P160" i="4" s="1"/>
  <c r="P161" i="4" s="1"/>
  <c r="P162" i="4" s="1"/>
  <c r="P163" i="4" s="1"/>
  <c r="P164" i="4" s="1"/>
  <c r="P165" i="4" s="1"/>
  <c r="P166" i="4" s="1"/>
  <c r="P167" i="4" s="1"/>
  <c r="P168" i="4" s="1"/>
  <c r="P169" i="4" s="1"/>
  <c r="P170" i="4" s="1"/>
  <c r="P171" i="4" s="1"/>
  <c r="P172" i="4" s="1"/>
  <c r="P173" i="4" s="1"/>
  <c r="P174" i="4" s="1"/>
  <c r="P175" i="4" s="1"/>
  <c r="P176" i="4" s="1"/>
  <c r="P177" i="4" s="1"/>
  <c r="P178" i="4" s="1"/>
  <c r="P179" i="4" s="1"/>
  <c r="P180" i="4" s="1"/>
  <c r="P181" i="4" s="1"/>
  <c r="P182" i="4" s="1"/>
  <c r="P183" i="4" s="1"/>
  <c r="P184" i="4" s="1"/>
  <c r="P185" i="4" s="1"/>
  <c r="P186" i="4" s="1"/>
  <c r="P187" i="4" s="1"/>
  <c r="P188" i="4" s="1"/>
  <c r="P189" i="4" s="1"/>
  <c r="P190" i="4" s="1"/>
  <c r="P191" i="4" s="1"/>
  <c r="P192" i="4" s="1"/>
  <c r="P193" i="4" s="1"/>
  <c r="P194" i="4" s="1"/>
  <c r="P195" i="4" s="1"/>
  <c r="P196" i="4" s="1"/>
  <c r="P197" i="4" s="1"/>
  <c r="P198" i="4" s="1"/>
  <c r="P199" i="4" s="1"/>
  <c r="P200" i="4" s="1"/>
  <c r="P201" i="4" s="1"/>
  <c r="P202" i="4" s="1"/>
  <c r="P203" i="4" s="1"/>
  <c r="P204" i="4" s="1"/>
  <c r="P205" i="4" s="1"/>
  <c r="P206" i="4" s="1"/>
  <c r="P207" i="4" s="1"/>
  <c r="P208" i="4" s="1"/>
  <c r="P209" i="4" s="1"/>
  <c r="P210" i="4" s="1"/>
  <c r="P211" i="4" s="1"/>
  <c r="P212" i="4" s="1"/>
  <c r="P213" i="4" s="1"/>
  <c r="P214" i="4" s="1"/>
  <c r="P215" i="4" s="1"/>
  <c r="P216" i="4" s="1"/>
  <c r="P217" i="4" s="1"/>
  <c r="P218" i="4" s="1"/>
  <c r="P219" i="4" s="1"/>
  <c r="P220" i="4" s="1"/>
  <c r="P221" i="4" s="1"/>
  <c r="P222" i="4" s="1"/>
  <c r="P223" i="4" s="1"/>
  <c r="P224" i="4" s="1"/>
  <c r="P225" i="4" s="1"/>
  <c r="P226" i="4" s="1"/>
  <c r="P227" i="4" s="1"/>
  <c r="P228" i="4" s="1"/>
  <c r="P229" i="4" s="1"/>
  <c r="P230" i="4" s="1"/>
  <c r="P231" i="4" s="1"/>
  <c r="P232" i="4" s="1"/>
  <c r="P233" i="4" s="1"/>
  <c r="P234" i="4" s="1"/>
  <c r="P235" i="4" s="1"/>
  <c r="P236" i="4" s="1"/>
  <c r="P237" i="4" s="1"/>
  <c r="P238" i="4" s="1"/>
  <c r="P239" i="4" s="1"/>
  <c r="P240" i="4" s="1"/>
  <c r="P241" i="4" s="1"/>
  <c r="P242" i="4" s="1"/>
  <c r="P243" i="4" s="1"/>
  <c r="P244" i="4" s="1"/>
  <c r="P245" i="4" s="1"/>
  <c r="P246" i="4" s="1"/>
  <c r="P247" i="4" s="1"/>
  <c r="P248" i="4" s="1"/>
  <c r="P249" i="4" s="1"/>
  <c r="P250" i="4" s="1"/>
  <c r="P251" i="4" s="1"/>
  <c r="P252" i="4" s="1"/>
  <c r="P253" i="4" s="1"/>
  <c r="P254" i="4" s="1"/>
  <c r="P255" i="4" s="1"/>
  <c r="P256" i="4" s="1"/>
  <c r="P257" i="4" s="1"/>
  <c r="P258" i="4" s="1"/>
  <c r="P259" i="4" s="1"/>
  <c r="P260" i="4" s="1"/>
  <c r="P261" i="4" s="1"/>
  <c r="P262" i="4" s="1"/>
  <c r="P263" i="4" s="1"/>
  <c r="P264" i="4" s="1"/>
  <c r="P265" i="4" s="1"/>
  <c r="P266" i="4" s="1"/>
  <c r="P267" i="4" s="1"/>
  <c r="P268" i="4" s="1"/>
  <c r="P269" i="4" s="1"/>
  <c r="P270" i="4" s="1"/>
  <c r="P271" i="4" s="1"/>
  <c r="P272" i="4" s="1"/>
  <c r="P273" i="4" s="1"/>
  <c r="P274" i="4" s="1"/>
  <c r="P275" i="4" s="1"/>
  <c r="P276" i="4" s="1"/>
  <c r="P277" i="4" s="1"/>
  <c r="P278" i="4" s="1"/>
  <c r="P279" i="4" s="1"/>
  <c r="P280" i="4" s="1"/>
  <c r="P281" i="4" s="1"/>
  <c r="P282" i="4" s="1"/>
  <c r="P283" i="4" s="1"/>
  <c r="P284" i="4" s="1"/>
  <c r="P285" i="4" s="1"/>
  <c r="P286" i="4" s="1"/>
  <c r="P287" i="4" s="1"/>
  <c r="P288" i="4" s="1"/>
  <c r="P289" i="4" s="1"/>
  <c r="P290" i="4" s="1"/>
  <c r="P291" i="4" s="1"/>
  <c r="P292" i="4" s="1"/>
  <c r="P293" i="4" s="1"/>
  <c r="P294" i="4" s="1"/>
  <c r="P295" i="4" s="1"/>
  <c r="P296" i="4" s="1"/>
  <c r="P297" i="4" s="1"/>
  <c r="P298" i="4" s="1"/>
  <c r="P299" i="4" s="1"/>
  <c r="P300" i="4" s="1"/>
  <c r="P301" i="4" s="1"/>
  <c r="P302" i="4" s="1"/>
  <c r="P303" i="4" s="1"/>
  <c r="P304" i="4" s="1"/>
  <c r="P305" i="4" s="1"/>
  <c r="P306" i="4" s="1"/>
  <c r="P307" i="4" s="1"/>
  <c r="P308" i="4" s="1"/>
  <c r="P309" i="4" s="1"/>
  <c r="P310" i="4" s="1"/>
  <c r="P311" i="4" s="1"/>
  <c r="P312" i="4" s="1"/>
  <c r="P313" i="4" s="1"/>
  <c r="P314" i="4" s="1"/>
  <c r="P315" i="4" s="1"/>
  <c r="P316" i="4" s="1"/>
  <c r="P317" i="4" s="1"/>
  <c r="P318" i="4" s="1"/>
  <c r="P319" i="4" s="1"/>
  <c r="P320" i="4" s="1"/>
  <c r="P321" i="4" s="1"/>
  <c r="P322" i="4" s="1"/>
  <c r="P323" i="4" s="1"/>
  <c r="P324" i="4" s="1"/>
  <c r="P325" i="4" s="1"/>
  <c r="P326" i="4" s="1"/>
  <c r="P327" i="4" s="1"/>
  <c r="P328" i="4" s="1"/>
  <c r="P329" i="4" s="1"/>
  <c r="P330" i="4" s="1"/>
  <c r="P331" i="4" s="1"/>
  <c r="P332" i="4" s="1"/>
  <c r="P333" i="4" s="1"/>
  <c r="P334" i="4" s="1"/>
  <c r="P335" i="4" s="1"/>
  <c r="P336" i="4" s="1"/>
  <c r="P337" i="4" s="1"/>
  <c r="P338" i="4" s="1"/>
  <c r="P339" i="4" s="1"/>
  <c r="P340" i="4" s="1"/>
  <c r="P341" i="4" s="1"/>
  <c r="P342" i="4" s="1"/>
  <c r="P343" i="4" s="1"/>
  <c r="P344" i="4" s="1"/>
  <c r="P345" i="4" s="1"/>
  <c r="P346" i="4" s="1"/>
  <c r="P347" i="4" s="1"/>
  <c r="P348" i="4" s="1"/>
  <c r="P349" i="4" s="1"/>
  <c r="P350" i="4" s="1"/>
  <c r="P351" i="4" s="1"/>
  <c r="P352" i="4" s="1"/>
  <c r="P353" i="4" s="1"/>
  <c r="P354" i="4" s="1"/>
  <c r="P355" i="4" s="1"/>
  <c r="P356" i="4" s="1"/>
  <c r="P357" i="4" s="1"/>
  <c r="P358" i="4" s="1"/>
  <c r="P359" i="4" s="1"/>
  <c r="P360" i="4" s="1"/>
  <c r="P361" i="4" s="1"/>
  <c r="P362" i="4" s="1"/>
  <c r="P363" i="4" s="1"/>
  <c r="P364" i="4" s="1"/>
  <c r="P365" i="4" s="1"/>
  <c r="P366" i="4" s="1"/>
  <c r="P367" i="4" s="1"/>
  <c r="P368" i="4" s="1"/>
  <c r="P369" i="4" s="1"/>
  <c r="P370" i="4" s="1"/>
  <c r="P371" i="4" s="1"/>
  <c r="P372" i="4" s="1"/>
  <c r="P373" i="4" s="1"/>
  <c r="P374" i="4" s="1"/>
  <c r="P375" i="4" s="1"/>
  <c r="P376" i="4" s="1"/>
  <c r="P377" i="4" s="1"/>
  <c r="P378" i="4" s="1"/>
  <c r="P379" i="4" s="1"/>
  <c r="P380" i="4" s="1"/>
  <c r="P381" i="4" s="1"/>
  <c r="P382" i="4" s="1"/>
  <c r="P383" i="4" s="1"/>
  <c r="P384" i="4" s="1"/>
  <c r="P385" i="4" s="1"/>
  <c r="P386" i="4" s="1"/>
  <c r="P387" i="4" s="1"/>
  <c r="P388" i="4" s="1"/>
  <c r="P389" i="4" s="1"/>
  <c r="P390" i="4" s="1"/>
  <c r="P391" i="4" s="1"/>
  <c r="P392" i="4" s="1"/>
  <c r="P393" i="4" s="1"/>
  <c r="P394" i="4" s="1"/>
  <c r="P395" i="4" s="1"/>
  <c r="P396" i="4" s="1"/>
  <c r="P397" i="4" s="1"/>
  <c r="P398" i="4" s="1"/>
  <c r="P399" i="4" s="1"/>
  <c r="P400" i="4" s="1"/>
  <c r="P401" i="4" s="1"/>
  <c r="P402" i="4" s="1"/>
  <c r="P403" i="4" s="1"/>
  <c r="P404" i="4" s="1"/>
  <c r="P405" i="4" s="1"/>
  <c r="P406" i="4" s="1"/>
  <c r="P407" i="4" s="1"/>
  <c r="P408" i="4" s="1"/>
  <c r="P409" i="4" s="1"/>
  <c r="P410" i="4" s="1"/>
  <c r="P411" i="4" s="1"/>
  <c r="P412" i="4" s="1"/>
  <c r="P413" i="4" s="1"/>
  <c r="P414" i="4" s="1"/>
  <c r="P415" i="4" s="1"/>
  <c r="P416" i="4" s="1"/>
  <c r="P417" i="4" s="1"/>
  <c r="P418" i="4" s="1"/>
  <c r="P419" i="4" s="1"/>
  <c r="P420" i="4" s="1"/>
  <c r="P421" i="4" s="1"/>
  <c r="P422" i="4" s="1"/>
  <c r="P423" i="4" s="1"/>
  <c r="P424" i="4" s="1"/>
  <c r="P425" i="4" s="1"/>
  <c r="P426" i="4" s="1"/>
  <c r="P427" i="4" s="1"/>
  <c r="P428" i="4" s="1"/>
  <c r="P429" i="4" s="1"/>
  <c r="P430" i="4" s="1"/>
  <c r="P431" i="4" s="1"/>
  <c r="P432" i="4" s="1"/>
  <c r="P433" i="4" s="1"/>
  <c r="P434" i="4" s="1"/>
  <c r="P435" i="4" s="1"/>
  <c r="P436" i="4" s="1"/>
  <c r="P437" i="4" s="1"/>
  <c r="P438" i="4" s="1"/>
  <c r="P439" i="4" s="1"/>
  <c r="P440" i="4" s="1"/>
  <c r="P441" i="4" s="1"/>
  <c r="P442" i="4" s="1"/>
  <c r="P443" i="4" s="1"/>
  <c r="P444" i="4" s="1"/>
  <c r="P445" i="4" s="1"/>
  <c r="P446" i="4" s="1"/>
  <c r="P447" i="4" s="1"/>
  <c r="P448" i="4" s="1"/>
  <c r="P449" i="4" s="1"/>
  <c r="P450" i="4" s="1"/>
  <c r="P451" i="4" s="1"/>
  <c r="P452" i="4" s="1"/>
  <c r="P453" i="4" s="1"/>
  <c r="P454" i="4" s="1"/>
  <c r="P455" i="4" s="1"/>
  <c r="P456" i="4" s="1"/>
  <c r="P457" i="4" s="1"/>
  <c r="P458" i="4" s="1"/>
  <c r="P459" i="4" s="1"/>
  <c r="P460" i="4" s="1"/>
  <c r="P461" i="4" s="1"/>
  <c r="P462" i="4" s="1"/>
  <c r="P463" i="4" s="1"/>
  <c r="P464" i="4" s="1"/>
  <c r="P465" i="4" s="1"/>
  <c r="P466" i="4" s="1"/>
  <c r="P467" i="4" s="1"/>
  <c r="P468" i="4" s="1"/>
  <c r="P469" i="4" s="1"/>
  <c r="P470" i="4" s="1"/>
  <c r="P471" i="4" s="1"/>
  <c r="P472" i="4" s="1"/>
  <c r="P473" i="4" s="1"/>
  <c r="P474" i="4" s="1"/>
  <c r="P475" i="4" s="1"/>
  <c r="P476" i="4" s="1"/>
  <c r="P477" i="4" s="1"/>
  <c r="P478" i="4" s="1"/>
  <c r="P479" i="4" s="1"/>
  <c r="P480" i="4" s="1"/>
  <c r="P481" i="4" s="1"/>
  <c r="P482" i="4" s="1"/>
  <c r="P483" i="4" s="1"/>
  <c r="P484" i="4" s="1"/>
  <c r="P485" i="4" s="1"/>
  <c r="P486" i="4" s="1"/>
  <c r="P487" i="4" s="1"/>
  <c r="P488" i="4" s="1"/>
  <c r="P489" i="4" s="1"/>
  <c r="P490" i="4" s="1"/>
  <c r="P491" i="4" s="1"/>
  <c r="P492" i="4" s="1"/>
  <c r="P493" i="4" s="1"/>
  <c r="P494" i="4" s="1"/>
  <c r="P495" i="4" s="1"/>
  <c r="P496" i="4" s="1"/>
  <c r="P497" i="4" s="1"/>
  <c r="P498" i="4" s="1"/>
  <c r="P499" i="4" s="1"/>
  <c r="P500" i="4" s="1"/>
  <c r="P501" i="4" s="1"/>
  <c r="P502" i="4" s="1"/>
  <c r="P503" i="4" s="1"/>
  <c r="P504" i="4" s="1"/>
  <c r="P505" i="4" s="1"/>
  <c r="P506" i="4" s="1"/>
  <c r="P507" i="4" s="1"/>
  <c r="P508" i="4" s="1"/>
  <c r="P509" i="4" s="1"/>
  <c r="P510" i="4" s="1"/>
  <c r="P511" i="4" s="1"/>
  <c r="P512" i="4" s="1"/>
  <c r="P513" i="4" s="1"/>
  <c r="P514" i="4" s="1"/>
  <c r="P515" i="4" s="1"/>
  <c r="P516" i="4" s="1"/>
  <c r="P517" i="4" s="1"/>
  <c r="P518" i="4" s="1"/>
  <c r="P519" i="4" s="1"/>
  <c r="P520" i="4" s="1"/>
  <c r="P521" i="4" s="1"/>
  <c r="P522" i="4" s="1"/>
  <c r="P523" i="4" s="1"/>
  <c r="P524" i="4" s="1"/>
  <c r="P525" i="4" s="1"/>
  <c r="P526" i="4" s="1"/>
  <c r="P527" i="4" s="1"/>
  <c r="P528" i="4" s="1"/>
  <c r="P529" i="4" s="1"/>
  <c r="P530" i="4" s="1"/>
  <c r="P531" i="4" s="1"/>
  <c r="P532" i="4" s="1"/>
  <c r="P533" i="4" s="1"/>
  <c r="P534" i="4" s="1"/>
  <c r="P535" i="4" s="1"/>
  <c r="P536" i="4" s="1"/>
  <c r="P537" i="4" s="1"/>
  <c r="P538" i="4" s="1"/>
  <c r="P539" i="4" s="1"/>
  <c r="P540" i="4" s="1"/>
  <c r="P541" i="4" s="1"/>
  <c r="P542" i="4" s="1"/>
  <c r="P543" i="4" s="1"/>
  <c r="P544" i="4" s="1"/>
  <c r="P545" i="4" s="1"/>
  <c r="P546" i="4" s="1"/>
  <c r="P547" i="4" s="1"/>
  <c r="P548" i="4" s="1"/>
  <c r="P549" i="4" s="1"/>
  <c r="P550" i="4" s="1"/>
  <c r="P551" i="4" s="1"/>
  <c r="P552" i="4" s="1"/>
  <c r="P553" i="4" s="1"/>
  <c r="P554" i="4" s="1"/>
  <c r="P555" i="4" s="1"/>
  <c r="P556" i="4" s="1"/>
  <c r="P557" i="4" s="1"/>
  <c r="P558" i="4" s="1"/>
  <c r="P559" i="4" s="1"/>
  <c r="P560" i="4" s="1"/>
  <c r="P561" i="4" s="1"/>
  <c r="P562" i="4" s="1"/>
  <c r="P563" i="4" s="1"/>
  <c r="P564" i="4" s="1"/>
  <c r="P565" i="4" s="1"/>
  <c r="P566" i="4" s="1"/>
  <c r="P567" i="4" s="1"/>
  <c r="P568" i="4" s="1"/>
  <c r="P569" i="4" s="1"/>
  <c r="P570" i="4" s="1"/>
  <c r="P571" i="4" s="1"/>
  <c r="P572" i="4" s="1"/>
  <c r="P573" i="4" s="1"/>
  <c r="P574" i="4" s="1"/>
  <c r="P575" i="4" s="1"/>
  <c r="P576" i="4" s="1"/>
  <c r="P577" i="4" s="1"/>
  <c r="P578" i="4" s="1"/>
  <c r="P579" i="4" s="1"/>
  <c r="P580" i="4" s="1"/>
  <c r="P581" i="4" s="1"/>
  <c r="P582" i="4" s="1"/>
  <c r="P583" i="4" s="1"/>
  <c r="P584" i="4" s="1"/>
  <c r="P585" i="4" s="1"/>
  <c r="P586" i="4" s="1"/>
  <c r="P587" i="4" s="1"/>
  <c r="P588" i="4" s="1"/>
  <c r="P589" i="4" s="1"/>
  <c r="P590" i="4" s="1"/>
  <c r="P591" i="4" s="1"/>
  <c r="P592" i="4" s="1"/>
  <c r="P593" i="4" s="1"/>
  <c r="P594" i="4" s="1"/>
  <c r="P595" i="4" s="1"/>
  <c r="P596" i="4" s="1"/>
  <c r="P597" i="4" s="1"/>
  <c r="P598" i="4" s="1"/>
  <c r="P599" i="4" s="1"/>
  <c r="P600" i="4" s="1"/>
  <c r="P601" i="4" s="1"/>
  <c r="P602" i="4" s="1"/>
  <c r="P603" i="4" s="1"/>
  <c r="P604" i="4" s="1"/>
  <c r="P605" i="4" s="1"/>
  <c r="P606" i="4" s="1"/>
  <c r="P607" i="4" s="1"/>
  <c r="P608" i="4" s="1"/>
  <c r="P609" i="4" s="1"/>
  <c r="Z9" i="4"/>
  <c r="AA9" i="4"/>
  <c r="W11" i="4" l="1"/>
  <c r="W12" i="4" s="1"/>
  <c r="W13" i="4" s="1"/>
  <c r="W14" i="4" s="1"/>
  <c r="W15" i="4" s="1"/>
  <c r="W16" i="4" s="1"/>
  <c r="W17" i="4" s="1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W28" i="4" s="1"/>
  <c r="W29" i="4" s="1"/>
  <c r="W30" i="4" s="1"/>
  <c r="W31" i="4" s="1"/>
  <c r="W32" i="4" s="1"/>
  <c r="W33" i="4" s="1"/>
  <c r="W34" i="4" s="1"/>
  <c r="W35" i="4" s="1"/>
  <c r="W36" i="4" s="1"/>
  <c r="W37" i="4" s="1"/>
  <c r="W38" i="4" s="1"/>
  <c r="W39" i="4" s="1"/>
  <c r="W40" i="4" s="1"/>
  <c r="W41" i="4" s="1"/>
  <c r="W42" i="4" s="1"/>
  <c r="W43" i="4" s="1"/>
  <c r="W44" i="4" s="1"/>
  <c r="W45" i="4" s="1"/>
  <c r="W46" i="4" s="1"/>
  <c r="W47" i="4" s="1"/>
  <c r="W48" i="4" s="1"/>
  <c r="W49" i="4" s="1"/>
  <c r="W50" i="4" s="1"/>
  <c r="W51" i="4" s="1"/>
  <c r="W52" i="4" s="1"/>
  <c r="W53" i="4" s="1"/>
  <c r="W54" i="4" s="1"/>
  <c r="W55" i="4" s="1"/>
  <c r="W56" i="4" s="1"/>
  <c r="W57" i="4" s="1"/>
  <c r="W58" i="4" s="1"/>
  <c r="W59" i="4" s="1"/>
  <c r="W60" i="4" s="1"/>
  <c r="W61" i="4" s="1"/>
  <c r="W62" i="4" s="1"/>
  <c r="W63" i="4" s="1"/>
  <c r="W64" i="4" s="1"/>
  <c r="W65" i="4" s="1"/>
  <c r="W66" i="4" s="1"/>
  <c r="W67" i="4" s="1"/>
  <c r="W68" i="4" s="1"/>
  <c r="W69" i="4" s="1"/>
  <c r="W70" i="4" s="1"/>
  <c r="W71" i="4" s="1"/>
  <c r="W72" i="4" s="1"/>
  <c r="W73" i="4" s="1"/>
  <c r="W74" i="4" s="1"/>
  <c r="W75" i="4" s="1"/>
  <c r="W76" i="4" s="1"/>
  <c r="W77" i="4" s="1"/>
  <c r="W78" i="4" s="1"/>
  <c r="W79" i="4" s="1"/>
  <c r="W80" i="4" s="1"/>
  <c r="W81" i="4" s="1"/>
  <c r="W82" i="4" s="1"/>
  <c r="W83" i="4" s="1"/>
  <c r="W84" i="4" s="1"/>
  <c r="W85" i="4" s="1"/>
  <c r="W86" i="4" s="1"/>
  <c r="W87" i="4" s="1"/>
  <c r="W88" i="4" s="1"/>
  <c r="W89" i="4" s="1"/>
  <c r="W90" i="4" s="1"/>
  <c r="W91" i="4" s="1"/>
  <c r="W92" i="4" s="1"/>
  <c r="W93" i="4" s="1"/>
  <c r="W94" i="4" s="1"/>
  <c r="W95" i="4" s="1"/>
  <c r="W96" i="4" s="1"/>
  <c r="W97" i="4" s="1"/>
  <c r="W98" i="4" s="1"/>
  <c r="W99" i="4" s="1"/>
  <c r="W100" i="4" s="1"/>
  <c r="W101" i="4" s="1"/>
  <c r="W102" i="4" s="1"/>
  <c r="W103" i="4" s="1"/>
  <c r="W104" i="4" s="1"/>
  <c r="W105" i="4" s="1"/>
  <c r="W106" i="4" s="1"/>
  <c r="W107" i="4" s="1"/>
  <c r="W108" i="4" s="1"/>
  <c r="W109" i="4" s="1"/>
  <c r="W110" i="4" s="1"/>
  <c r="W111" i="4" s="1"/>
  <c r="W112" i="4" s="1"/>
  <c r="W113" i="4" s="1"/>
  <c r="W114" i="4" s="1"/>
  <c r="W115" i="4" s="1"/>
  <c r="W116" i="4" s="1"/>
  <c r="W117" i="4" s="1"/>
  <c r="W118" i="4" s="1"/>
  <c r="W119" i="4" s="1"/>
  <c r="W120" i="4" s="1"/>
  <c r="W121" i="4" s="1"/>
  <c r="W122" i="4" s="1"/>
  <c r="W123" i="4" s="1"/>
  <c r="W124" i="4" s="1"/>
  <c r="W125" i="4" s="1"/>
  <c r="W126" i="4" s="1"/>
  <c r="W127" i="4" s="1"/>
  <c r="W128" i="4" s="1"/>
  <c r="W129" i="4" s="1"/>
  <c r="W130" i="4" s="1"/>
  <c r="W131" i="4" s="1"/>
  <c r="W132" i="4" s="1"/>
  <c r="W133" i="4" s="1"/>
  <c r="W134" i="4" s="1"/>
  <c r="W135" i="4" s="1"/>
  <c r="W136" i="4" s="1"/>
  <c r="W137" i="4" s="1"/>
  <c r="W138" i="4" s="1"/>
  <c r="W139" i="4" s="1"/>
  <c r="W140" i="4" s="1"/>
  <c r="W141" i="4" s="1"/>
  <c r="W142" i="4" s="1"/>
  <c r="W143" i="4" s="1"/>
  <c r="W144" i="4" s="1"/>
  <c r="W145" i="4" s="1"/>
  <c r="W146" i="4" s="1"/>
  <c r="W147" i="4" s="1"/>
  <c r="W148" i="4" s="1"/>
  <c r="W149" i="4" s="1"/>
  <c r="W150" i="4" s="1"/>
  <c r="W151" i="4" s="1"/>
  <c r="W152" i="4" s="1"/>
  <c r="W153" i="4" s="1"/>
  <c r="W154" i="4" s="1"/>
  <c r="W155" i="4" s="1"/>
  <c r="W156" i="4" s="1"/>
  <c r="W157" i="4" s="1"/>
  <c r="W158" i="4" s="1"/>
  <c r="W159" i="4" s="1"/>
  <c r="W160" i="4" s="1"/>
  <c r="W161" i="4" s="1"/>
  <c r="W162" i="4" s="1"/>
  <c r="W163" i="4" s="1"/>
  <c r="W164" i="4" s="1"/>
  <c r="W165" i="4" s="1"/>
  <c r="W166" i="4" s="1"/>
  <c r="W167" i="4" s="1"/>
  <c r="W168" i="4" s="1"/>
  <c r="W169" i="4" s="1"/>
  <c r="W170" i="4" s="1"/>
  <c r="W171" i="4" s="1"/>
  <c r="W172" i="4" s="1"/>
  <c r="W173" i="4" s="1"/>
  <c r="W174" i="4" s="1"/>
  <c r="W175" i="4" s="1"/>
  <c r="W176" i="4" s="1"/>
  <c r="W177" i="4" s="1"/>
  <c r="W178" i="4" s="1"/>
  <c r="W179" i="4" s="1"/>
  <c r="W180" i="4" s="1"/>
  <c r="W181" i="4" s="1"/>
  <c r="W182" i="4" s="1"/>
  <c r="W183" i="4" s="1"/>
  <c r="W184" i="4" s="1"/>
  <c r="W185" i="4" s="1"/>
  <c r="W186" i="4" s="1"/>
  <c r="W187" i="4" s="1"/>
  <c r="W188" i="4" s="1"/>
  <c r="W189" i="4" s="1"/>
  <c r="W190" i="4" s="1"/>
  <c r="W191" i="4" s="1"/>
  <c r="W192" i="4" s="1"/>
  <c r="W193" i="4" s="1"/>
  <c r="W194" i="4" s="1"/>
  <c r="W195" i="4" s="1"/>
  <c r="W196" i="4" s="1"/>
  <c r="W197" i="4" s="1"/>
  <c r="W198" i="4" s="1"/>
  <c r="W199" i="4" s="1"/>
  <c r="W200" i="4" s="1"/>
  <c r="W201" i="4" s="1"/>
  <c r="W202" i="4" s="1"/>
  <c r="W203" i="4" s="1"/>
  <c r="W204" i="4" s="1"/>
  <c r="W205" i="4" s="1"/>
  <c r="W206" i="4" s="1"/>
  <c r="W207" i="4" s="1"/>
  <c r="W208" i="4" s="1"/>
  <c r="W209" i="4" s="1"/>
  <c r="W210" i="4" s="1"/>
  <c r="W211" i="4" s="1"/>
  <c r="W212" i="4" s="1"/>
  <c r="W213" i="4" s="1"/>
  <c r="W214" i="4" s="1"/>
  <c r="W215" i="4" s="1"/>
  <c r="W216" i="4" s="1"/>
  <c r="W217" i="4" s="1"/>
  <c r="W218" i="4" s="1"/>
  <c r="W219" i="4" s="1"/>
  <c r="W220" i="4" s="1"/>
  <c r="W221" i="4" s="1"/>
  <c r="W222" i="4" s="1"/>
  <c r="W223" i="4" s="1"/>
  <c r="W224" i="4" s="1"/>
  <c r="W225" i="4" s="1"/>
  <c r="W226" i="4" s="1"/>
  <c r="W227" i="4" s="1"/>
  <c r="W228" i="4" s="1"/>
  <c r="W229" i="4" s="1"/>
  <c r="W230" i="4" s="1"/>
  <c r="W231" i="4" s="1"/>
  <c r="W232" i="4" s="1"/>
  <c r="W233" i="4" s="1"/>
  <c r="W234" i="4" s="1"/>
  <c r="W235" i="4" s="1"/>
  <c r="W236" i="4" s="1"/>
  <c r="W237" i="4" s="1"/>
  <c r="W238" i="4" s="1"/>
  <c r="W239" i="4" s="1"/>
  <c r="W240" i="4" s="1"/>
  <c r="W241" i="4" s="1"/>
  <c r="W242" i="4" s="1"/>
  <c r="W243" i="4" s="1"/>
  <c r="W244" i="4" s="1"/>
  <c r="W245" i="4" s="1"/>
  <c r="W246" i="4" s="1"/>
  <c r="W247" i="4" s="1"/>
  <c r="W248" i="4" s="1"/>
  <c r="W249" i="4" s="1"/>
  <c r="W250" i="4" s="1"/>
  <c r="W251" i="4" s="1"/>
  <c r="W252" i="4" s="1"/>
  <c r="W253" i="4" s="1"/>
  <c r="W254" i="4" s="1"/>
  <c r="W255" i="4" s="1"/>
  <c r="W256" i="4" s="1"/>
  <c r="W257" i="4" s="1"/>
  <c r="W258" i="4" s="1"/>
  <c r="W259" i="4" s="1"/>
  <c r="W260" i="4" s="1"/>
  <c r="W261" i="4" s="1"/>
  <c r="W262" i="4" s="1"/>
  <c r="W263" i="4" s="1"/>
  <c r="W264" i="4" s="1"/>
  <c r="W265" i="4" s="1"/>
  <c r="W266" i="4" s="1"/>
  <c r="W267" i="4" s="1"/>
  <c r="W268" i="4" s="1"/>
  <c r="W269" i="4" s="1"/>
  <c r="W270" i="4" s="1"/>
  <c r="W271" i="4" s="1"/>
  <c r="W272" i="4" s="1"/>
  <c r="W273" i="4" s="1"/>
  <c r="W274" i="4" s="1"/>
  <c r="W275" i="4" s="1"/>
  <c r="W276" i="4" s="1"/>
  <c r="W277" i="4" s="1"/>
  <c r="W278" i="4" s="1"/>
  <c r="W279" i="4" s="1"/>
  <c r="W280" i="4" s="1"/>
  <c r="W281" i="4" s="1"/>
  <c r="W282" i="4" s="1"/>
  <c r="W283" i="4" s="1"/>
  <c r="W284" i="4" s="1"/>
  <c r="W285" i="4" s="1"/>
  <c r="W286" i="4" s="1"/>
  <c r="W287" i="4" s="1"/>
  <c r="W288" i="4" s="1"/>
  <c r="W289" i="4" s="1"/>
  <c r="W290" i="4" s="1"/>
  <c r="W291" i="4" s="1"/>
  <c r="W292" i="4" s="1"/>
  <c r="W293" i="4" s="1"/>
  <c r="W294" i="4" s="1"/>
  <c r="W295" i="4" s="1"/>
  <c r="W296" i="4" s="1"/>
  <c r="W297" i="4" s="1"/>
  <c r="W298" i="4" s="1"/>
  <c r="W299" i="4" s="1"/>
  <c r="W300" i="4" s="1"/>
  <c r="W301" i="4" s="1"/>
  <c r="W302" i="4" s="1"/>
  <c r="W303" i="4" s="1"/>
  <c r="W304" i="4" s="1"/>
  <c r="W305" i="4" s="1"/>
  <c r="W306" i="4" s="1"/>
  <c r="W307" i="4" s="1"/>
  <c r="W308" i="4" s="1"/>
  <c r="W309" i="4" s="1"/>
  <c r="W310" i="4" s="1"/>
  <c r="W311" i="4" s="1"/>
  <c r="W312" i="4" s="1"/>
  <c r="W313" i="4" s="1"/>
  <c r="W314" i="4" s="1"/>
  <c r="W315" i="4" s="1"/>
  <c r="W316" i="4" s="1"/>
  <c r="W317" i="4" s="1"/>
  <c r="W318" i="4" s="1"/>
  <c r="W319" i="4" s="1"/>
  <c r="W320" i="4" s="1"/>
  <c r="W321" i="4" s="1"/>
  <c r="W322" i="4" s="1"/>
  <c r="W323" i="4" s="1"/>
  <c r="W324" i="4" s="1"/>
  <c r="W325" i="4" s="1"/>
  <c r="W326" i="4" s="1"/>
  <c r="W327" i="4" s="1"/>
  <c r="W328" i="4" s="1"/>
  <c r="W329" i="4" s="1"/>
  <c r="W330" i="4" s="1"/>
  <c r="W331" i="4" s="1"/>
  <c r="W332" i="4" s="1"/>
  <c r="W333" i="4" s="1"/>
  <c r="W334" i="4" s="1"/>
  <c r="W335" i="4" s="1"/>
  <c r="W336" i="4" s="1"/>
  <c r="W337" i="4" s="1"/>
  <c r="W338" i="4" s="1"/>
  <c r="W339" i="4" s="1"/>
  <c r="W340" i="4" s="1"/>
  <c r="W341" i="4" s="1"/>
  <c r="W342" i="4" s="1"/>
  <c r="W343" i="4" s="1"/>
  <c r="W344" i="4" s="1"/>
  <c r="W345" i="4" s="1"/>
  <c r="W346" i="4" s="1"/>
  <c r="W347" i="4" s="1"/>
  <c r="W348" i="4" s="1"/>
  <c r="W349" i="4" s="1"/>
  <c r="W350" i="4" s="1"/>
  <c r="W351" i="4" s="1"/>
  <c r="W352" i="4" s="1"/>
  <c r="W353" i="4" s="1"/>
  <c r="W354" i="4" s="1"/>
  <c r="W355" i="4" s="1"/>
  <c r="W356" i="4" s="1"/>
  <c r="W357" i="4" s="1"/>
  <c r="W358" i="4" s="1"/>
  <c r="W359" i="4" s="1"/>
  <c r="W360" i="4" s="1"/>
  <c r="W361" i="4" s="1"/>
  <c r="W362" i="4" s="1"/>
  <c r="W363" i="4" s="1"/>
  <c r="W364" i="4" s="1"/>
  <c r="W365" i="4" s="1"/>
  <c r="W366" i="4" s="1"/>
  <c r="W367" i="4" s="1"/>
  <c r="W368" i="4" s="1"/>
  <c r="W369" i="4" s="1"/>
  <c r="W370" i="4" s="1"/>
  <c r="W371" i="4" s="1"/>
  <c r="W372" i="4" s="1"/>
  <c r="W373" i="4" s="1"/>
  <c r="W374" i="4" s="1"/>
  <c r="W375" i="4" s="1"/>
  <c r="W376" i="4" s="1"/>
  <c r="W377" i="4" s="1"/>
  <c r="W378" i="4" s="1"/>
  <c r="W379" i="4" s="1"/>
  <c r="W380" i="4" s="1"/>
  <c r="W381" i="4" s="1"/>
  <c r="W382" i="4" s="1"/>
  <c r="W383" i="4" s="1"/>
  <c r="W384" i="4" s="1"/>
  <c r="W385" i="4" s="1"/>
  <c r="W386" i="4" s="1"/>
  <c r="W387" i="4" s="1"/>
  <c r="W388" i="4" s="1"/>
  <c r="W389" i="4" s="1"/>
  <c r="W390" i="4" s="1"/>
  <c r="W391" i="4" s="1"/>
  <c r="W392" i="4" s="1"/>
  <c r="W393" i="4" s="1"/>
  <c r="W394" i="4" s="1"/>
  <c r="W395" i="4" s="1"/>
  <c r="W396" i="4" s="1"/>
  <c r="W397" i="4" s="1"/>
  <c r="W398" i="4" s="1"/>
  <c r="W399" i="4" s="1"/>
  <c r="W400" i="4" s="1"/>
  <c r="W401" i="4" s="1"/>
  <c r="W402" i="4" s="1"/>
  <c r="W403" i="4" s="1"/>
  <c r="W404" i="4" s="1"/>
  <c r="W405" i="4" s="1"/>
  <c r="W406" i="4" s="1"/>
  <c r="W407" i="4" s="1"/>
  <c r="W408" i="4" s="1"/>
  <c r="W409" i="4" s="1"/>
  <c r="W410" i="4" s="1"/>
  <c r="W411" i="4" s="1"/>
  <c r="W412" i="4" s="1"/>
  <c r="W413" i="4" s="1"/>
  <c r="W414" i="4" s="1"/>
  <c r="W415" i="4" s="1"/>
  <c r="W416" i="4" s="1"/>
  <c r="W417" i="4" s="1"/>
  <c r="W418" i="4" s="1"/>
  <c r="W419" i="4" s="1"/>
  <c r="W420" i="4" s="1"/>
  <c r="W421" i="4" s="1"/>
  <c r="W422" i="4" s="1"/>
  <c r="W423" i="4" s="1"/>
  <c r="W424" i="4" s="1"/>
  <c r="W425" i="4" s="1"/>
  <c r="W426" i="4" s="1"/>
  <c r="W427" i="4" s="1"/>
  <c r="W428" i="4" s="1"/>
  <c r="W429" i="4" s="1"/>
  <c r="W430" i="4" s="1"/>
  <c r="W431" i="4" s="1"/>
  <c r="W432" i="4" s="1"/>
  <c r="W433" i="4" s="1"/>
  <c r="W434" i="4" s="1"/>
  <c r="W435" i="4" s="1"/>
  <c r="W436" i="4" s="1"/>
  <c r="W437" i="4" s="1"/>
  <c r="W438" i="4" s="1"/>
  <c r="W439" i="4" s="1"/>
  <c r="W440" i="4" s="1"/>
  <c r="W441" i="4" s="1"/>
  <c r="W442" i="4" s="1"/>
  <c r="W443" i="4" s="1"/>
  <c r="W444" i="4" s="1"/>
  <c r="W445" i="4" s="1"/>
  <c r="W446" i="4" s="1"/>
  <c r="W447" i="4" s="1"/>
  <c r="W448" i="4" s="1"/>
  <c r="W449" i="4" s="1"/>
  <c r="W450" i="4" s="1"/>
  <c r="W451" i="4" s="1"/>
  <c r="W452" i="4" s="1"/>
  <c r="W453" i="4" s="1"/>
  <c r="W454" i="4" s="1"/>
  <c r="W455" i="4" s="1"/>
  <c r="W456" i="4" s="1"/>
  <c r="W457" i="4" s="1"/>
  <c r="W458" i="4" s="1"/>
  <c r="W459" i="4" s="1"/>
  <c r="W460" i="4" s="1"/>
  <c r="W461" i="4" s="1"/>
  <c r="W462" i="4" s="1"/>
  <c r="W463" i="4" s="1"/>
  <c r="W464" i="4" s="1"/>
  <c r="W465" i="4" s="1"/>
  <c r="W466" i="4" s="1"/>
  <c r="W467" i="4" s="1"/>
  <c r="W468" i="4" s="1"/>
  <c r="W469" i="4" s="1"/>
  <c r="W470" i="4" s="1"/>
  <c r="W471" i="4" s="1"/>
  <c r="W472" i="4" s="1"/>
  <c r="W473" i="4" s="1"/>
  <c r="W474" i="4" s="1"/>
  <c r="W475" i="4" s="1"/>
  <c r="W476" i="4" s="1"/>
  <c r="W477" i="4" s="1"/>
  <c r="W478" i="4" s="1"/>
  <c r="W479" i="4" s="1"/>
  <c r="W480" i="4" s="1"/>
  <c r="W481" i="4" s="1"/>
  <c r="W482" i="4" s="1"/>
  <c r="W483" i="4" s="1"/>
  <c r="W484" i="4" s="1"/>
  <c r="W485" i="4" s="1"/>
  <c r="W486" i="4" s="1"/>
  <c r="W487" i="4" s="1"/>
  <c r="W488" i="4" s="1"/>
  <c r="W489" i="4" s="1"/>
  <c r="W490" i="4" s="1"/>
  <c r="W491" i="4" s="1"/>
  <c r="W492" i="4" s="1"/>
  <c r="W493" i="4" s="1"/>
  <c r="W494" i="4" s="1"/>
  <c r="W495" i="4" s="1"/>
  <c r="W496" i="4" s="1"/>
  <c r="W497" i="4" s="1"/>
  <c r="W498" i="4" s="1"/>
  <c r="W499" i="4" s="1"/>
  <c r="W500" i="4" s="1"/>
  <c r="W501" i="4" s="1"/>
  <c r="W502" i="4" s="1"/>
  <c r="W503" i="4" s="1"/>
  <c r="W504" i="4" s="1"/>
  <c r="W505" i="4" s="1"/>
  <c r="W506" i="4" s="1"/>
  <c r="W507" i="4" s="1"/>
  <c r="W508" i="4" s="1"/>
  <c r="W509" i="4" s="1"/>
  <c r="W510" i="4" s="1"/>
  <c r="W511" i="4" s="1"/>
  <c r="W512" i="4" s="1"/>
  <c r="W513" i="4" s="1"/>
  <c r="W514" i="4" s="1"/>
  <c r="W515" i="4" s="1"/>
  <c r="W516" i="4" s="1"/>
  <c r="W517" i="4" s="1"/>
  <c r="W518" i="4" s="1"/>
  <c r="W519" i="4" s="1"/>
  <c r="W520" i="4" s="1"/>
  <c r="W521" i="4" s="1"/>
  <c r="W522" i="4" s="1"/>
  <c r="W523" i="4" s="1"/>
  <c r="W524" i="4" s="1"/>
  <c r="W525" i="4" s="1"/>
  <c r="W526" i="4" s="1"/>
  <c r="W527" i="4" s="1"/>
  <c r="W528" i="4" s="1"/>
  <c r="W529" i="4" s="1"/>
  <c r="W530" i="4" s="1"/>
  <c r="W531" i="4" s="1"/>
  <c r="W532" i="4" s="1"/>
  <c r="W533" i="4" s="1"/>
  <c r="W534" i="4" s="1"/>
  <c r="W535" i="4" s="1"/>
  <c r="W536" i="4" s="1"/>
  <c r="W537" i="4" s="1"/>
  <c r="W538" i="4" s="1"/>
  <c r="W539" i="4" s="1"/>
  <c r="W540" i="4" s="1"/>
  <c r="W541" i="4" s="1"/>
  <c r="W542" i="4" s="1"/>
  <c r="W543" i="4" s="1"/>
  <c r="W544" i="4" s="1"/>
  <c r="W545" i="4" s="1"/>
  <c r="W546" i="4" s="1"/>
  <c r="W547" i="4" s="1"/>
  <c r="W548" i="4" s="1"/>
  <c r="W549" i="4" s="1"/>
  <c r="W550" i="4" s="1"/>
  <c r="W551" i="4" s="1"/>
  <c r="W552" i="4" s="1"/>
  <c r="W553" i="4" s="1"/>
  <c r="W554" i="4" s="1"/>
  <c r="W555" i="4" s="1"/>
  <c r="W556" i="4" s="1"/>
  <c r="W557" i="4" s="1"/>
  <c r="W558" i="4" s="1"/>
  <c r="W559" i="4" s="1"/>
  <c r="W560" i="4" s="1"/>
  <c r="W561" i="4" s="1"/>
  <c r="W562" i="4" s="1"/>
  <c r="W563" i="4" s="1"/>
  <c r="W564" i="4" s="1"/>
  <c r="W565" i="4" s="1"/>
  <c r="W566" i="4" s="1"/>
  <c r="W567" i="4" s="1"/>
  <c r="W568" i="4" s="1"/>
  <c r="W569" i="4" s="1"/>
  <c r="W570" i="4" s="1"/>
  <c r="W571" i="4" s="1"/>
  <c r="W572" i="4" s="1"/>
  <c r="W573" i="4" s="1"/>
  <c r="W574" i="4" s="1"/>
  <c r="W575" i="4" s="1"/>
  <c r="W576" i="4" s="1"/>
  <c r="W577" i="4" s="1"/>
  <c r="W578" i="4" s="1"/>
  <c r="W579" i="4" s="1"/>
  <c r="W580" i="4" s="1"/>
  <c r="W581" i="4" s="1"/>
  <c r="W582" i="4" s="1"/>
  <c r="W583" i="4" s="1"/>
  <c r="W584" i="4" s="1"/>
  <c r="W585" i="4" s="1"/>
  <c r="W586" i="4" s="1"/>
  <c r="W587" i="4" s="1"/>
  <c r="W588" i="4" s="1"/>
  <c r="W589" i="4" s="1"/>
  <c r="W590" i="4" s="1"/>
  <c r="W591" i="4" s="1"/>
  <c r="W592" i="4" s="1"/>
  <c r="W593" i="4" s="1"/>
  <c r="W594" i="4" s="1"/>
  <c r="W595" i="4" s="1"/>
  <c r="W596" i="4" s="1"/>
  <c r="W597" i="4" s="1"/>
  <c r="W598" i="4" s="1"/>
  <c r="W599" i="4" s="1"/>
  <c r="W600" i="4" s="1"/>
  <c r="W601" i="4" s="1"/>
  <c r="W602" i="4" s="1"/>
  <c r="W603" i="4" s="1"/>
  <c r="W604" i="4" s="1"/>
  <c r="W605" i="4" s="1"/>
  <c r="W606" i="4" s="1"/>
  <c r="W607" i="4" s="1"/>
  <c r="W608" i="4" s="1"/>
  <c r="W609" i="4" s="1"/>
  <c r="AA10" i="4"/>
  <c r="N10" i="4"/>
  <c r="AB9" i="4"/>
  <c r="U11" i="4" l="1"/>
  <c r="N11" i="4"/>
  <c r="Z11" i="4" s="1"/>
  <c r="Y10" i="4"/>
  <c r="U12" i="4"/>
  <c r="AA11" i="4"/>
  <c r="Z10" i="4"/>
  <c r="U13" i="4" l="1"/>
  <c r="AA12" i="4"/>
  <c r="AB10" i="4"/>
  <c r="Y11" i="4"/>
  <c r="AB11" i="4" s="1"/>
  <c r="N12" i="4"/>
  <c r="N13" i="4" l="1"/>
  <c r="Z13" i="4" s="1"/>
  <c r="Y12" i="4"/>
  <c r="Z12" i="4"/>
  <c r="U14" i="4"/>
  <c r="AA13" i="4"/>
  <c r="AB12" i="4" l="1"/>
  <c r="U15" i="4"/>
  <c r="AA14" i="4"/>
  <c r="N14" i="4"/>
  <c r="Y13" i="4"/>
  <c r="AB13" i="4" s="1"/>
  <c r="N15" i="4" l="1"/>
  <c r="Z15" i="4" s="1"/>
  <c r="Y14" i="4"/>
  <c r="Z14" i="4"/>
  <c r="U16" i="4"/>
  <c r="AA15" i="4"/>
  <c r="AB14" i="4" l="1"/>
  <c r="U17" i="4"/>
  <c r="AA16" i="4"/>
  <c r="N16" i="4"/>
  <c r="Y15" i="4"/>
  <c r="AB15" i="4" s="1"/>
  <c r="U18" i="4" l="1"/>
  <c r="AA17" i="4"/>
  <c r="N17" i="4"/>
  <c r="Y16" i="4"/>
  <c r="Z16" i="4"/>
  <c r="AB16" i="4" l="1"/>
  <c r="N18" i="4"/>
  <c r="Z18" i="4" s="1"/>
  <c r="Y17" i="4"/>
  <c r="Z17" i="4"/>
  <c r="U19" i="4"/>
  <c r="AA18" i="4"/>
  <c r="AB17" i="4" l="1"/>
  <c r="U20" i="4"/>
  <c r="AA19" i="4"/>
  <c r="N19" i="4"/>
  <c r="Y18" i="4"/>
  <c r="AB18" i="4" s="1"/>
  <c r="N20" i="4" l="1"/>
  <c r="Z20" i="4" s="1"/>
  <c r="Y19" i="4"/>
  <c r="Z19" i="4"/>
  <c r="U21" i="4"/>
  <c r="AA20" i="4"/>
  <c r="AB19" i="4" l="1"/>
  <c r="U22" i="4"/>
  <c r="AA21" i="4"/>
  <c r="N21" i="4"/>
  <c r="Y20" i="4"/>
  <c r="AB20" i="4" s="1"/>
  <c r="N22" i="4" l="1"/>
  <c r="Y21" i="4"/>
  <c r="Z21" i="4"/>
  <c r="U23" i="4"/>
  <c r="AA22" i="4"/>
  <c r="Z22" i="4"/>
  <c r="U24" i="4" l="1"/>
  <c r="AA23" i="4"/>
  <c r="AB21" i="4"/>
  <c r="N23" i="4"/>
  <c r="Z23" i="4" s="1"/>
  <c r="Y22" i="4"/>
  <c r="AB22" i="4" s="1"/>
  <c r="N24" i="4" l="1"/>
  <c r="Y23" i="4"/>
  <c r="AB23" i="4" s="1"/>
  <c r="U25" i="4"/>
  <c r="Z24" i="4"/>
  <c r="AA24" i="4"/>
  <c r="U26" i="4" l="1"/>
  <c r="AA25" i="4"/>
  <c r="N25" i="4"/>
  <c r="Y24" i="4"/>
  <c r="AB24" i="4" s="1"/>
  <c r="N26" i="4" l="1"/>
  <c r="Y25" i="4"/>
  <c r="Z25" i="4"/>
  <c r="U27" i="4"/>
  <c r="Z26" i="4"/>
  <c r="AA26" i="4"/>
  <c r="AB25" i="4" l="1"/>
  <c r="U28" i="4"/>
  <c r="AA27" i="4"/>
  <c r="N27" i="4"/>
  <c r="Z27" i="4" s="1"/>
  <c r="Y26" i="4"/>
  <c r="AB26" i="4" s="1"/>
  <c r="N28" i="4" l="1"/>
  <c r="Y27" i="4"/>
  <c r="AB27" i="4" s="1"/>
  <c r="U29" i="4"/>
  <c r="Z28" i="4"/>
  <c r="AA28" i="4"/>
  <c r="U30" i="4" l="1"/>
  <c r="AA29" i="4"/>
  <c r="N29" i="4"/>
  <c r="Y28" i="4"/>
  <c r="AB28" i="4" s="1"/>
  <c r="N30" i="4" l="1"/>
  <c r="Y29" i="4"/>
  <c r="Z29" i="4"/>
  <c r="U31" i="4"/>
  <c r="AA30" i="4"/>
  <c r="Z30" i="4"/>
  <c r="U32" i="4" l="1"/>
  <c r="AA31" i="4"/>
  <c r="AB29" i="4"/>
  <c r="N31" i="4"/>
  <c r="Y30" i="4"/>
  <c r="AB30" i="4" s="1"/>
  <c r="N32" i="4" l="1"/>
  <c r="Y31" i="4"/>
  <c r="Z31" i="4"/>
  <c r="U33" i="4"/>
  <c r="Z32" i="4"/>
  <c r="AA32" i="4"/>
  <c r="AB31" i="4" l="1"/>
  <c r="U34" i="4"/>
  <c r="AA33" i="4"/>
  <c r="N33" i="4"/>
  <c r="Y32" i="4"/>
  <c r="AB32" i="4" s="1"/>
  <c r="U35" i="4" l="1"/>
  <c r="AA34" i="4"/>
  <c r="N34" i="4"/>
  <c r="Z34" i="4" s="1"/>
  <c r="Y33" i="4"/>
  <c r="Z33" i="4"/>
  <c r="AB33" i="4" l="1"/>
  <c r="N35" i="4"/>
  <c r="Z35" i="4" s="1"/>
  <c r="Y34" i="4"/>
  <c r="AB34" i="4" s="1"/>
  <c r="U36" i="4"/>
  <c r="AA35" i="4"/>
  <c r="N36" i="4" l="1"/>
  <c r="Y35" i="4"/>
  <c r="AB35" i="4" s="1"/>
  <c r="U37" i="4"/>
  <c r="AA36" i="4"/>
  <c r="Z36" i="4"/>
  <c r="U38" i="4" l="1"/>
  <c r="AA37" i="4"/>
  <c r="N37" i="4"/>
  <c r="Y36" i="4"/>
  <c r="AB36" i="4" s="1"/>
  <c r="N38" i="4" l="1"/>
  <c r="Y37" i="4"/>
  <c r="Z37" i="4"/>
  <c r="U39" i="4"/>
  <c r="AA38" i="4"/>
  <c r="Z38" i="4"/>
  <c r="AB37" i="4" l="1"/>
  <c r="U40" i="4"/>
  <c r="AA39" i="4"/>
  <c r="N39" i="4"/>
  <c r="Y38" i="4"/>
  <c r="AB38" i="4" s="1"/>
  <c r="U41" i="4" l="1"/>
  <c r="AA40" i="4"/>
  <c r="N40" i="4"/>
  <c r="Z40" i="4" s="1"/>
  <c r="Y39" i="4"/>
  <c r="Z39" i="4"/>
  <c r="AB39" i="4" l="1"/>
  <c r="N41" i="4"/>
  <c r="Y40" i="4"/>
  <c r="AB40" i="4" s="1"/>
  <c r="U42" i="4"/>
  <c r="Z41" i="4"/>
  <c r="AA41" i="4"/>
  <c r="U43" i="4" l="1"/>
  <c r="AA42" i="4"/>
  <c r="N42" i="4"/>
  <c r="Y41" i="4"/>
  <c r="AB41" i="4" s="1"/>
  <c r="N43" i="4" l="1"/>
  <c r="Y42" i="4"/>
  <c r="Z42" i="4"/>
  <c r="U44" i="4"/>
  <c r="Z43" i="4"/>
  <c r="AA43" i="4"/>
  <c r="AB42" i="4" l="1"/>
  <c r="U45" i="4"/>
  <c r="AA44" i="4"/>
  <c r="N44" i="4"/>
  <c r="Z44" i="4" s="1"/>
  <c r="Y43" i="4"/>
  <c r="AB43" i="4" s="1"/>
  <c r="N45" i="4" l="1"/>
  <c r="Y44" i="4"/>
  <c r="AB44" i="4" s="1"/>
  <c r="U46" i="4"/>
  <c r="Z45" i="4"/>
  <c r="AA45" i="4"/>
  <c r="U47" i="4" l="1"/>
  <c r="AA46" i="4"/>
  <c r="N46" i="4"/>
  <c r="Y45" i="4"/>
  <c r="AB45" i="4" s="1"/>
  <c r="N47" i="4" l="1"/>
  <c r="Z47" i="4" s="1"/>
  <c r="Y46" i="4"/>
  <c r="Z46" i="4"/>
  <c r="U48" i="4"/>
  <c r="AA47" i="4"/>
  <c r="AB46" i="4" l="1"/>
  <c r="U49" i="4"/>
  <c r="AA48" i="4"/>
  <c r="N48" i="4"/>
  <c r="Z48" i="4" s="1"/>
  <c r="Y47" i="4"/>
  <c r="AB47" i="4" s="1"/>
  <c r="N49" i="4" l="1"/>
  <c r="Y48" i="4"/>
  <c r="AB48" i="4" s="1"/>
  <c r="U50" i="4"/>
  <c r="AA49" i="4"/>
  <c r="Z49" i="4"/>
  <c r="U51" i="4" l="1"/>
  <c r="AA50" i="4"/>
  <c r="N50" i="4"/>
  <c r="Y49" i="4"/>
  <c r="AB49" i="4" s="1"/>
  <c r="N51" i="4" l="1"/>
  <c r="Y50" i="4"/>
  <c r="Z50" i="4"/>
  <c r="U52" i="4"/>
  <c r="AA51" i="4"/>
  <c r="Z51" i="4"/>
  <c r="U53" i="4" l="1"/>
  <c r="AA52" i="4"/>
  <c r="AB50" i="4"/>
  <c r="N52" i="4"/>
  <c r="Z52" i="4" s="1"/>
  <c r="Y51" i="4"/>
  <c r="AB51" i="4" s="1"/>
  <c r="N53" i="4" l="1"/>
  <c r="Y52" i="4"/>
  <c r="AB52" i="4" s="1"/>
  <c r="U54" i="4"/>
  <c r="AA53" i="4"/>
  <c r="Z53" i="4"/>
  <c r="U55" i="4" l="1"/>
  <c r="AA54" i="4"/>
  <c r="N54" i="4"/>
  <c r="Z54" i="4" s="1"/>
  <c r="Y53" i="4"/>
  <c r="AB53" i="4" s="1"/>
  <c r="N55" i="4" l="1"/>
  <c r="Y54" i="4"/>
  <c r="AB54" i="4" s="1"/>
  <c r="U56" i="4"/>
  <c r="Z55" i="4"/>
  <c r="AA55" i="4"/>
  <c r="U57" i="4" l="1"/>
  <c r="AA56" i="4"/>
  <c r="N56" i="4"/>
  <c r="Z56" i="4" s="1"/>
  <c r="Y55" i="4"/>
  <c r="AB55" i="4" s="1"/>
  <c r="N57" i="4" l="1"/>
  <c r="Z57" i="4" s="1"/>
  <c r="Y56" i="4"/>
  <c r="AB56" i="4" s="1"/>
  <c r="U58" i="4"/>
  <c r="AA57" i="4"/>
  <c r="U59" i="4" l="1"/>
  <c r="AA58" i="4"/>
  <c r="N58" i="4"/>
  <c r="Z58" i="4" s="1"/>
  <c r="Y57" i="4"/>
  <c r="AB57" i="4" s="1"/>
  <c r="N59" i="4" l="1"/>
  <c r="Z59" i="4" s="1"/>
  <c r="Y58" i="4"/>
  <c r="AB58" i="4" s="1"/>
  <c r="U60" i="4"/>
  <c r="AA59" i="4"/>
  <c r="U61" i="4" l="1"/>
  <c r="AA60" i="4"/>
  <c r="N60" i="4"/>
  <c r="Z60" i="4" s="1"/>
  <c r="Y59" i="4"/>
  <c r="AB59" i="4" s="1"/>
  <c r="N61" i="4" l="1"/>
  <c r="Y60" i="4"/>
  <c r="AB60" i="4" s="1"/>
  <c r="U62" i="4"/>
  <c r="AA61" i="4"/>
  <c r="Z61" i="4"/>
  <c r="U63" i="4" l="1"/>
  <c r="AA62" i="4"/>
  <c r="N62" i="4"/>
  <c r="Y61" i="4"/>
  <c r="AB61" i="4" s="1"/>
  <c r="N63" i="4" l="1"/>
  <c r="Y62" i="4"/>
  <c r="Z62" i="4"/>
  <c r="U64" i="4"/>
  <c r="AA63" i="4"/>
  <c r="Z63" i="4"/>
  <c r="U65" i="4" l="1"/>
  <c r="AA64" i="4"/>
  <c r="AB62" i="4"/>
  <c r="N64" i="4"/>
  <c r="Y63" i="4"/>
  <c r="AB63" i="4" s="1"/>
  <c r="N65" i="4" l="1"/>
  <c r="Z65" i="4" s="1"/>
  <c r="Y64" i="4"/>
  <c r="Z64" i="4"/>
  <c r="U66" i="4"/>
  <c r="AA65" i="4"/>
  <c r="U67" i="4" l="1"/>
  <c r="AA66" i="4"/>
  <c r="AB64" i="4"/>
  <c r="N66" i="4"/>
  <c r="Y65" i="4"/>
  <c r="AB65" i="4" s="1"/>
  <c r="N67" i="4" l="1"/>
  <c r="Y66" i="4"/>
  <c r="Z66" i="4"/>
  <c r="U68" i="4"/>
  <c r="AA67" i="4"/>
  <c r="Z67" i="4"/>
  <c r="AB66" i="4" l="1"/>
  <c r="U69" i="4"/>
  <c r="AA68" i="4"/>
  <c r="N68" i="4"/>
  <c r="Y67" i="4"/>
  <c r="AB67" i="4" s="1"/>
  <c r="N69" i="4" l="1"/>
  <c r="Y68" i="4"/>
  <c r="U70" i="4"/>
  <c r="AA69" i="4"/>
  <c r="Z69" i="4"/>
  <c r="Z68" i="4"/>
  <c r="U71" i="4" l="1"/>
  <c r="AA70" i="4"/>
  <c r="AB68" i="4"/>
  <c r="N70" i="4"/>
  <c r="Y69" i="4"/>
  <c r="AB69" i="4" s="1"/>
  <c r="N71" i="4" l="1"/>
  <c r="Y70" i="4"/>
  <c r="Z70" i="4"/>
  <c r="U72" i="4"/>
  <c r="AA71" i="4"/>
  <c r="Z71" i="4"/>
  <c r="AB70" i="4" l="1"/>
  <c r="U73" i="4"/>
  <c r="AA72" i="4"/>
  <c r="N72" i="4"/>
  <c r="Z72" i="4" s="1"/>
  <c r="Y71" i="4"/>
  <c r="AB71" i="4" s="1"/>
  <c r="U74" i="4" l="1"/>
  <c r="AA73" i="4"/>
  <c r="N73" i="4"/>
  <c r="Z73" i="4" s="1"/>
  <c r="Y72" i="4"/>
  <c r="AB72" i="4" s="1"/>
  <c r="N74" i="4" l="1"/>
  <c r="Y73" i="4"/>
  <c r="AB73" i="4" s="1"/>
  <c r="U75" i="4"/>
  <c r="Z74" i="4"/>
  <c r="AA74" i="4"/>
  <c r="U76" i="4" l="1"/>
  <c r="AA75" i="4"/>
  <c r="N75" i="4"/>
  <c r="Y74" i="4"/>
  <c r="AB74" i="4" s="1"/>
  <c r="N76" i="4" l="1"/>
  <c r="Y75" i="4"/>
  <c r="Z75" i="4"/>
  <c r="U77" i="4"/>
  <c r="Z76" i="4"/>
  <c r="AA76" i="4"/>
  <c r="AB75" i="4" l="1"/>
  <c r="U78" i="4"/>
  <c r="AA77" i="4"/>
  <c r="N77" i="4"/>
  <c r="Y76" i="4"/>
  <c r="AB76" i="4" s="1"/>
  <c r="N78" i="4" l="1"/>
  <c r="Z78" i="4" s="1"/>
  <c r="Y77" i="4"/>
  <c r="Z77" i="4"/>
  <c r="U79" i="4"/>
  <c r="AA78" i="4"/>
  <c r="U80" i="4" l="1"/>
  <c r="AA79" i="4"/>
  <c r="AB77" i="4"/>
  <c r="N79" i="4"/>
  <c r="Z79" i="4" s="1"/>
  <c r="Y78" i="4"/>
  <c r="AB78" i="4" s="1"/>
  <c r="N80" i="4" l="1"/>
  <c r="Y79" i="4"/>
  <c r="AB79" i="4" s="1"/>
  <c r="U81" i="4"/>
  <c r="Z80" i="4"/>
  <c r="AA80" i="4"/>
  <c r="U82" i="4" l="1"/>
  <c r="AA81" i="4"/>
  <c r="N81" i="4"/>
  <c r="Z81" i="4" s="1"/>
  <c r="Y80" i="4"/>
  <c r="AB80" i="4" s="1"/>
  <c r="N82" i="4" l="1"/>
  <c r="Z82" i="4" s="1"/>
  <c r="Y81" i="4"/>
  <c r="AB81" i="4" s="1"/>
  <c r="U83" i="4"/>
  <c r="AA82" i="4"/>
  <c r="U84" i="4" l="1"/>
  <c r="AA83" i="4"/>
  <c r="N83" i="4"/>
  <c r="Y82" i="4"/>
  <c r="AB82" i="4" s="1"/>
  <c r="N84" i="4" l="1"/>
  <c r="Y83" i="4"/>
  <c r="Z83" i="4"/>
  <c r="U85" i="4"/>
  <c r="AA84" i="4"/>
  <c r="Z84" i="4"/>
  <c r="U86" i="4" l="1"/>
  <c r="AA85" i="4"/>
  <c r="AB83" i="4"/>
  <c r="N85" i="4"/>
  <c r="Z85" i="4" s="1"/>
  <c r="Y84" i="4"/>
  <c r="AB84" i="4" s="1"/>
  <c r="N86" i="4" l="1"/>
  <c r="Y85" i="4"/>
  <c r="AB85" i="4" s="1"/>
  <c r="U87" i="4"/>
  <c r="AA86" i="4"/>
  <c r="Z86" i="4"/>
  <c r="U88" i="4" l="1"/>
  <c r="AA87" i="4"/>
  <c r="N87" i="4"/>
  <c r="Y86" i="4"/>
  <c r="AB86" i="4" s="1"/>
  <c r="N88" i="4" l="1"/>
  <c r="Y87" i="4"/>
  <c r="Z87" i="4"/>
  <c r="U89" i="4"/>
  <c r="Z88" i="4"/>
  <c r="AA88" i="4"/>
  <c r="AB87" i="4" l="1"/>
  <c r="U90" i="4"/>
  <c r="AA89" i="4"/>
  <c r="N89" i="4"/>
  <c r="Z89" i="4" s="1"/>
  <c r="Y88" i="4"/>
  <c r="AB88" i="4" s="1"/>
  <c r="N90" i="4" l="1"/>
  <c r="Y89" i="4"/>
  <c r="AB89" i="4" s="1"/>
  <c r="U91" i="4"/>
  <c r="Z90" i="4"/>
  <c r="AA90" i="4"/>
  <c r="U92" i="4" l="1"/>
  <c r="AA91" i="4"/>
  <c r="N91" i="4"/>
  <c r="Z91" i="4" s="1"/>
  <c r="Y90" i="4"/>
  <c r="AB90" i="4" s="1"/>
  <c r="N92" i="4" l="1"/>
  <c r="Z92" i="4" s="1"/>
  <c r="Y91" i="4"/>
  <c r="AB91" i="4" s="1"/>
  <c r="U93" i="4"/>
  <c r="AA92" i="4"/>
  <c r="U94" i="4" l="1"/>
  <c r="AA93" i="4"/>
  <c r="N93" i="4"/>
  <c r="Z93" i="4" s="1"/>
  <c r="Y92" i="4"/>
  <c r="AB92" i="4" s="1"/>
  <c r="N94" i="4" l="1"/>
  <c r="Y93" i="4"/>
  <c r="AB93" i="4" s="1"/>
  <c r="U95" i="4"/>
  <c r="Z94" i="4"/>
  <c r="AA94" i="4"/>
  <c r="U96" i="4" l="1"/>
  <c r="AA95" i="4"/>
  <c r="N95" i="4"/>
  <c r="Y94" i="4"/>
  <c r="AB94" i="4" s="1"/>
  <c r="N96" i="4" l="1"/>
  <c r="Y95" i="4"/>
  <c r="Z95" i="4"/>
  <c r="U97" i="4"/>
  <c r="Z96" i="4"/>
  <c r="AA96" i="4"/>
  <c r="AB95" i="4" l="1"/>
  <c r="U98" i="4"/>
  <c r="AA97" i="4"/>
  <c r="N97" i="4"/>
  <c r="Y96" i="4"/>
  <c r="AB96" i="4" s="1"/>
  <c r="N98" i="4" l="1"/>
  <c r="Y97" i="4"/>
  <c r="Z97" i="4"/>
  <c r="U99" i="4"/>
  <c r="Z98" i="4"/>
  <c r="AA98" i="4"/>
  <c r="AB97" i="4" l="1"/>
  <c r="U100" i="4"/>
  <c r="AA99" i="4"/>
  <c r="N99" i="4"/>
  <c r="Y98" i="4"/>
  <c r="AB98" i="4" s="1"/>
  <c r="N100" i="4" l="1"/>
  <c r="Y99" i="4"/>
  <c r="Z99" i="4"/>
  <c r="U101" i="4"/>
  <c r="AA100" i="4"/>
  <c r="Z100" i="4"/>
  <c r="U102" i="4" l="1"/>
  <c r="AA101" i="4"/>
  <c r="AB99" i="4"/>
  <c r="N101" i="4"/>
  <c r="Y100" i="4"/>
  <c r="AB100" i="4" s="1"/>
  <c r="N102" i="4" l="1"/>
  <c r="Y101" i="4"/>
  <c r="Z101" i="4"/>
  <c r="U103" i="4"/>
  <c r="Z102" i="4"/>
  <c r="AA102" i="4"/>
  <c r="AB101" i="4" l="1"/>
  <c r="U104" i="4"/>
  <c r="AA103" i="4"/>
  <c r="N103" i="4"/>
  <c r="Y102" i="4"/>
  <c r="AB102" i="4" s="1"/>
  <c r="N104" i="4" l="1"/>
  <c r="Y103" i="4"/>
  <c r="U105" i="4"/>
  <c r="Z104" i="4"/>
  <c r="AA104" i="4"/>
  <c r="Z103" i="4"/>
  <c r="U106" i="4" l="1"/>
  <c r="AA105" i="4"/>
  <c r="AB103" i="4"/>
  <c r="N105" i="4"/>
  <c r="Z105" i="4" s="1"/>
  <c r="Y104" i="4"/>
  <c r="AB104" i="4" s="1"/>
  <c r="N106" i="4" l="1"/>
  <c r="Z106" i="4" s="1"/>
  <c r="Y105" i="4"/>
  <c r="AB105" i="4" s="1"/>
  <c r="U107" i="4"/>
  <c r="AA106" i="4"/>
  <c r="U108" i="4" l="1"/>
  <c r="AA107" i="4"/>
  <c r="N107" i="4"/>
  <c r="Y106" i="4"/>
  <c r="AB106" i="4" s="1"/>
  <c r="N108" i="4" l="1"/>
  <c r="Y107" i="4"/>
  <c r="Z107" i="4"/>
  <c r="U109" i="4"/>
  <c r="Z108" i="4"/>
  <c r="AA108" i="4"/>
  <c r="U110" i="4" l="1"/>
  <c r="AA109" i="4"/>
  <c r="AB107" i="4"/>
  <c r="N109" i="4"/>
  <c r="Z109" i="4" s="1"/>
  <c r="Y108" i="4"/>
  <c r="AB108" i="4" s="1"/>
  <c r="N110" i="4" l="1"/>
  <c r="Y109" i="4"/>
  <c r="AB109" i="4" s="1"/>
  <c r="U111" i="4"/>
  <c r="AA110" i="4"/>
  <c r="Z110" i="4"/>
  <c r="U112" i="4" l="1"/>
  <c r="AA111" i="4"/>
  <c r="N111" i="4"/>
  <c r="Y110" i="4"/>
  <c r="AB110" i="4" s="1"/>
  <c r="N112" i="4" l="1"/>
  <c r="Z112" i="4" s="1"/>
  <c r="Y111" i="4"/>
  <c r="Z111" i="4"/>
  <c r="U113" i="4"/>
  <c r="AA112" i="4"/>
  <c r="U114" i="4" l="1"/>
  <c r="AA113" i="4"/>
  <c r="AB111" i="4"/>
  <c r="N113" i="4"/>
  <c r="Y112" i="4"/>
  <c r="AB112" i="4" s="1"/>
  <c r="N114" i="4" l="1"/>
  <c r="Z114" i="4" s="1"/>
  <c r="Y113" i="4"/>
  <c r="Z113" i="4"/>
  <c r="U115" i="4"/>
  <c r="AA114" i="4"/>
  <c r="U116" i="4" l="1"/>
  <c r="AA115" i="4"/>
  <c r="AB113" i="4"/>
  <c r="N115" i="4"/>
  <c r="Z115" i="4" s="1"/>
  <c r="Y114" i="4"/>
  <c r="AB114" i="4" s="1"/>
  <c r="N116" i="4" l="1"/>
  <c r="Z116" i="4" s="1"/>
  <c r="Y115" i="4"/>
  <c r="AB115" i="4" s="1"/>
  <c r="U117" i="4"/>
  <c r="AA116" i="4"/>
  <c r="U118" i="4" l="1"/>
  <c r="AA117" i="4"/>
  <c r="N117" i="4"/>
  <c r="Y116" i="4"/>
  <c r="AB116" i="4" s="1"/>
  <c r="N118" i="4" l="1"/>
  <c r="Y117" i="4"/>
  <c r="Z117" i="4"/>
  <c r="U119" i="4"/>
  <c r="AA118" i="4"/>
  <c r="Z118" i="4"/>
  <c r="U120" i="4" l="1"/>
  <c r="AA119" i="4"/>
  <c r="AB117" i="4"/>
  <c r="N119" i="4"/>
  <c r="Z119" i="4" s="1"/>
  <c r="Y118" i="4"/>
  <c r="AB118" i="4" s="1"/>
  <c r="N120" i="4" l="1"/>
  <c r="Y119" i="4"/>
  <c r="AB119" i="4" s="1"/>
  <c r="U121" i="4"/>
  <c r="Z120" i="4"/>
  <c r="AA120" i="4"/>
  <c r="U122" i="4" l="1"/>
  <c r="AA121" i="4"/>
  <c r="N121" i="4"/>
  <c r="Z121" i="4" s="1"/>
  <c r="Y120" i="4"/>
  <c r="AB120" i="4" s="1"/>
  <c r="N122" i="4" l="1"/>
  <c r="Y121" i="4"/>
  <c r="AB121" i="4" s="1"/>
  <c r="U123" i="4"/>
  <c r="Z122" i="4"/>
  <c r="AA122" i="4"/>
  <c r="U124" i="4" l="1"/>
  <c r="AA123" i="4"/>
  <c r="N123" i="4"/>
  <c r="Y122" i="4"/>
  <c r="AB122" i="4" s="1"/>
  <c r="N124" i="4" l="1"/>
  <c r="Z124" i="4" s="1"/>
  <c r="Y123" i="4"/>
  <c r="Z123" i="4"/>
  <c r="U125" i="4"/>
  <c r="AA124" i="4"/>
  <c r="U126" i="4" l="1"/>
  <c r="AA125" i="4"/>
  <c r="AB123" i="4"/>
  <c r="N125" i="4"/>
  <c r="Z125" i="4" s="1"/>
  <c r="Y124" i="4"/>
  <c r="AB124" i="4" s="1"/>
  <c r="N126" i="4" l="1"/>
  <c r="Y125" i="4"/>
  <c r="AB125" i="4" s="1"/>
  <c r="U127" i="4"/>
  <c r="AA126" i="4"/>
  <c r="Z126" i="4"/>
  <c r="U128" i="4" l="1"/>
  <c r="AA127" i="4"/>
  <c r="N127" i="4"/>
  <c r="Y126" i="4"/>
  <c r="AB126" i="4" s="1"/>
  <c r="N128" i="4" l="1"/>
  <c r="Y127" i="4"/>
  <c r="Z127" i="4"/>
  <c r="U129" i="4"/>
  <c r="Z128" i="4"/>
  <c r="AA128" i="4"/>
  <c r="U130" i="4" l="1"/>
  <c r="AA129" i="4"/>
  <c r="AB127" i="4"/>
  <c r="N129" i="4"/>
  <c r="Z129" i="4" s="1"/>
  <c r="Y128" i="4"/>
  <c r="AB128" i="4" s="1"/>
  <c r="N130" i="4" l="1"/>
  <c r="Y129" i="4"/>
  <c r="AB129" i="4" s="1"/>
  <c r="U131" i="4"/>
  <c r="Z130" i="4"/>
  <c r="AA130" i="4"/>
  <c r="U132" i="4" l="1"/>
  <c r="AA131" i="4"/>
  <c r="N131" i="4"/>
  <c r="Y130" i="4"/>
  <c r="AB130" i="4" s="1"/>
  <c r="N132" i="4" l="1"/>
  <c r="Y131" i="4"/>
  <c r="Z131" i="4"/>
  <c r="U133" i="4"/>
  <c r="AA132" i="4"/>
  <c r="Z132" i="4"/>
  <c r="AB131" i="4" l="1"/>
  <c r="U134" i="4"/>
  <c r="AA133" i="4"/>
  <c r="N133" i="4"/>
  <c r="Y132" i="4"/>
  <c r="AB132" i="4" s="1"/>
  <c r="N134" i="4" l="1"/>
  <c r="Y133" i="4"/>
  <c r="U135" i="4"/>
  <c r="AA134" i="4"/>
  <c r="Z134" i="4"/>
  <c r="Z133" i="4"/>
  <c r="U136" i="4" l="1"/>
  <c r="AA135" i="4"/>
  <c r="AB133" i="4"/>
  <c r="N135" i="4"/>
  <c r="Z135" i="4" s="1"/>
  <c r="Y134" i="4"/>
  <c r="AB134" i="4" s="1"/>
  <c r="N136" i="4" l="1"/>
  <c r="Y135" i="4"/>
  <c r="AB135" i="4" s="1"/>
  <c r="U137" i="4"/>
  <c r="Z136" i="4"/>
  <c r="AA136" i="4"/>
  <c r="U138" i="4" l="1"/>
  <c r="AA137" i="4"/>
  <c r="N137" i="4"/>
  <c r="Z137" i="4" s="1"/>
  <c r="Y136" i="4"/>
  <c r="AB136" i="4" s="1"/>
  <c r="N138" i="4" l="1"/>
  <c r="Y137" i="4"/>
  <c r="AB137" i="4" s="1"/>
  <c r="U139" i="4"/>
  <c r="Z138" i="4"/>
  <c r="AA138" i="4"/>
  <c r="U140" i="4" l="1"/>
  <c r="AA139" i="4"/>
  <c r="N139" i="4"/>
  <c r="Y138" i="4"/>
  <c r="AB138" i="4" s="1"/>
  <c r="N140" i="4" l="1"/>
  <c r="Y139" i="4"/>
  <c r="Z139" i="4"/>
  <c r="U141" i="4"/>
  <c r="Z140" i="4"/>
  <c r="AA140" i="4"/>
  <c r="U142" i="4" l="1"/>
  <c r="AA141" i="4"/>
  <c r="AB139" i="4"/>
  <c r="N141" i="4"/>
  <c r="Y140" i="4"/>
  <c r="AB140" i="4" s="1"/>
  <c r="N142" i="4" l="1"/>
  <c r="Y141" i="4"/>
  <c r="Z141" i="4"/>
  <c r="U143" i="4"/>
  <c r="AA142" i="4"/>
  <c r="Z142" i="4"/>
  <c r="U144" i="4" l="1"/>
  <c r="AA143" i="4"/>
  <c r="AB141" i="4"/>
  <c r="N143" i="4"/>
  <c r="Z143" i="4" s="1"/>
  <c r="Y142" i="4"/>
  <c r="AB142" i="4" s="1"/>
  <c r="N144" i="4" l="1"/>
  <c r="Z144" i="4" s="1"/>
  <c r="Y143" i="4"/>
  <c r="AB143" i="4" s="1"/>
  <c r="U145" i="4"/>
  <c r="AA144" i="4"/>
  <c r="U146" i="4" l="1"/>
  <c r="AA145" i="4"/>
  <c r="N145" i="4"/>
  <c r="Y144" i="4"/>
  <c r="AB144" i="4" s="1"/>
  <c r="N146" i="4" l="1"/>
  <c r="Y145" i="4"/>
  <c r="Z145" i="4"/>
  <c r="U147" i="4"/>
  <c r="AA146" i="4"/>
  <c r="Z146" i="4"/>
  <c r="AB145" i="4" l="1"/>
  <c r="U148" i="4"/>
  <c r="AA147" i="4"/>
  <c r="N147" i="4"/>
  <c r="Y146" i="4"/>
  <c r="AB146" i="4" s="1"/>
  <c r="N148" i="4" l="1"/>
  <c r="Z148" i="4" s="1"/>
  <c r="Y147" i="4"/>
  <c r="U149" i="4"/>
  <c r="AA148" i="4"/>
  <c r="Z147" i="4"/>
  <c r="U150" i="4" l="1"/>
  <c r="AA149" i="4"/>
  <c r="AB147" i="4"/>
  <c r="N149" i="4"/>
  <c r="Z149" i="4" s="1"/>
  <c r="Y148" i="4"/>
  <c r="AB148" i="4" s="1"/>
  <c r="N150" i="4" l="1"/>
  <c r="Y149" i="4"/>
  <c r="AB149" i="4" s="1"/>
  <c r="U151" i="4"/>
  <c r="Z150" i="4"/>
  <c r="AA150" i="4"/>
  <c r="U152" i="4" l="1"/>
  <c r="AA151" i="4"/>
  <c r="N151" i="4"/>
  <c r="Z151" i="4" s="1"/>
  <c r="Y150" i="4"/>
  <c r="AB150" i="4" s="1"/>
  <c r="N152" i="4" l="1"/>
  <c r="Z152" i="4" s="1"/>
  <c r="Y151" i="4"/>
  <c r="AB151" i="4" s="1"/>
  <c r="U153" i="4"/>
  <c r="AA152" i="4"/>
  <c r="U154" i="4" l="1"/>
  <c r="AA153" i="4"/>
  <c r="N153" i="4"/>
  <c r="Y152" i="4"/>
  <c r="AB152" i="4" s="1"/>
  <c r="N154" i="4" l="1"/>
  <c r="Z154" i="4" s="1"/>
  <c r="Y153" i="4"/>
  <c r="Z153" i="4"/>
  <c r="U155" i="4"/>
  <c r="AA154" i="4"/>
  <c r="U156" i="4" l="1"/>
  <c r="AA155" i="4"/>
  <c r="AB153" i="4"/>
  <c r="N155" i="4"/>
  <c r="Y154" i="4"/>
  <c r="AB154" i="4" s="1"/>
  <c r="N156" i="4" l="1"/>
  <c r="Y155" i="4"/>
  <c r="Z155" i="4"/>
  <c r="U157" i="4"/>
  <c r="Z156" i="4"/>
  <c r="AA156" i="4"/>
  <c r="AB155" i="4" l="1"/>
  <c r="U158" i="4"/>
  <c r="AA157" i="4"/>
  <c r="N157" i="4"/>
  <c r="Z157" i="4" s="1"/>
  <c r="Y156" i="4"/>
  <c r="AB156" i="4" s="1"/>
  <c r="U159" i="4" l="1"/>
  <c r="AA158" i="4"/>
  <c r="N158" i="4"/>
  <c r="Y157" i="4"/>
  <c r="AB157" i="4" s="1"/>
  <c r="N159" i="4" l="1"/>
  <c r="Y158" i="4"/>
  <c r="Z158" i="4"/>
  <c r="U160" i="4"/>
  <c r="Z159" i="4"/>
  <c r="AA159" i="4"/>
  <c r="AB158" i="4" l="1"/>
  <c r="U161" i="4"/>
  <c r="AA160" i="4"/>
  <c r="N160" i="4"/>
  <c r="Y159" i="4"/>
  <c r="AB159" i="4" s="1"/>
  <c r="U162" i="4" l="1"/>
  <c r="AA161" i="4"/>
  <c r="N161" i="4"/>
  <c r="Z161" i="4" s="1"/>
  <c r="Y160" i="4"/>
  <c r="Z160" i="4"/>
  <c r="N162" i="4" l="1"/>
  <c r="Y161" i="4"/>
  <c r="AB161" i="4" s="1"/>
  <c r="AB160" i="4"/>
  <c r="U163" i="4"/>
  <c r="Z162" i="4"/>
  <c r="AA162" i="4"/>
  <c r="U164" i="4" l="1"/>
  <c r="AA163" i="4"/>
  <c r="N163" i="4"/>
  <c r="Y162" i="4"/>
  <c r="AB162" i="4" s="1"/>
  <c r="N164" i="4" l="1"/>
  <c r="Y163" i="4"/>
  <c r="Z163" i="4"/>
  <c r="U165" i="4"/>
  <c r="AA164" i="4"/>
  <c r="Z164" i="4"/>
  <c r="AB163" i="4" l="1"/>
  <c r="U166" i="4"/>
  <c r="AA165" i="4"/>
  <c r="N165" i="4"/>
  <c r="Z165" i="4" s="1"/>
  <c r="Y164" i="4"/>
  <c r="AB164" i="4" s="1"/>
  <c r="N166" i="4" l="1"/>
  <c r="Y165" i="4"/>
  <c r="AB165" i="4" s="1"/>
  <c r="U167" i="4"/>
  <c r="Z166" i="4"/>
  <c r="AA166" i="4"/>
  <c r="U168" i="4" l="1"/>
  <c r="AA167" i="4"/>
  <c r="N167" i="4"/>
  <c r="Y166" i="4"/>
  <c r="AB166" i="4" s="1"/>
  <c r="N168" i="4" l="1"/>
  <c r="Y167" i="4"/>
  <c r="Z167" i="4"/>
  <c r="U169" i="4"/>
  <c r="Z168" i="4"/>
  <c r="AA168" i="4"/>
  <c r="U170" i="4" l="1"/>
  <c r="AA169" i="4"/>
  <c r="AB167" i="4"/>
  <c r="N169" i="4"/>
  <c r="Y168" i="4"/>
  <c r="AB168" i="4" s="1"/>
  <c r="N170" i="4" l="1"/>
  <c r="Y169" i="4"/>
  <c r="Z169" i="4"/>
  <c r="U171" i="4"/>
  <c r="AA170" i="4"/>
  <c r="Z170" i="4"/>
  <c r="AB169" i="4" l="1"/>
  <c r="U172" i="4"/>
  <c r="AA171" i="4"/>
  <c r="N171" i="4"/>
  <c r="Y170" i="4"/>
  <c r="AB170" i="4" s="1"/>
  <c r="N172" i="4" l="1"/>
  <c r="Y171" i="4"/>
  <c r="U173" i="4"/>
  <c r="Z172" i="4"/>
  <c r="AA172" i="4"/>
  <c r="Z171" i="4"/>
  <c r="AB171" i="4" l="1"/>
  <c r="U174" i="4"/>
  <c r="AA173" i="4"/>
  <c r="N173" i="4"/>
  <c r="Y172" i="4"/>
  <c r="AB172" i="4" s="1"/>
  <c r="U175" i="4" l="1"/>
  <c r="AA174" i="4"/>
  <c r="N174" i="4"/>
  <c r="Y173" i="4"/>
  <c r="Z173" i="4"/>
  <c r="N175" i="4" l="1"/>
  <c r="Y174" i="4"/>
  <c r="AB173" i="4"/>
  <c r="Z174" i="4"/>
  <c r="U176" i="4"/>
  <c r="AA175" i="4"/>
  <c r="Z175" i="4"/>
  <c r="AB174" i="4" l="1"/>
  <c r="U177" i="4"/>
  <c r="AA176" i="4"/>
  <c r="N176" i="4"/>
  <c r="Y175" i="4"/>
  <c r="AB175" i="4" s="1"/>
  <c r="U178" i="4" l="1"/>
  <c r="AA177" i="4"/>
  <c r="N177" i="4"/>
  <c r="Z177" i="4" s="1"/>
  <c r="Y176" i="4"/>
  <c r="Z176" i="4"/>
  <c r="AB176" i="4" l="1"/>
  <c r="N178" i="4"/>
  <c r="Z178" i="4" s="1"/>
  <c r="Y177" i="4"/>
  <c r="AB177" i="4" s="1"/>
  <c r="U179" i="4"/>
  <c r="AA178" i="4"/>
  <c r="U180" i="4" l="1"/>
  <c r="AA179" i="4"/>
  <c r="N179" i="4"/>
  <c r="Z179" i="4" s="1"/>
  <c r="Y178" i="4"/>
  <c r="AB178" i="4" s="1"/>
  <c r="N180" i="4" l="1"/>
  <c r="Y179" i="4"/>
  <c r="AB179" i="4" s="1"/>
  <c r="U181" i="4"/>
  <c r="AA180" i="4"/>
  <c r="Z180" i="4"/>
  <c r="U182" i="4" l="1"/>
  <c r="AA181" i="4"/>
  <c r="N181" i="4"/>
  <c r="Z181" i="4" s="1"/>
  <c r="Y180" i="4"/>
  <c r="AB180" i="4" s="1"/>
  <c r="N182" i="4" l="1"/>
  <c r="Z182" i="4" s="1"/>
  <c r="Y181" i="4"/>
  <c r="AB181" i="4" s="1"/>
  <c r="U183" i="4"/>
  <c r="AA182" i="4"/>
  <c r="U184" i="4" l="1"/>
  <c r="AA183" i="4"/>
  <c r="N183" i="4"/>
  <c r="Y182" i="4"/>
  <c r="AB182" i="4" s="1"/>
  <c r="N184" i="4" l="1"/>
  <c r="Y183" i="4"/>
  <c r="Z183" i="4"/>
  <c r="U185" i="4"/>
  <c r="Z184" i="4"/>
  <c r="AA184" i="4"/>
  <c r="AB183" i="4" l="1"/>
  <c r="U186" i="4"/>
  <c r="AA185" i="4"/>
  <c r="N185" i="4"/>
  <c r="Y184" i="4"/>
  <c r="AB184" i="4" s="1"/>
  <c r="U187" i="4" l="1"/>
  <c r="AA186" i="4"/>
  <c r="N186" i="4"/>
  <c r="Z186" i="4" s="1"/>
  <c r="Y185" i="4"/>
  <c r="Z185" i="4"/>
  <c r="AB185" i="4" l="1"/>
  <c r="N187" i="4"/>
  <c r="Z187" i="4" s="1"/>
  <c r="Y186" i="4"/>
  <c r="AB186" i="4" s="1"/>
  <c r="U188" i="4"/>
  <c r="AA187" i="4"/>
  <c r="U189" i="4" l="1"/>
  <c r="AA188" i="4"/>
  <c r="N188" i="4"/>
  <c r="Y187" i="4"/>
  <c r="AB187" i="4" s="1"/>
  <c r="N189" i="4" l="1"/>
  <c r="Y188" i="4"/>
  <c r="Z188" i="4"/>
  <c r="U190" i="4"/>
  <c r="AA189" i="4"/>
  <c r="Z189" i="4"/>
  <c r="U191" i="4" l="1"/>
  <c r="AA190" i="4"/>
  <c r="AB188" i="4"/>
  <c r="N190" i="4"/>
  <c r="Y189" i="4"/>
  <c r="AB189" i="4" s="1"/>
  <c r="N191" i="4" l="1"/>
  <c r="Y190" i="4"/>
  <c r="Z190" i="4"/>
  <c r="U192" i="4"/>
  <c r="AA191" i="4"/>
  <c r="Z191" i="4"/>
  <c r="AB190" i="4" l="1"/>
  <c r="U193" i="4"/>
  <c r="AA192" i="4"/>
  <c r="N192" i="4"/>
  <c r="Y191" i="4"/>
  <c r="AB191" i="4" s="1"/>
  <c r="U194" i="4" l="1"/>
  <c r="AA193" i="4"/>
  <c r="N193" i="4"/>
  <c r="Z193" i="4" s="1"/>
  <c r="Y192" i="4"/>
  <c r="Z192" i="4"/>
  <c r="AB192" i="4" l="1"/>
  <c r="N194" i="4"/>
  <c r="Z194" i="4" s="1"/>
  <c r="Y193" i="4"/>
  <c r="AB193" i="4" s="1"/>
  <c r="U195" i="4"/>
  <c r="AA194" i="4"/>
  <c r="N195" i="4" l="1"/>
  <c r="Z195" i="4" s="1"/>
  <c r="Y194" i="4"/>
  <c r="AB194" i="4" s="1"/>
  <c r="U196" i="4"/>
  <c r="AA195" i="4"/>
  <c r="U197" i="4" l="1"/>
  <c r="AA196" i="4"/>
  <c r="N196" i="4"/>
  <c r="Z196" i="4" s="1"/>
  <c r="Y195" i="4"/>
  <c r="AB195" i="4" s="1"/>
  <c r="N197" i="4" l="1"/>
  <c r="Y196" i="4"/>
  <c r="AB196" i="4" s="1"/>
  <c r="U198" i="4"/>
  <c r="AA197" i="4"/>
  <c r="Z197" i="4"/>
  <c r="U199" i="4" l="1"/>
  <c r="AA198" i="4"/>
  <c r="N198" i="4"/>
  <c r="Y197" i="4"/>
  <c r="AB197" i="4" s="1"/>
  <c r="N199" i="4" l="1"/>
  <c r="Y198" i="4"/>
  <c r="Z198" i="4"/>
  <c r="U200" i="4"/>
  <c r="Z199" i="4"/>
  <c r="AA199" i="4"/>
  <c r="U201" i="4" l="1"/>
  <c r="AA200" i="4"/>
  <c r="AB198" i="4"/>
  <c r="N200" i="4"/>
  <c r="Z200" i="4" s="1"/>
  <c r="Y199" i="4"/>
  <c r="AB199" i="4" s="1"/>
  <c r="N201" i="4" l="1"/>
  <c r="Y200" i="4"/>
  <c r="AB200" i="4" s="1"/>
  <c r="U202" i="4"/>
  <c r="Z201" i="4"/>
  <c r="AA201" i="4"/>
  <c r="U203" i="4" l="1"/>
  <c r="AA202" i="4"/>
  <c r="N202" i="4"/>
  <c r="Y201" i="4"/>
  <c r="AB201" i="4" s="1"/>
  <c r="N203" i="4" l="1"/>
  <c r="Y202" i="4"/>
  <c r="Z202" i="4"/>
  <c r="U204" i="4"/>
  <c r="Z203" i="4"/>
  <c r="AA203" i="4"/>
  <c r="AB202" i="4" l="1"/>
  <c r="U205" i="4"/>
  <c r="AA204" i="4"/>
  <c r="N204" i="4"/>
  <c r="Y203" i="4"/>
  <c r="AB203" i="4" s="1"/>
  <c r="N205" i="4" l="1"/>
  <c r="Y204" i="4"/>
  <c r="Z204" i="4"/>
  <c r="U206" i="4"/>
  <c r="Z205" i="4"/>
  <c r="AA205" i="4"/>
  <c r="AB204" i="4" l="1"/>
  <c r="U207" i="4"/>
  <c r="AA206" i="4"/>
  <c r="N206" i="4"/>
  <c r="Z206" i="4" s="1"/>
  <c r="Y205" i="4"/>
  <c r="AB205" i="4" s="1"/>
  <c r="U208" i="4" l="1"/>
  <c r="AA207" i="4"/>
  <c r="N207" i="4"/>
  <c r="Y206" i="4"/>
  <c r="AB206" i="4" s="1"/>
  <c r="N208" i="4" l="1"/>
  <c r="Y207" i="4"/>
  <c r="Z207" i="4"/>
  <c r="U209" i="4"/>
  <c r="Z208" i="4"/>
  <c r="AA208" i="4"/>
  <c r="U210" i="4" l="1"/>
  <c r="AA209" i="4"/>
  <c r="AB207" i="4"/>
  <c r="N209" i="4"/>
  <c r="Y208" i="4"/>
  <c r="AB208" i="4" s="1"/>
  <c r="N210" i="4" l="1"/>
  <c r="Y209" i="4"/>
  <c r="Z209" i="4"/>
  <c r="U211" i="4"/>
  <c r="AA210" i="4"/>
  <c r="Z210" i="4"/>
  <c r="U212" i="4" l="1"/>
  <c r="AA211" i="4"/>
  <c r="AB209" i="4"/>
  <c r="N211" i="4"/>
  <c r="Z211" i="4" s="1"/>
  <c r="Y210" i="4"/>
  <c r="AB210" i="4" s="1"/>
  <c r="N212" i="4" l="1"/>
  <c r="Y211" i="4"/>
  <c r="AB211" i="4" s="1"/>
  <c r="U213" i="4"/>
  <c r="AA212" i="4"/>
  <c r="Z212" i="4"/>
  <c r="U214" i="4" l="1"/>
  <c r="AA213" i="4"/>
  <c r="N213" i="4"/>
  <c r="Z213" i="4" s="1"/>
  <c r="Y212" i="4"/>
  <c r="AB212" i="4" s="1"/>
  <c r="N214" i="4" l="1"/>
  <c r="Y213" i="4"/>
  <c r="AB213" i="4" s="1"/>
  <c r="U215" i="4"/>
  <c r="Z214" i="4"/>
  <c r="AA214" i="4"/>
  <c r="U216" i="4" l="1"/>
  <c r="AA215" i="4"/>
  <c r="N215" i="4"/>
  <c r="Y214" i="4"/>
  <c r="AB214" i="4" s="1"/>
  <c r="N216" i="4" l="1"/>
  <c r="Y215" i="4"/>
  <c r="Z215" i="4"/>
  <c r="U217" i="4"/>
  <c r="Z216" i="4"/>
  <c r="AA216" i="4"/>
  <c r="AB215" i="4" l="1"/>
  <c r="U218" i="4"/>
  <c r="AA217" i="4"/>
  <c r="N217" i="4"/>
  <c r="Y216" i="4"/>
  <c r="AB216" i="4" s="1"/>
  <c r="U219" i="4" l="1"/>
  <c r="AA218" i="4"/>
  <c r="N218" i="4"/>
  <c r="Z218" i="4" s="1"/>
  <c r="Y217" i="4"/>
  <c r="Z217" i="4"/>
  <c r="AB217" i="4" l="1"/>
  <c r="N219" i="4"/>
  <c r="Y218" i="4"/>
  <c r="AB218" i="4" s="1"/>
  <c r="U220" i="4"/>
  <c r="Z219" i="4"/>
  <c r="AA219" i="4"/>
  <c r="U221" i="4" l="1"/>
  <c r="AA220" i="4"/>
  <c r="N220" i="4"/>
  <c r="Z220" i="4" s="1"/>
  <c r="Y219" i="4"/>
  <c r="AB219" i="4" s="1"/>
  <c r="N221" i="4" l="1"/>
  <c r="Y220" i="4"/>
  <c r="AB220" i="4" s="1"/>
  <c r="U222" i="4"/>
  <c r="AA221" i="4"/>
  <c r="Z221" i="4"/>
  <c r="U223" i="4" l="1"/>
  <c r="AA222" i="4"/>
  <c r="N222" i="4"/>
  <c r="Y221" i="4"/>
  <c r="AB221" i="4" s="1"/>
  <c r="N223" i="4" l="1"/>
  <c r="Y222" i="4"/>
  <c r="Z222" i="4"/>
  <c r="U224" i="4"/>
  <c r="AA223" i="4"/>
  <c r="Z223" i="4"/>
  <c r="AB222" i="4" l="1"/>
  <c r="U225" i="4"/>
  <c r="AA224" i="4"/>
  <c r="N224" i="4"/>
  <c r="Z224" i="4" s="1"/>
  <c r="Y223" i="4"/>
  <c r="AB223" i="4" s="1"/>
  <c r="N225" i="4" l="1"/>
  <c r="Y224" i="4"/>
  <c r="AB224" i="4" s="1"/>
  <c r="U226" i="4"/>
  <c r="AA225" i="4"/>
  <c r="Z225" i="4"/>
  <c r="U227" i="4" l="1"/>
  <c r="AA226" i="4"/>
  <c r="N226" i="4"/>
  <c r="Z226" i="4" s="1"/>
  <c r="Y225" i="4"/>
  <c r="AB225" i="4" s="1"/>
  <c r="N227" i="4" l="1"/>
  <c r="Z227" i="4" s="1"/>
  <c r="Y226" i="4"/>
  <c r="AB226" i="4" s="1"/>
  <c r="U228" i="4"/>
  <c r="AA227" i="4"/>
  <c r="U229" i="4" l="1"/>
  <c r="AA228" i="4"/>
  <c r="N228" i="4"/>
  <c r="Z228" i="4" s="1"/>
  <c r="Y227" i="4"/>
  <c r="AB227" i="4" s="1"/>
  <c r="N229" i="4" l="1"/>
  <c r="Y228" i="4"/>
  <c r="AB228" i="4" s="1"/>
  <c r="U230" i="4"/>
  <c r="AA229" i="4"/>
  <c r="Z229" i="4"/>
  <c r="U231" i="4" l="1"/>
  <c r="AA230" i="4"/>
  <c r="N230" i="4"/>
  <c r="Z230" i="4" s="1"/>
  <c r="Y229" i="4"/>
  <c r="AB229" i="4" s="1"/>
  <c r="N231" i="4" l="1"/>
  <c r="Y230" i="4"/>
  <c r="AB230" i="4" s="1"/>
  <c r="U232" i="4"/>
  <c r="AA231" i="4"/>
  <c r="Z231" i="4"/>
  <c r="U233" i="4" l="1"/>
  <c r="AA232" i="4"/>
  <c r="N232" i="4"/>
  <c r="Y231" i="4"/>
  <c r="AB231" i="4" s="1"/>
  <c r="N233" i="4" l="1"/>
  <c r="Y232" i="4"/>
  <c r="Z232" i="4"/>
  <c r="U234" i="4"/>
  <c r="AA233" i="4"/>
  <c r="Z233" i="4"/>
  <c r="AB232" i="4" l="1"/>
  <c r="U235" i="4"/>
  <c r="AA234" i="4"/>
  <c r="N234" i="4"/>
  <c r="Y233" i="4"/>
  <c r="AB233" i="4" s="1"/>
  <c r="N235" i="4" l="1"/>
  <c r="Z235" i="4" s="1"/>
  <c r="Y234" i="4"/>
  <c r="Z234" i="4"/>
  <c r="U236" i="4"/>
  <c r="AA235" i="4"/>
  <c r="AB234" i="4" l="1"/>
  <c r="U237" i="4"/>
  <c r="AA236" i="4"/>
  <c r="N236" i="4"/>
  <c r="Y235" i="4"/>
  <c r="AB235" i="4" s="1"/>
  <c r="U238" i="4" l="1"/>
  <c r="AA237" i="4"/>
  <c r="N237" i="4"/>
  <c r="Y236" i="4"/>
  <c r="Z236" i="4"/>
  <c r="AB236" i="4" l="1"/>
  <c r="N238" i="4"/>
  <c r="Z238" i="4" s="1"/>
  <c r="Y237" i="4"/>
  <c r="Z237" i="4"/>
  <c r="U239" i="4"/>
  <c r="AA238" i="4"/>
  <c r="U240" i="4" l="1"/>
  <c r="AA239" i="4"/>
  <c r="AB237" i="4"/>
  <c r="N239" i="4"/>
  <c r="Y238" i="4"/>
  <c r="AB238" i="4" s="1"/>
  <c r="N240" i="4" l="1"/>
  <c r="Z240" i="4" s="1"/>
  <c r="Y239" i="4"/>
  <c r="Z239" i="4"/>
  <c r="U241" i="4"/>
  <c r="AA240" i="4"/>
  <c r="U242" i="4" l="1"/>
  <c r="AA241" i="4"/>
  <c r="AB239" i="4"/>
  <c r="N241" i="4"/>
  <c r="Z241" i="4" s="1"/>
  <c r="Y240" i="4"/>
  <c r="AB240" i="4" s="1"/>
  <c r="N242" i="4" l="1"/>
  <c r="Y241" i="4"/>
  <c r="AB241" i="4" s="1"/>
  <c r="U243" i="4"/>
  <c r="AA242" i="4"/>
  <c r="Z242" i="4"/>
  <c r="U244" i="4" l="1"/>
  <c r="AA243" i="4"/>
  <c r="N243" i="4"/>
  <c r="Y242" i="4"/>
  <c r="AB242" i="4" s="1"/>
  <c r="N244" i="4" l="1"/>
  <c r="Y243" i="4"/>
  <c r="Z243" i="4"/>
  <c r="U245" i="4"/>
  <c r="AA244" i="4"/>
  <c r="Z244" i="4"/>
  <c r="AB243" i="4" l="1"/>
  <c r="U246" i="4"/>
  <c r="AA245" i="4"/>
  <c r="N245" i="4"/>
  <c r="Y244" i="4"/>
  <c r="AB244" i="4" s="1"/>
  <c r="U247" i="4" l="1"/>
  <c r="AA246" i="4"/>
  <c r="N246" i="4"/>
  <c r="Z246" i="4" s="1"/>
  <c r="Y245" i="4"/>
  <c r="Z245" i="4"/>
  <c r="AB245" i="4" l="1"/>
  <c r="N247" i="4"/>
  <c r="Z247" i="4" s="1"/>
  <c r="Y246" i="4"/>
  <c r="AB246" i="4" s="1"/>
  <c r="U248" i="4"/>
  <c r="AA247" i="4"/>
  <c r="U249" i="4" l="1"/>
  <c r="AA248" i="4"/>
  <c r="N248" i="4"/>
  <c r="Z248" i="4" s="1"/>
  <c r="Y247" i="4"/>
  <c r="AB247" i="4" s="1"/>
  <c r="N249" i="4" l="1"/>
  <c r="Y248" i="4"/>
  <c r="AB248" i="4" s="1"/>
  <c r="U250" i="4"/>
  <c r="Z249" i="4"/>
  <c r="AA249" i="4"/>
  <c r="U251" i="4" l="1"/>
  <c r="AA250" i="4"/>
  <c r="N250" i="4"/>
  <c r="Y249" i="4"/>
  <c r="AB249" i="4" s="1"/>
  <c r="N251" i="4" l="1"/>
  <c r="Y250" i="4"/>
  <c r="Z250" i="4"/>
  <c r="U252" i="4"/>
  <c r="Z251" i="4"/>
  <c r="AA251" i="4"/>
  <c r="AB250" i="4" l="1"/>
  <c r="U253" i="4"/>
  <c r="AA252" i="4"/>
  <c r="N252" i="4"/>
  <c r="Z252" i="4" s="1"/>
  <c r="Y251" i="4"/>
  <c r="AB251" i="4" s="1"/>
  <c r="U254" i="4" l="1"/>
  <c r="AA253" i="4"/>
  <c r="N253" i="4"/>
  <c r="Y252" i="4"/>
  <c r="AB252" i="4" s="1"/>
  <c r="N254" i="4" l="1"/>
  <c r="Y253" i="4"/>
  <c r="Z253" i="4"/>
  <c r="U255" i="4"/>
  <c r="Z254" i="4"/>
  <c r="AA254" i="4"/>
  <c r="AB253" i="4" l="1"/>
  <c r="U256" i="4"/>
  <c r="AA255" i="4"/>
  <c r="N255" i="4"/>
  <c r="Z255" i="4" s="1"/>
  <c r="Y254" i="4"/>
  <c r="AB254" i="4" s="1"/>
  <c r="U257" i="4" l="1"/>
  <c r="AA256" i="4"/>
  <c r="N256" i="4"/>
  <c r="Y255" i="4"/>
  <c r="AB255" i="4" s="1"/>
  <c r="N257" i="4" l="1"/>
  <c r="Y256" i="4"/>
  <c r="Z256" i="4"/>
  <c r="U258" i="4"/>
  <c r="AA257" i="4"/>
  <c r="Z257" i="4"/>
  <c r="AB256" i="4" l="1"/>
  <c r="U259" i="4"/>
  <c r="AA258" i="4"/>
  <c r="N258" i="4"/>
  <c r="Y257" i="4"/>
  <c r="AB257" i="4" s="1"/>
  <c r="U260" i="4" l="1"/>
  <c r="AA259" i="4"/>
  <c r="N259" i="4"/>
  <c r="Y258" i="4"/>
  <c r="Z258" i="4"/>
  <c r="AB258" i="4" l="1"/>
  <c r="N260" i="4"/>
  <c r="Z260" i="4" s="1"/>
  <c r="Y259" i="4"/>
  <c r="Z259" i="4"/>
  <c r="U261" i="4"/>
  <c r="AA260" i="4"/>
  <c r="AB259" i="4" l="1"/>
  <c r="U262" i="4"/>
  <c r="AA261" i="4"/>
  <c r="N261" i="4"/>
  <c r="Y260" i="4"/>
  <c r="AB260" i="4" s="1"/>
  <c r="U263" i="4" l="1"/>
  <c r="AA262" i="4"/>
  <c r="N262" i="4"/>
  <c r="Z262" i="4" s="1"/>
  <c r="Y261" i="4"/>
  <c r="Z261" i="4"/>
  <c r="AB261" i="4" l="1"/>
  <c r="N263" i="4"/>
  <c r="Z263" i="4" s="1"/>
  <c r="Y262" i="4"/>
  <c r="AB262" i="4" s="1"/>
  <c r="U264" i="4"/>
  <c r="AA263" i="4"/>
  <c r="U265" i="4" l="1"/>
  <c r="AA264" i="4"/>
  <c r="N264" i="4"/>
  <c r="Z264" i="4" s="1"/>
  <c r="Y263" i="4"/>
  <c r="AB263" i="4" s="1"/>
  <c r="N265" i="4" l="1"/>
  <c r="Y264" i="4"/>
  <c r="AB264" i="4" s="1"/>
  <c r="U266" i="4"/>
  <c r="Z265" i="4"/>
  <c r="AA265" i="4"/>
  <c r="U267" i="4" l="1"/>
  <c r="AA266" i="4"/>
  <c r="N266" i="4"/>
  <c r="Z266" i="4" s="1"/>
  <c r="Y265" i="4"/>
  <c r="AB265" i="4" s="1"/>
  <c r="N267" i="4" l="1"/>
  <c r="Y266" i="4"/>
  <c r="AB266" i="4" s="1"/>
  <c r="U268" i="4"/>
  <c r="Z267" i="4"/>
  <c r="AA267" i="4"/>
  <c r="U269" i="4" l="1"/>
  <c r="AA268" i="4"/>
  <c r="N268" i="4"/>
  <c r="Y267" i="4"/>
  <c r="AB267" i="4" s="1"/>
  <c r="N269" i="4" l="1"/>
  <c r="Y268" i="4"/>
  <c r="Z268" i="4"/>
  <c r="U270" i="4"/>
  <c r="AA269" i="4"/>
  <c r="Z269" i="4"/>
  <c r="U271" i="4" l="1"/>
  <c r="AA270" i="4"/>
  <c r="AB268" i="4"/>
  <c r="N270" i="4"/>
  <c r="Y269" i="4"/>
  <c r="AB269" i="4" s="1"/>
  <c r="N271" i="4" l="1"/>
  <c r="Y270" i="4"/>
  <c r="Z270" i="4"/>
  <c r="U272" i="4"/>
  <c r="AA271" i="4"/>
  <c r="Z271" i="4"/>
  <c r="AB270" i="4" l="1"/>
  <c r="U273" i="4"/>
  <c r="AA272" i="4"/>
  <c r="N272" i="4"/>
  <c r="Y271" i="4"/>
  <c r="AB271" i="4" s="1"/>
  <c r="U274" i="4" l="1"/>
  <c r="AA273" i="4"/>
  <c r="N273" i="4"/>
  <c r="Y272" i="4"/>
  <c r="Z272" i="4"/>
  <c r="N274" i="4" l="1"/>
  <c r="Y273" i="4"/>
  <c r="AB272" i="4"/>
  <c r="Z273" i="4"/>
  <c r="U275" i="4"/>
  <c r="AA274" i="4"/>
  <c r="Z274" i="4"/>
  <c r="AB273" i="4" l="1"/>
  <c r="U276" i="4"/>
  <c r="AA275" i="4"/>
  <c r="N275" i="4"/>
  <c r="Y274" i="4"/>
  <c r="AB274" i="4" s="1"/>
  <c r="N276" i="4" l="1"/>
  <c r="Z276" i="4" s="1"/>
  <c r="Y275" i="4"/>
  <c r="U277" i="4"/>
  <c r="AA276" i="4"/>
  <c r="Z275" i="4"/>
  <c r="AB275" i="4" l="1"/>
  <c r="U278" i="4"/>
  <c r="AA277" i="4"/>
  <c r="N277" i="4"/>
  <c r="Y276" i="4"/>
  <c r="AB276" i="4" s="1"/>
  <c r="N278" i="4" l="1"/>
  <c r="Y277" i="4"/>
  <c r="Z277" i="4"/>
  <c r="U279" i="4"/>
  <c r="AA278" i="4"/>
  <c r="Z278" i="4"/>
  <c r="AB277" i="4" l="1"/>
  <c r="U280" i="4"/>
  <c r="AA279" i="4"/>
  <c r="N279" i="4"/>
  <c r="Y278" i="4"/>
  <c r="AB278" i="4" s="1"/>
  <c r="N280" i="4" l="1"/>
  <c r="Z280" i="4" s="1"/>
  <c r="Y279" i="4"/>
  <c r="Z279" i="4"/>
  <c r="U281" i="4"/>
  <c r="AA280" i="4"/>
  <c r="U282" i="4" l="1"/>
  <c r="AA281" i="4"/>
  <c r="AB279" i="4"/>
  <c r="N281" i="4"/>
  <c r="Y280" i="4"/>
  <c r="AB280" i="4" s="1"/>
  <c r="N282" i="4" l="1"/>
  <c r="Y281" i="4"/>
  <c r="Z281" i="4"/>
  <c r="U283" i="4"/>
  <c r="Z282" i="4"/>
  <c r="AA282" i="4"/>
  <c r="AB281" i="4" l="1"/>
  <c r="U284" i="4"/>
  <c r="AA283" i="4"/>
  <c r="N283" i="4"/>
  <c r="Y282" i="4"/>
  <c r="AB282" i="4" s="1"/>
  <c r="U285" i="4" l="1"/>
  <c r="AA284" i="4"/>
  <c r="N284" i="4"/>
  <c r="Z284" i="4" s="1"/>
  <c r="Y283" i="4"/>
  <c r="Z283" i="4"/>
  <c r="AB283" i="4" l="1"/>
  <c r="N285" i="4"/>
  <c r="Z285" i="4" s="1"/>
  <c r="Y284" i="4"/>
  <c r="AB284" i="4" s="1"/>
  <c r="U286" i="4"/>
  <c r="AA285" i="4"/>
  <c r="U287" i="4" l="1"/>
  <c r="AA286" i="4"/>
  <c r="N286" i="4"/>
  <c r="Y285" i="4"/>
  <c r="AB285" i="4" s="1"/>
  <c r="N287" i="4" l="1"/>
  <c r="Y286" i="4"/>
  <c r="Z286" i="4"/>
  <c r="U288" i="4"/>
  <c r="AA287" i="4"/>
  <c r="Z287" i="4"/>
  <c r="AB286" i="4" l="1"/>
  <c r="U289" i="4"/>
  <c r="AA288" i="4"/>
  <c r="N288" i="4"/>
  <c r="Y287" i="4"/>
  <c r="AB287" i="4" s="1"/>
  <c r="N289" i="4" l="1"/>
  <c r="Y288" i="4"/>
  <c r="U290" i="4"/>
  <c r="AA289" i="4"/>
  <c r="Z289" i="4"/>
  <c r="Z288" i="4"/>
  <c r="AB288" i="4" l="1"/>
  <c r="U291" i="4"/>
  <c r="AA290" i="4"/>
  <c r="N290" i="4"/>
  <c r="Z290" i="4" s="1"/>
  <c r="Y289" i="4"/>
  <c r="AB289" i="4" s="1"/>
  <c r="N291" i="4" l="1"/>
  <c r="Y290" i="4"/>
  <c r="AB290" i="4" s="1"/>
  <c r="U292" i="4"/>
  <c r="AA291" i="4"/>
  <c r="Z291" i="4"/>
  <c r="U293" i="4" l="1"/>
  <c r="AA292" i="4"/>
  <c r="N292" i="4"/>
  <c r="Y291" i="4"/>
  <c r="AB291" i="4" s="1"/>
  <c r="N293" i="4" l="1"/>
  <c r="Y292" i="4"/>
  <c r="Z292" i="4"/>
  <c r="U294" i="4"/>
  <c r="AA293" i="4"/>
  <c r="Z293" i="4"/>
  <c r="AB292" i="4" l="1"/>
  <c r="U295" i="4"/>
  <c r="AA294" i="4"/>
  <c r="N294" i="4"/>
  <c r="Y293" i="4"/>
  <c r="AB293" i="4" s="1"/>
  <c r="N295" i="4" l="1"/>
  <c r="Y294" i="4"/>
  <c r="Z294" i="4"/>
  <c r="U296" i="4"/>
  <c r="Z295" i="4"/>
  <c r="AA295" i="4"/>
  <c r="U297" i="4" l="1"/>
  <c r="AA296" i="4"/>
  <c r="AB294" i="4"/>
  <c r="N296" i="4"/>
  <c r="Z296" i="4" s="1"/>
  <c r="Y295" i="4"/>
  <c r="AB295" i="4" s="1"/>
  <c r="N297" i="4" l="1"/>
  <c r="Y296" i="4"/>
  <c r="AB296" i="4" s="1"/>
  <c r="U298" i="4"/>
  <c r="Z297" i="4"/>
  <c r="AA297" i="4"/>
  <c r="U299" i="4" l="1"/>
  <c r="AA298" i="4"/>
  <c r="N298" i="4"/>
  <c r="Z298" i="4" s="1"/>
  <c r="Y297" i="4"/>
  <c r="AB297" i="4" s="1"/>
  <c r="N299" i="4" l="1"/>
  <c r="Y298" i="4"/>
  <c r="AB298" i="4" s="1"/>
  <c r="U300" i="4"/>
  <c r="Z299" i="4"/>
  <c r="AA299" i="4"/>
  <c r="U301" i="4" l="1"/>
  <c r="AA300" i="4"/>
  <c r="N300" i="4"/>
  <c r="Z300" i="4" s="1"/>
  <c r="Y299" i="4"/>
  <c r="AB299" i="4" s="1"/>
  <c r="N301" i="4" l="1"/>
  <c r="Y300" i="4"/>
  <c r="AB300" i="4" s="1"/>
  <c r="U302" i="4"/>
  <c r="Z301" i="4"/>
  <c r="AA301" i="4"/>
  <c r="U303" i="4" l="1"/>
  <c r="AA302" i="4"/>
  <c r="N302" i="4"/>
  <c r="Y301" i="4"/>
  <c r="AB301" i="4" s="1"/>
  <c r="N303" i="4" l="1"/>
  <c r="Y302" i="4"/>
  <c r="Z302" i="4"/>
  <c r="U304" i="4"/>
  <c r="Z303" i="4"/>
  <c r="AA303" i="4"/>
  <c r="U305" i="4" l="1"/>
  <c r="AA304" i="4"/>
  <c r="AB302" i="4"/>
  <c r="N304" i="4"/>
  <c r="Y303" i="4"/>
  <c r="AB303" i="4" s="1"/>
  <c r="N305" i="4" l="1"/>
  <c r="Y304" i="4"/>
  <c r="Z304" i="4"/>
  <c r="U306" i="4"/>
  <c r="AA305" i="4"/>
  <c r="Z305" i="4"/>
  <c r="U307" i="4" l="1"/>
  <c r="AA306" i="4"/>
  <c r="AB304" i="4"/>
  <c r="N306" i="4"/>
  <c r="Z306" i="4" s="1"/>
  <c r="Y305" i="4"/>
  <c r="AB305" i="4" s="1"/>
  <c r="N307" i="4" l="1"/>
  <c r="Y306" i="4"/>
  <c r="AB306" i="4" s="1"/>
  <c r="U308" i="4"/>
  <c r="AA307" i="4"/>
  <c r="Z307" i="4"/>
  <c r="U309" i="4" l="1"/>
  <c r="AA308" i="4"/>
  <c r="N308" i="4"/>
  <c r="Y307" i="4"/>
  <c r="AB307" i="4" s="1"/>
  <c r="N309" i="4" l="1"/>
  <c r="Z309" i="4" s="1"/>
  <c r="Y308" i="4"/>
  <c r="Z308" i="4"/>
  <c r="U310" i="4"/>
  <c r="AA309" i="4"/>
  <c r="AB308" i="4" l="1"/>
  <c r="U311" i="4"/>
  <c r="AA310" i="4"/>
  <c r="N310" i="4"/>
  <c r="Y309" i="4"/>
  <c r="AB309" i="4" s="1"/>
  <c r="N311" i="4" l="1"/>
  <c r="Y310" i="4"/>
  <c r="U312" i="4"/>
  <c r="AA311" i="4"/>
  <c r="Z311" i="4"/>
  <c r="Z310" i="4"/>
  <c r="AB310" i="4" l="1"/>
  <c r="U313" i="4"/>
  <c r="AA312" i="4"/>
  <c r="N312" i="4"/>
  <c r="Z312" i="4" s="1"/>
  <c r="Y311" i="4"/>
  <c r="AB311" i="4" s="1"/>
  <c r="U314" i="4" l="1"/>
  <c r="AA313" i="4"/>
  <c r="N313" i="4"/>
  <c r="Z313" i="4" s="1"/>
  <c r="Y312" i="4"/>
  <c r="AB312" i="4" s="1"/>
  <c r="N314" i="4" l="1"/>
  <c r="Y313" i="4"/>
  <c r="AB313" i="4" s="1"/>
  <c r="U315" i="4"/>
  <c r="Z314" i="4"/>
  <c r="AA314" i="4"/>
  <c r="U316" i="4" l="1"/>
  <c r="AA315" i="4"/>
  <c r="N315" i="4"/>
  <c r="Y314" i="4"/>
  <c r="AB314" i="4" s="1"/>
  <c r="N316" i="4" l="1"/>
  <c r="Z316" i="4" s="1"/>
  <c r="Y315" i="4"/>
  <c r="Z315" i="4"/>
  <c r="U317" i="4"/>
  <c r="AA316" i="4"/>
  <c r="AB315" i="4" l="1"/>
  <c r="U318" i="4"/>
  <c r="AA317" i="4"/>
  <c r="N317" i="4"/>
  <c r="Y316" i="4"/>
  <c r="AB316" i="4" s="1"/>
  <c r="N318" i="4" l="1"/>
  <c r="Y317" i="4"/>
  <c r="U319" i="4"/>
  <c r="Z318" i="4"/>
  <c r="AA318" i="4"/>
  <c r="Z317" i="4"/>
  <c r="AB317" i="4" l="1"/>
  <c r="U320" i="4"/>
  <c r="AA319" i="4"/>
  <c r="N319" i="4"/>
  <c r="Z319" i="4" s="1"/>
  <c r="Y318" i="4"/>
  <c r="AB318" i="4" s="1"/>
  <c r="N320" i="4" l="1"/>
  <c r="Z320" i="4" s="1"/>
  <c r="Y319" i="4"/>
  <c r="AB319" i="4" s="1"/>
  <c r="U321" i="4"/>
  <c r="AA320" i="4"/>
  <c r="U322" i="4" l="1"/>
  <c r="AA321" i="4"/>
  <c r="N321" i="4"/>
  <c r="Y320" i="4"/>
  <c r="AB320" i="4" s="1"/>
  <c r="N322" i="4" l="1"/>
  <c r="Y321" i="4"/>
  <c r="Z321" i="4"/>
  <c r="U323" i="4"/>
  <c r="Z322" i="4"/>
  <c r="AA322" i="4"/>
  <c r="AB321" i="4" l="1"/>
  <c r="U324" i="4"/>
  <c r="AA323" i="4"/>
  <c r="N323" i="4"/>
  <c r="Z323" i="4" s="1"/>
  <c r="Y322" i="4"/>
  <c r="AB322" i="4" s="1"/>
  <c r="N324" i="4" l="1"/>
  <c r="Y323" i="4"/>
  <c r="AB323" i="4" s="1"/>
  <c r="U325" i="4"/>
  <c r="AA324" i="4"/>
  <c r="Z324" i="4"/>
  <c r="U326" i="4" l="1"/>
  <c r="AA325" i="4"/>
  <c r="N325" i="4"/>
  <c r="Z325" i="4" s="1"/>
  <c r="Y324" i="4"/>
  <c r="AB324" i="4" s="1"/>
  <c r="N326" i="4" l="1"/>
  <c r="Y325" i="4"/>
  <c r="AB325" i="4" s="1"/>
  <c r="U327" i="4"/>
  <c r="AA326" i="4"/>
  <c r="Z326" i="4"/>
  <c r="U328" i="4" l="1"/>
  <c r="AA327" i="4"/>
  <c r="N327" i="4"/>
  <c r="Y326" i="4"/>
  <c r="AB326" i="4" s="1"/>
  <c r="N328" i="4" l="1"/>
  <c r="Y327" i="4"/>
  <c r="Z327" i="4"/>
  <c r="U329" i="4"/>
  <c r="Z328" i="4"/>
  <c r="AA328" i="4"/>
  <c r="AB327" i="4" l="1"/>
  <c r="U330" i="4"/>
  <c r="AA329" i="4"/>
  <c r="N329" i="4"/>
  <c r="Y328" i="4"/>
  <c r="AB328" i="4" s="1"/>
  <c r="N330" i="4" l="1"/>
  <c r="Y329" i="4"/>
  <c r="Z329" i="4"/>
  <c r="U331" i="4"/>
  <c r="AA330" i="4"/>
  <c r="Z330" i="4"/>
  <c r="U332" i="4" l="1"/>
  <c r="AA331" i="4"/>
  <c r="AB329" i="4"/>
  <c r="N331" i="4"/>
  <c r="Y330" i="4"/>
  <c r="AB330" i="4" s="1"/>
  <c r="N332" i="4" l="1"/>
  <c r="Y331" i="4"/>
  <c r="Z331" i="4"/>
  <c r="U333" i="4"/>
  <c r="Z332" i="4"/>
  <c r="AA332" i="4"/>
  <c r="U334" i="4" l="1"/>
  <c r="AA333" i="4"/>
  <c r="AB331" i="4"/>
  <c r="N333" i="4"/>
  <c r="Y332" i="4"/>
  <c r="AB332" i="4" s="1"/>
  <c r="N334" i="4" l="1"/>
  <c r="Z334" i="4" s="1"/>
  <c r="Y333" i="4"/>
  <c r="Z333" i="4"/>
  <c r="U335" i="4"/>
  <c r="AA334" i="4"/>
  <c r="AB333" i="4" l="1"/>
  <c r="U336" i="4"/>
  <c r="AA335" i="4"/>
  <c r="N335" i="4"/>
  <c r="Y334" i="4"/>
  <c r="AB334" i="4" s="1"/>
  <c r="N336" i="4" l="1"/>
  <c r="Y335" i="4"/>
  <c r="Z335" i="4"/>
  <c r="U337" i="4"/>
  <c r="AA336" i="4"/>
  <c r="Z336" i="4"/>
  <c r="U338" i="4" l="1"/>
  <c r="AA337" i="4"/>
  <c r="AB335" i="4"/>
  <c r="N337" i="4"/>
  <c r="Y336" i="4"/>
  <c r="AB336" i="4" s="1"/>
  <c r="N338" i="4" l="1"/>
  <c r="Y337" i="4"/>
  <c r="Z337" i="4"/>
  <c r="U339" i="4"/>
  <c r="AA338" i="4"/>
  <c r="Z338" i="4"/>
  <c r="AB337" i="4" l="1"/>
  <c r="U340" i="4"/>
  <c r="AA339" i="4"/>
  <c r="N339" i="4"/>
  <c r="Y338" i="4"/>
  <c r="AB338" i="4" s="1"/>
  <c r="N340" i="4" l="1"/>
  <c r="Y339" i="4"/>
  <c r="U341" i="4"/>
  <c r="AA340" i="4"/>
  <c r="Z340" i="4"/>
  <c r="Z339" i="4"/>
  <c r="U342" i="4" l="1"/>
  <c r="AA341" i="4"/>
  <c r="AB339" i="4"/>
  <c r="N341" i="4"/>
  <c r="Z341" i="4" s="1"/>
  <c r="Y340" i="4"/>
  <c r="AB340" i="4" s="1"/>
  <c r="N342" i="4" l="1"/>
  <c r="Y341" i="4"/>
  <c r="AB341" i="4" s="1"/>
  <c r="U343" i="4"/>
  <c r="Z342" i="4"/>
  <c r="AA342" i="4"/>
  <c r="U344" i="4" l="1"/>
  <c r="AA343" i="4"/>
  <c r="N343" i="4"/>
  <c r="Y342" i="4"/>
  <c r="AB342" i="4" s="1"/>
  <c r="N344" i="4" l="1"/>
  <c r="Z344" i="4" s="1"/>
  <c r="Y343" i="4"/>
  <c r="Z343" i="4"/>
  <c r="U345" i="4"/>
  <c r="AA344" i="4"/>
  <c r="AB343" i="4" l="1"/>
  <c r="U346" i="4"/>
  <c r="AA345" i="4"/>
  <c r="N345" i="4"/>
  <c r="Y344" i="4"/>
  <c r="AB344" i="4" s="1"/>
  <c r="U347" i="4" l="1"/>
  <c r="AA346" i="4"/>
  <c r="N346" i="4"/>
  <c r="Y345" i="4"/>
  <c r="Z345" i="4"/>
  <c r="AB345" i="4" l="1"/>
  <c r="N347" i="4"/>
  <c r="Z347" i="4" s="1"/>
  <c r="Y346" i="4"/>
  <c r="Z346" i="4"/>
  <c r="U348" i="4"/>
  <c r="AA347" i="4"/>
  <c r="AB346" i="4" l="1"/>
  <c r="N348" i="4"/>
  <c r="Z348" i="4" s="1"/>
  <c r="Y347" i="4"/>
  <c r="AB347" i="4" s="1"/>
  <c r="U349" i="4"/>
  <c r="AA348" i="4"/>
  <c r="U350" i="4" l="1"/>
  <c r="AA349" i="4"/>
  <c r="N349" i="4"/>
  <c r="Y348" i="4"/>
  <c r="AB348" i="4" s="1"/>
  <c r="N350" i="4" l="1"/>
  <c r="Y349" i="4"/>
  <c r="Z349" i="4"/>
  <c r="U351" i="4"/>
  <c r="Z350" i="4"/>
  <c r="AA350" i="4"/>
  <c r="U352" i="4" l="1"/>
  <c r="AA351" i="4"/>
  <c r="AB349" i="4"/>
  <c r="N351" i="4"/>
  <c r="Z351" i="4" s="1"/>
  <c r="Y350" i="4"/>
  <c r="AB350" i="4" s="1"/>
  <c r="N352" i="4" l="1"/>
  <c r="Y351" i="4"/>
  <c r="AB351" i="4" s="1"/>
  <c r="U353" i="4"/>
  <c r="Z352" i="4"/>
  <c r="AA352" i="4"/>
  <c r="U354" i="4" l="1"/>
  <c r="AA353" i="4"/>
  <c r="N353" i="4"/>
  <c r="Y352" i="4"/>
  <c r="AB352" i="4" s="1"/>
  <c r="N354" i="4" l="1"/>
  <c r="Z354" i="4" s="1"/>
  <c r="Y353" i="4"/>
  <c r="Z353" i="4"/>
  <c r="U355" i="4"/>
  <c r="AA354" i="4"/>
  <c r="AB353" i="4" l="1"/>
  <c r="U356" i="4"/>
  <c r="AA355" i="4"/>
  <c r="N355" i="4"/>
  <c r="Y354" i="4"/>
  <c r="AB354" i="4" s="1"/>
  <c r="N356" i="4" l="1"/>
  <c r="Y355" i="4"/>
  <c r="Z355" i="4"/>
  <c r="U357" i="4"/>
  <c r="AA356" i="4"/>
  <c r="Z356" i="4"/>
  <c r="AB355" i="4" l="1"/>
  <c r="U358" i="4"/>
  <c r="AA357" i="4"/>
  <c r="N357" i="4"/>
  <c r="Y356" i="4"/>
  <c r="AB356" i="4" s="1"/>
  <c r="N358" i="4" l="1"/>
  <c r="Z358" i="4" s="1"/>
  <c r="Y357" i="4"/>
  <c r="Z357" i="4"/>
  <c r="U359" i="4"/>
  <c r="AA358" i="4"/>
  <c r="U360" i="4" l="1"/>
  <c r="AA359" i="4"/>
  <c r="AB357" i="4"/>
  <c r="N359" i="4"/>
  <c r="Y358" i="4"/>
  <c r="AB358" i="4" s="1"/>
  <c r="N360" i="4" l="1"/>
  <c r="Y359" i="4"/>
  <c r="Z359" i="4"/>
  <c r="U361" i="4"/>
  <c r="Z360" i="4"/>
  <c r="AA360" i="4"/>
  <c r="U362" i="4" l="1"/>
  <c r="AA361" i="4"/>
  <c r="AB359" i="4"/>
  <c r="N361" i="4"/>
  <c r="Y360" i="4"/>
  <c r="AB360" i="4" s="1"/>
  <c r="N362" i="4" l="1"/>
  <c r="Y361" i="4"/>
  <c r="Z361" i="4"/>
  <c r="U363" i="4"/>
  <c r="AA362" i="4"/>
  <c r="Z362" i="4"/>
  <c r="AB361" i="4" l="1"/>
  <c r="U364" i="4"/>
  <c r="AA363" i="4"/>
  <c r="N363" i="4"/>
  <c r="Z363" i="4" s="1"/>
  <c r="Y362" i="4"/>
  <c r="AB362" i="4" s="1"/>
  <c r="U365" i="4" l="1"/>
  <c r="AA364" i="4"/>
  <c r="N364" i="4"/>
  <c r="Y363" i="4"/>
  <c r="AB363" i="4" s="1"/>
  <c r="N365" i="4" l="1"/>
  <c r="Y364" i="4"/>
  <c r="Z364" i="4"/>
  <c r="U366" i="4"/>
  <c r="AA365" i="4"/>
  <c r="Z365" i="4"/>
  <c r="U367" i="4" l="1"/>
  <c r="AA366" i="4"/>
  <c r="AB364" i="4"/>
  <c r="N366" i="4"/>
  <c r="Z366" i="4" s="1"/>
  <c r="Y365" i="4"/>
  <c r="AB365" i="4" s="1"/>
  <c r="N367" i="4" l="1"/>
  <c r="Y366" i="4"/>
  <c r="AB366" i="4" s="1"/>
  <c r="U368" i="4"/>
  <c r="AA367" i="4"/>
  <c r="Z367" i="4"/>
  <c r="U369" i="4" l="1"/>
  <c r="AA368" i="4"/>
  <c r="N368" i="4"/>
  <c r="Z368" i="4" s="1"/>
  <c r="Y367" i="4"/>
  <c r="AB367" i="4" s="1"/>
  <c r="N369" i="4" l="1"/>
  <c r="Y368" i="4"/>
  <c r="AB368" i="4" s="1"/>
  <c r="U370" i="4"/>
  <c r="AA369" i="4"/>
  <c r="Z369" i="4"/>
  <c r="U371" i="4" l="1"/>
  <c r="AA370" i="4"/>
  <c r="N370" i="4"/>
  <c r="Y369" i="4"/>
  <c r="AB369" i="4" s="1"/>
  <c r="N371" i="4" l="1"/>
  <c r="Y370" i="4"/>
  <c r="Z370" i="4"/>
  <c r="U372" i="4"/>
  <c r="AA371" i="4"/>
  <c r="Z371" i="4"/>
  <c r="U373" i="4" l="1"/>
  <c r="AA372" i="4"/>
  <c r="AB370" i="4"/>
  <c r="N372" i="4"/>
  <c r="Y371" i="4"/>
  <c r="AB371" i="4" s="1"/>
  <c r="N373" i="4" l="1"/>
  <c r="Z373" i="4" s="1"/>
  <c r="Y372" i="4"/>
  <c r="Z372" i="4"/>
  <c r="U374" i="4"/>
  <c r="AA373" i="4"/>
  <c r="U375" i="4" l="1"/>
  <c r="AA374" i="4"/>
  <c r="AB372" i="4"/>
  <c r="N374" i="4"/>
  <c r="Z374" i="4" s="1"/>
  <c r="Y373" i="4"/>
  <c r="AB373" i="4" s="1"/>
  <c r="N375" i="4" l="1"/>
  <c r="Z375" i="4" s="1"/>
  <c r="Y374" i="4"/>
  <c r="AB374" i="4" s="1"/>
  <c r="U376" i="4"/>
  <c r="AA375" i="4"/>
  <c r="U377" i="4" l="1"/>
  <c r="AA376" i="4"/>
  <c r="N376" i="4"/>
  <c r="Z376" i="4" s="1"/>
  <c r="Y375" i="4"/>
  <c r="AB375" i="4" s="1"/>
  <c r="N377" i="4" l="1"/>
  <c r="Y376" i="4"/>
  <c r="AB376" i="4" s="1"/>
  <c r="U378" i="4"/>
  <c r="Z377" i="4"/>
  <c r="AA377" i="4"/>
  <c r="U379" i="4" l="1"/>
  <c r="AA378" i="4"/>
  <c r="N378" i="4"/>
  <c r="Y377" i="4"/>
  <c r="AB377" i="4" s="1"/>
  <c r="N379" i="4" l="1"/>
  <c r="Y378" i="4"/>
  <c r="Z378" i="4"/>
  <c r="U380" i="4"/>
  <c r="Z379" i="4"/>
  <c r="AA379" i="4"/>
  <c r="AB378" i="4" l="1"/>
  <c r="U381" i="4"/>
  <c r="AA380" i="4"/>
  <c r="N380" i="4"/>
  <c r="Y379" i="4"/>
  <c r="AB379" i="4" s="1"/>
  <c r="U382" i="4" l="1"/>
  <c r="AA381" i="4"/>
  <c r="N381" i="4"/>
  <c r="Z381" i="4" s="1"/>
  <c r="Y380" i="4"/>
  <c r="Z380" i="4"/>
  <c r="AB380" i="4" l="1"/>
  <c r="N382" i="4"/>
  <c r="Y381" i="4"/>
  <c r="AB381" i="4" s="1"/>
  <c r="U383" i="4"/>
  <c r="AA382" i="4"/>
  <c r="Z382" i="4"/>
  <c r="U384" i="4" l="1"/>
  <c r="AA383" i="4"/>
  <c r="N383" i="4"/>
  <c r="Z383" i="4" s="1"/>
  <c r="Y382" i="4"/>
  <c r="AB382" i="4" s="1"/>
  <c r="N384" i="4" l="1"/>
  <c r="Y383" i="4"/>
  <c r="AB383" i="4" s="1"/>
  <c r="U385" i="4"/>
  <c r="Z384" i="4"/>
  <c r="AA384" i="4"/>
  <c r="U386" i="4" l="1"/>
  <c r="AA385" i="4"/>
  <c r="N385" i="4"/>
  <c r="Z385" i="4" s="1"/>
  <c r="Y384" i="4"/>
  <c r="AB384" i="4" s="1"/>
  <c r="N386" i="4" l="1"/>
  <c r="Y385" i="4"/>
  <c r="AB385" i="4" s="1"/>
  <c r="U387" i="4"/>
  <c r="Z386" i="4"/>
  <c r="AA386" i="4"/>
  <c r="U388" i="4" l="1"/>
  <c r="AA387" i="4"/>
  <c r="N387" i="4"/>
  <c r="Z387" i="4" s="1"/>
  <c r="Y386" i="4"/>
  <c r="AB386" i="4" s="1"/>
  <c r="N388" i="4" l="1"/>
  <c r="Y387" i="4"/>
  <c r="AB387" i="4" s="1"/>
  <c r="U389" i="4"/>
  <c r="AA388" i="4"/>
  <c r="Z388" i="4"/>
  <c r="U390" i="4" l="1"/>
  <c r="AA389" i="4"/>
  <c r="N389" i="4"/>
  <c r="Z389" i="4" s="1"/>
  <c r="Y388" i="4"/>
  <c r="AB388" i="4" s="1"/>
  <c r="N390" i="4" l="1"/>
  <c r="Y389" i="4"/>
  <c r="AB389" i="4" s="1"/>
  <c r="U391" i="4"/>
  <c r="Z390" i="4"/>
  <c r="AA390" i="4"/>
  <c r="U392" i="4" l="1"/>
  <c r="AA391" i="4"/>
  <c r="N391" i="4"/>
  <c r="Y390" i="4"/>
  <c r="AB390" i="4" s="1"/>
  <c r="N392" i="4" l="1"/>
  <c r="Y391" i="4"/>
  <c r="Z391" i="4"/>
  <c r="U393" i="4"/>
  <c r="Z392" i="4"/>
  <c r="AA392" i="4"/>
  <c r="U394" i="4" l="1"/>
  <c r="AA393" i="4"/>
  <c r="AB391" i="4"/>
  <c r="N393" i="4"/>
  <c r="Z393" i="4" s="1"/>
  <c r="Y392" i="4"/>
  <c r="AB392" i="4" s="1"/>
  <c r="N394" i="4" l="1"/>
  <c r="Y393" i="4"/>
  <c r="AB393" i="4" s="1"/>
  <c r="U395" i="4"/>
  <c r="Z394" i="4"/>
  <c r="AA394" i="4"/>
  <c r="U396" i="4" l="1"/>
  <c r="AA395" i="4"/>
  <c r="N395" i="4"/>
  <c r="Z395" i="4" s="1"/>
  <c r="Y394" i="4"/>
  <c r="AB394" i="4" s="1"/>
  <c r="N396" i="4" l="1"/>
  <c r="Y395" i="4"/>
  <c r="AB395" i="4" s="1"/>
  <c r="U397" i="4"/>
  <c r="Z396" i="4"/>
  <c r="AA396" i="4"/>
  <c r="U398" i="4" l="1"/>
  <c r="AA397" i="4"/>
  <c r="N397" i="4"/>
  <c r="Z397" i="4" s="1"/>
  <c r="Y396" i="4"/>
  <c r="AB396" i="4" s="1"/>
  <c r="N398" i="4" l="1"/>
  <c r="Y397" i="4"/>
  <c r="AB397" i="4" s="1"/>
  <c r="U399" i="4"/>
  <c r="Z398" i="4"/>
  <c r="AA398" i="4"/>
  <c r="U400" i="4" l="1"/>
  <c r="AA399" i="4"/>
  <c r="N399" i="4"/>
  <c r="Y398" i="4"/>
  <c r="AB398" i="4" s="1"/>
  <c r="N400" i="4" l="1"/>
  <c r="Y399" i="4"/>
  <c r="Z399" i="4"/>
  <c r="U401" i="4"/>
  <c r="Z400" i="4"/>
  <c r="AA400" i="4"/>
  <c r="U402" i="4" l="1"/>
  <c r="AA401" i="4"/>
  <c r="AB399" i="4"/>
  <c r="N401" i="4"/>
  <c r="Z401" i="4" s="1"/>
  <c r="Y400" i="4"/>
  <c r="AB400" i="4" s="1"/>
  <c r="N402" i="4" l="1"/>
  <c r="Y401" i="4"/>
  <c r="AB401" i="4" s="1"/>
  <c r="U403" i="4"/>
  <c r="AA402" i="4"/>
  <c r="Z402" i="4"/>
  <c r="U404" i="4" l="1"/>
  <c r="AA403" i="4"/>
  <c r="N403" i="4"/>
  <c r="Z403" i="4" s="1"/>
  <c r="Y402" i="4"/>
  <c r="AB402" i="4" s="1"/>
  <c r="N404" i="4" l="1"/>
  <c r="Y403" i="4"/>
  <c r="AB403" i="4" s="1"/>
  <c r="U405" i="4"/>
  <c r="AA404" i="4"/>
  <c r="Z404" i="4"/>
  <c r="U406" i="4" l="1"/>
  <c r="AA405" i="4"/>
  <c r="N405" i="4"/>
  <c r="Y404" i="4"/>
  <c r="AB404" i="4" s="1"/>
  <c r="N406" i="4" l="1"/>
  <c r="Y405" i="4"/>
  <c r="Z405" i="4"/>
  <c r="U407" i="4"/>
  <c r="AA406" i="4"/>
  <c r="Z406" i="4"/>
  <c r="AB405" i="4" l="1"/>
  <c r="U408" i="4"/>
  <c r="AA407" i="4"/>
  <c r="N407" i="4"/>
  <c r="Z407" i="4" s="1"/>
  <c r="Y406" i="4"/>
  <c r="AB406" i="4" s="1"/>
  <c r="U409" i="4" l="1"/>
  <c r="AA408" i="4"/>
  <c r="N408" i="4"/>
  <c r="Z408" i="4" s="1"/>
  <c r="Y407" i="4"/>
  <c r="AB407" i="4" s="1"/>
  <c r="N409" i="4" l="1"/>
  <c r="Y408" i="4"/>
  <c r="AB408" i="4" s="1"/>
  <c r="U410" i="4"/>
  <c r="Z409" i="4"/>
  <c r="AA409" i="4"/>
  <c r="U411" i="4" l="1"/>
  <c r="AA410" i="4"/>
  <c r="N410" i="4"/>
  <c r="Y409" i="4"/>
  <c r="AB409" i="4" s="1"/>
  <c r="N411" i="4" l="1"/>
  <c r="Y410" i="4"/>
  <c r="Z410" i="4"/>
  <c r="U412" i="4"/>
  <c r="Z411" i="4"/>
  <c r="AA411" i="4"/>
  <c r="AB410" i="4" l="1"/>
  <c r="U413" i="4"/>
  <c r="AA412" i="4"/>
  <c r="N412" i="4"/>
  <c r="Z412" i="4" s="1"/>
  <c r="Y411" i="4"/>
  <c r="AB411" i="4" s="1"/>
  <c r="N413" i="4" l="1"/>
  <c r="Z413" i="4" s="1"/>
  <c r="Y412" i="4"/>
  <c r="AB412" i="4" s="1"/>
  <c r="U414" i="4"/>
  <c r="AA413" i="4"/>
  <c r="U415" i="4" l="1"/>
  <c r="AA414" i="4"/>
  <c r="N414" i="4"/>
  <c r="Y413" i="4"/>
  <c r="AB413" i="4" s="1"/>
  <c r="N415" i="4" l="1"/>
  <c r="Y414" i="4"/>
  <c r="Z414" i="4"/>
  <c r="U416" i="4"/>
  <c r="Z415" i="4"/>
  <c r="AA415" i="4"/>
  <c r="U417" i="4" l="1"/>
  <c r="AA416" i="4"/>
  <c r="AB414" i="4"/>
  <c r="N416" i="4"/>
  <c r="Y415" i="4"/>
  <c r="AB415" i="4" s="1"/>
  <c r="N417" i="4" l="1"/>
  <c r="Y416" i="4"/>
  <c r="Z416" i="4"/>
  <c r="U418" i="4"/>
  <c r="AA417" i="4"/>
  <c r="Z417" i="4"/>
  <c r="U419" i="4" l="1"/>
  <c r="AA418" i="4"/>
  <c r="AB416" i="4"/>
  <c r="N418" i="4"/>
  <c r="Y417" i="4"/>
  <c r="AB417" i="4" s="1"/>
  <c r="N419" i="4" l="1"/>
  <c r="Y418" i="4"/>
  <c r="Z418" i="4"/>
  <c r="U420" i="4"/>
  <c r="AA419" i="4"/>
  <c r="Z419" i="4"/>
  <c r="U421" i="4" l="1"/>
  <c r="AA420" i="4"/>
  <c r="AB418" i="4"/>
  <c r="N420" i="4"/>
  <c r="Z420" i="4" s="1"/>
  <c r="Y419" i="4"/>
  <c r="AB419" i="4" s="1"/>
  <c r="N421" i="4" l="1"/>
  <c r="Y420" i="4"/>
  <c r="AB420" i="4" s="1"/>
  <c r="U422" i="4"/>
  <c r="AA421" i="4"/>
  <c r="Z421" i="4"/>
  <c r="U423" i="4" l="1"/>
  <c r="AA422" i="4"/>
  <c r="N422" i="4"/>
  <c r="Y421" i="4"/>
  <c r="AB421" i="4" s="1"/>
  <c r="N423" i="4" l="1"/>
  <c r="Z423" i="4" s="1"/>
  <c r="Y422" i="4"/>
  <c r="Z422" i="4"/>
  <c r="U424" i="4"/>
  <c r="AA423" i="4"/>
  <c r="AB422" i="4" l="1"/>
  <c r="U425" i="4"/>
  <c r="AA424" i="4"/>
  <c r="N424" i="4"/>
  <c r="Z424" i="4" s="1"/>
  <c r="Y423" i="4"/>
  <c r="AB423" i="4" s="1"/>
  <c r="N425" i="4" l="1"/>
  <c r="Y424" i="4"/>
  <c r="AB424" i="4" s="1"/>
  <c r="U426" i="4"/>
  <c r="AA425" i="4"/>
  <c r="Z425" i="4"/>
  <c r="U427" i="4" l="1"/>
  <c r="AA426" i="4"/>
  <c r="N426" i="4"/>
  <c r="Y425" i="4"/>
  <c r="AB425" i="4" s="1"/>
  <c r="N427" i="4" l="1"/>
  <c r="Y426" i="4"/>
  <c r="Z426" i="4"/>
  <c r="U428" i="4"/>
  <c r="AA427" i="4"/>
  <c r="Z427" i="4"/>
  <c r="U429" i="4" l="1"/>
  <c r="AA428" i="4"/>
  <c r="AB426" i="4"/>
  <c r="N428" i="4"/>
  <c r="Y427" i="4"/>
  <c r="AB427" i="4" s="1"/>
  <c r="N429" i="4" l="1"/>
  <c r="Y428" i="4"/>
  <c r="Z428" i="4"/>
  <c r="U430" i="4"/>
  <c r="AA429" i="4"/>
  <c r="Z429" i="4"/>
  <c r="AB428" i="4" l="1"/>
  <c r="U431" i="4"/>
  <c r="AA430" i="4"/>
  <c r="N430" i="4"/>
  <c r="Y429" i="4"/>
  <c r="AB429" i="4" s="1"/>
  <c r="N431" i="4" l="1"/>
  <c r="Y430" i="4"/>
  <c r="Z430" i="4"/>
  <c r="U432" i="4"/>
  <c r="Z431" i="4"/>
  <c r="AA431" i="4"/>
  <c r="AB430" i="4" l="1"/>
  <c r="U433" i="4"/>
  <c r="AA432" i="4"/>
  <c r="N432" i="4"/>
  <c r="Z432" i="4" s="1"/>
  <c r="Y431" i="4"/>
  <c r="AB431" i="4" s="1"/>
  <c r="N433" i="4" l="1"/>
  <c r="Y432" i="4"/>
  <c r="AB432" i="4" s="1"/>
  <c r="U434" i="4"/>
  <c r="AA433" i="4"/>
  <c r="Z433" i="4"/>
  <c r="U435" i="4" l="1"/>
  <c r="AA434" i="4"/>
  <c r="N434" i="4"/>
  <c r="Y433" i="4"/>
  <c r="AB433" i="4" s="1"/>
  <c r="N435" i="4" l="1"/>
  <c r="Y434" i="4"/>
  <c r="Z434" i="4"/>
  <c r="U436" i="4"/>
  <c r="AA435" i="4"/>
  <c r="Z435" i="4"/>
  <c r="AB434" i="4" l="1"/>
  <c r="U437" i="4"/>
  <c r="AA436" i="4"/>
  <c r="N436" i="4"/>
  <c r="Y435" i="4"/>
  <c r="AB435" i="4" s="1"/>
  <c r="N437" i="4" l="1"/>
  <c r="Y436" i="4"/>
  <c r="U438" i="4"/>
  <c r="AA437" i="4"/>
  <c r="Z437" i="4"/>
  <c r="Z436" i="4"/>
  <c r="U439" i="4" l="1"/>
  <c r="AA438" i="4"/>
  <c r="AB436" i="4"/>
  <c r="N438" i="4"/>
  <c r="Y437" i="4"/>
  <c r="AB437" i="4" s="1"/>
  <c r="N439" i="4" l="1"/>
  <c r="Y438" i="4"/>
  <c r="Z438" i="4"/>
  <c r="U440" i="4"/>
  <c r="AA439" i="4"/>
  <c r="Z439" i="4"/>
  <c r="U441" i="4" l="1"/>
  <c r="AA440" i="4"/>
  <c r="AB438" i="4"/>
  <c r="N440" i="4"/>
  <c r="Z440" i="4" s="1"/>
  <c r="Y439" i="4"/>
  <c r="AB439" i="4" s="1"/>
  <c r="N441" i="4" l="1"/>
  <c r="Y440" i="4"/>
  <c r="AB440" i="4" s="1"/>
  <c r="U442" i="4"/>
  <c r="Z441" i="4"/>
  <c r="AA441" i="4"/>
  <c r="U443" i="4" l="1"/>
  <c r="AA442" i="4"/>
  <c r="N442" i="4"/>
  <c r="Y441" i="4"/>
  <c r="AB441" i="4" s="1"/>
  <c r="N443" i="4" l="1"/>
  <c r="Y442" i="4"/>
  <c r="Z442" i="4"/>
  <c r="U444" i="4"/>
  <c r="Z443" i="4"/>
  <c r="AA443" i="4"/>
  <c r="U445" i="4" l="1"/>
  <c r="AA444" i="4"/>
  <c r="AB442" i="4"/>
  <c r="N444" i="4"/>
  <c r="Z444" i="4" s="1"/>
  <c r="Y443" i="4"/>
  <c r="AB443" i="4" s="1"/>
  <c r="N445" i="4" l="1"/>
  <c r="Y444" i="4"/>
  <c r="AB444" i="4" s="1"/>
  <c r="U446" i="4"/>
  <c r="AA445" i="4"/>
  <c r="Z445" i="4"/>
  <c r="U447" i="4" l="1"/>
  <c r="AA446" i="4"/>
  <c r="N446" i="4"/>
  <c r="Z446" i="4" s="1"/>
  <c r="Y445" i="4"/>
  <c r="AB445" i="4" s="1"/>
  <c r="N447" i="4" l="1"/>
  <c r="Y446" i="4"/>
  <c r="AB446" i="4" s="1"/>
  <c r="U448" i="4"/>
  <c r="AA447" i="4"/>
  <c r="Z447" i="4"/>
  <c r="U449" i="4" l="1"/>
  <c r="AA448" i="4"/>
  <c r="N448" i="4"/>
  <c r="Y447" i="4"/>
  <c r="AB447" i="4" s="1"/>
  <c r="N449" i="4" l="1"/>
  <c r="Y448" i="4"/>
  <c r="Z448" i="4"/>
  <c r="U450" i="4"/>
  <c r="AA449" i="4"/>
  <c r="Z449" i="4"/>
  <c r="AB448" i="4" l="1"/>
  <c r="U451" i="4"/>
  <c r="AA450" i="4"/>
  <c r="N450" i="4"/>
  <c r="Y449" i="4"/>
  <c r="AB449" i="4" s="1"/>
  <c r="N451" i="4" l="1"/>
  <c r="Y450" i="4"/>
  <c r="U452" i="4"/>
  <c r="AA451" i="4"/>
  <c r="Z451" i="4"/>
  <c r="Z450" i="4"/>
  <c r="U453" i="4" l="1"/>
  <c r="AA452" i="4"/>
  <c r="AB450" i="4"/>
  <c r="N452" i="4"/>
  <c r="Y451" i="4"/>
  <c r="AB451" i="4" s="1"/>
  <c r="N453" i="4" l="1"/>
  <c r="Y452" i="4"/>
  <c r="Z452" i="4"/>
  <c r="U454" i="4"/>
  <c r="AA453" i="4"/>
  <c r="Z453" i="4"/>
  <c r="AB452" i="4" l="1"/>
  <c r="U455" i="4"/>
  <c r="AA454" i="4"/>
  <c r="N454" i="4"/>
  <c r="Y453" i="4"/>
  <c r="AB453" i="4" s="1"/>
  <c r="N455" i="4" l="1"/>
  <c r="Y454" i="4"/>
  <c r="Z454" i="4"/>
  <c r="U456" i="4"/>
  <c r="AA455" i="4"/>
  <c r="Z455" i="4"/>
  <c r="AB454" i="4" l="1"/>
  <c r="U457" i="4"/>
  <c r="AA456" i="4"/>
  <c r="N456" i="4"/>
  <c r="Y455" i="4"/>
  <c r="AB455" i="4" s="1"/>
  <c r="N457" i="4" l="1"/>
  <c r="Y456" i="4"/>
  <c r="Z456" i="4"/>
  <c r="U458" i="4"/>
  <c r="AA457" i="4"/>
  <c r="Z457" i="4"/>
  <c r="U459" i="4" l="1"/>
  <c r="AA458" i="4"/>
  <c r="AB456" i="4"/>
  <c r="N458" i="4"/>
  <c r="Z458" i="4" s="1"/>
  <c r="Y457" i="4"/>
  <c r="AB457" i="4" s="1"/>
  <c r="N459" i="4" l="1"/>
  <c r="Y458" i="4"/>
  <c r="AB458" i="4" s="1"/>
  <c r="U460" i="4"/>
  <c r="AA459" i="4"/>
  <c r="Z459" i="4"/>
  <c r="U461" i="4" l="1"/>
  <c r="AA460" i="4"/>
  <c r="N460" i="4"/>
  <c r="Y459" i="4"/>
  <c r="AB459" i="4" s="1"/>
  <c r="N461" i="4" l="1"/>
  <c r="Y460" i="4"/>
  <c r="Z460" i="4"/>
  <c r="U462" i="4"/>
  <c r="AA461" i="4"/>
  <c r="Z461" i="4"/>
  <c r="U463" i="4" l="1"/>
  <c r="AA462" i="4"/>
  <c r="AB460" i="4"/>
  <c r="N462" i="4"/>
  <c r="Y461" i="4"/>
  <c r="AB461" i="4" s="1"/>
  <c r="N463" i="4" l="1"/>
  <c r="Y462" i="4"/>
  <c r="Z462" i="4"/>
  <c r="U464" i="4"/>
  <c r="AA463" i="4"/>
  <c r="Z463" i="4"/>
  <c r="AB462" i="4" l="1"/>
  <c r="U465" i="4"/>
  <c r="AA464" i="4"/>
  <c r="N464" i="4"/>
  <c r="Y463" i="4"/>
  <c r="AB463" i="4" s="1"/>
  <c r="U466" i="4" l="1"/>
  <c r="AA465" i="4"/>
  <c r="N465" i="4"/>
  <c r="Y464" i="4"/>
  <c r="Z464" i="4"/>
  <c r="N466" i="4" l="1"/>
  <c r="Y465" i="4"/>
  <c r="AB464" i="4"/>
  <c r="Z465" i="4"/>
  <c r="U467" i="4"/>
  <c r="AA466" i="4"/>
  <c r="Z466" i="4"/>
  <c r="AB465" i="4" l="1"/>
  <c r="U468" i="4"/>
  <c r="AA467" i="4"/>
  <c r="N467" i="4"/>
  <c r="Y466" i="4"/>
  <c r="AB466" i="4" s="1"/>
  <c r="N468" i="4" l="1"/>
  <c r="Y467" i="4"/>
  <c r="U469" i="4"/>
  <c r="AA468" i="4"/>
  <c r="Z468" i="4"/>
  <c r="Z467" i="4"/>
  <c r="AB467" i="4" l="1"/>
  <c r="U470" i="4"/>
  <c r="AA469" i="4"/>
  <c r="N469" i="4"/>
  <c r="Z469" i="4" s="1"/>
  <c r="Y468" i="4"/>
  <c r="AB468" i="4" s="1"/>
  <c r="U471" i="4" l="1"/>
  <c r="AA470" i="4"/>
  <c r="N470" i="4"/>
  <c r="Z470" i="4" s="1"/>
  <c r="Y469" i="4"/>
  <c r="AB469" i="4" s="1"/>
  <c r="N471" i="4" l="1"/>
  <c r="Z471" i="4" s="1"/>
  <c r="Y470" i="4"/>
  <c r="AB470" i="4" s="1"/>
  <c r="U472" i="4"/>
  <c r="AA471" i="4"/>
  <c r="U473" i="4" l="1"/>
  <c r="AA472" i="4"/>
  <c r="N472" i="4"/>
  <c r="Z472" i="4" s="1"/>
  <c r="Y471" i="4"/>
  <c r="AB471" i="4" s="1"/>
  <c r="N473" i="4" l="1"/>
  <c r="Y472" i="4"/>
  <c r="AB472" i="4" s="1"/>
  <c r="U474" i="4"/>
  <c r="Z473" i="4"/>
  <c r="AA473" i="4"/>
  <c r="U475" i="4" l="1"/>
  <c r="AA474" i="4"/>
  <c r="N474" i="4"/>
  <c r="Y473" i="4"/>
  <c r="AB473" i="4" s="1"/>
  <c r="N475" i="4" l="1"/>
  <c r="Y474" i="4"/>
  <c r="Z474" i="4"/>
  <c r="U476" i="4"/>
  <c r="Z475" i="4"/>
  <c r="AA475" i="4"/>
  <c r="AB474" i="4" l="1"/>
  <c r="U477" i="4"/>
  <c r="AA476" i="4"/>
  <c r="N476" i="4"/>
  <c r="Z476" i="4" s="1"/>
  <c r="Y475" i="4"/>
  <c r="AB475" i="4" s="1"/>
  <c r="U478" i="4" l="1"/>
  <c r="AA477" i="4"/>
  <c r="N477" i="4"/>
  <c r="Y476" i="4"/>
  <c r="AB476" i="4" s="1"/>
  <c r="N478" i="4" l="1"/>
  <c r="Y477" i="4"/>
  <c r="Z477" i="4"/>
  <c r="U479" i="4"/>
  <c r="Z478" i="4"/>
  <c r="AA478" i="4"/>
  <c r="U480" i="4" l="1"/>
  <c r="AA479" i="4"/>
  <c r="AB477" i="4"/>
  <c r="N479" i="4"/>
  <c r="Y478" i="4"/>
  <c r="AB478" i="4" s="1"/>
  <c r="N480" i="4" l="1"/>
  <c r="Y479" i="4"/>
  <c r="Z479" i="4"/>
  <c r="U481" i="4"/>
  <c r="Z480" i="4"/>
  <c r="AA480" i="4"/>
  <c r="AB479" i="4" l="1"/>
  <c r="U482" i="4"/>
  <c r="AA481" i="4"/>
  <c r="N481" i="4"/>
  <c r="Z481" i="4" s="1"/>
  <c r="Y480" i="4"/>
  <c r="AB480" i="4" s="1"/>
  <c r="U483" i="4" l="1"/>
  <c r="AA482" i="4"/>
  <c r="N482" i="4"/>
  <c r="Z482" i="4" s="1"/>
  <c r="Y481" i="4"/>
  <c r="AB481" i="4" s="1"/>
  <c r="N483" i="4" l="1"/>
  <c r="Y482" i="4"/>
  <c r="AB482" i="4" s="1"/>
  <c r="U484" i="4"/>
  <c r="AA483" i="4"/>
  <c r="Z483" i="4"/>
  <c r="U485" i="4" l="1"/>
  <c r="AA484" i="4"/>
  <c r="N484" i="4"/>
  <c r="Z484" i="4" s="1"/>
  <c r="Y483" i="4"/>
  <c r="AB483" i="4" s="1"/>
  <c r="N485" i="4" l="1"/>
  <c r="Z485" i="4" s="1"/>
  <c r="Y484" i="4"/>
  <c r="AB484" i="4" s="1"/>
  <c r="U486" i="4"/>
  <c r="AA485" i="4"/>
  <c r="U487" i="4" l="1"/>
  <c r="AA486" i="4"/>
  <c r="N486" i="4"/>
  <c r="Y485" i="4"/>
  <c r="AB485" i="4" s="1"/>
  <c r="N487" i="4" l="1"/>
  <c r="Y486" i="4"/>
  <c r="Z486" i="4"/>
  <c r="U488" i="4"/>
  <c r="Z487" i="4"/>
  <c r="AA487" i="4"/>
  <c r="U489" i="4" l="1"/>
  <c r="AA488" i="4"/>
  <c r="AB486" i="4"/>
  <c r="N488" i="4"/>
  <c r="Y487" i="4"/>
  <c r="AB487" i="4" s="1"/>
  <c r="N489" i="4" l="1"/>
  <c r="Z489" i="4" s="1"/>
  <c r="Y488" i="4"/>
  <c r="Z488" i="4"/>
  <c r="U490" i="4"/>
  <c r="AA489" i="4"/>
  <c r="AB488" i="4" l="1"/>
  <c r="U491" i="4"/>
  <c r="AA490" i="4"/>
  <c r="N490" i="4"/>
  <c r="Y489" i="4"/>
  <c r="AB489" i="4" s="1"/>
  <c r="N491" i="4" l="1"/>
  <c r="Z491" i="4" s="1"/>
  <c r="Y490" i="4"/>
  <c r="U492" i="4"/>
  <c r="AA491" i="4"/>
  <c r="Z490" i="4"/>
  <c r="U493" i="4" l="1"/>
  <c r="AA492" i="4"/>
  <c r="AB490" i="4"/>
  <c r="N492" i="4"/>
  <c r="Z492" i="4" s="1"/>
  <c r="Y491" i="4"/>
  <c r="AB491" i="4" s="1"/>
  <c r="N493" i="4" l="1"/>
  <c r="Y492" i="4"/>
  <c r="AB492" i="4" s="1"/>
  <c r="U494" i="4"/>
  <c r="AA493" i="4"/>
  <c r="Z493" i="4"/>
  <c r="U495" i="4" l="1"/>
  <c r="AA494" i="4"/>
  <c r="N494" i="4"/>
  <c r="Z494" i="4" s="1"/>
  <c r="Y493" i="4"/>
  <c r="AB493" i="4" s="1"/>
  <c r="N495" i="4" l="1"/>
  <c r="Y494" i="4"/>
  <c r="AB494" i="4" s="1"/>
  <c r="U496" i="4"/>
  <c r="AA495" i="4"/>
  <c r="Z495" i="4"/>
  <c r="U497" i="4" l="1"/>
  <c r="AA496" i="4"/>
  <c r="N496" i="4"/>
  <c r="Z496" i="4" s="1"/>
  <c r="Y495" i="4"/>
  <c r="AB495" i="4" s="1"/>
  <c r="N497" i="4" l="1"/>
  <c r="Y496" i="4"/>
  <c r="AB496" i="4" s="1"/>
  <c r="U498" i="4"/>
  <c r="AA497" i="4"/>
  <c r="Z497" i="4"/>
  <c r="U499" i="4" l="1"/>
  <c r="AA498" i="4"/>
  <c r="N498" i="4"/>
  <c r="Z498" i="4" s="1"/>
  <c r="Y497" i="4"/>
  <c r="AB497" i="4" s="1"/>
  <c r="N499" i="4" l="1"/>
  <c r="Y498" i="4"/>
  <c r="AB498" i="4" s="1"/>
  <c r="U500" i="4"/>
  <c r="AA499" i="4"/>
  <c r="Z499" i="4"/>
  <c r="U501" i="4" l="1"/>
  <c r="AA500" i="4"/>
  <c r="N500" i="4"/>
  <c r="Z500" i="4" s="1"/>
  <c r="Y499" i="4"/>
  <c r="AB499" i="4" s="1"/>
  <c r="N501" i="4" l="1"/>
  <c r="Y500" i="4"/>
  <c r="AB500" i="4" s="1"/>
  <c r="U502" i="4"/>
  <c r="AA501" i="4"/>
  <c r="Z501" i="4"/>
  <c r="U503" i="4" l="1"/>
  <c r="AA502" i="4"/>
  <c r="N502" i="4"/>
  <c r="Z502" i="4" s="1"/>
  <c r="Y501" i="4"/>
  <c r="AB501" i="4" s="1"/>
  <c r="N503" i="4" l="1"/>
  <c r="Y502" i="4"/>
  <c r="AB502" i="4" s="1"/>
  <c r="U504" i="4"/>
  <c r="AA503" i="4"/>
  <c r="Z503" i="4"/>
  <c r="U505" i="4" l="1"/>
  <c r="AA504" i="4"/>
  <c r="N504" i="4"/>
  <c r="Z504" i="4" s="1"/>
  <c r="Y503" i="4"/>
  <c r="AB503" i="4" s="1"/>
  <c r="N505" i="4" l="1"/>
  <c r="Y504" i="4"/>
  <c r="AB504" i="4" s="1"/>
  <c r="U506" i="4"/>
  <c r="Z505" i="4"/>
  <c r="AA505" i="4"/>
  <c r="U507" i="4" l="1"/>
  <c r="AA506" i="4"/>
  <c r="N506" i="4"/>
  <c r="Z506" i="4" s="1"/>
  <c r="Y505" i="4"/>
  <c r="AB505" i="4" s="1"/>
  <c r="N507" i="4" l="1"/>
  <c r="Z507" i="4" s="1"/>
  <c r="Y506" i="4"/>
  <c r="AB506" i="4" s="1"/>
  <c r="U508" i="4"/>
  <c r="AA507" i="4"/>
  <c r="U509" i="4" l="1"/>
  <c r="AA508" i="4"/>
  <c r="N508" i="4"/>
  <c r="Z508" i="4" s="1"/>
  <c r="Y507" i="4"/>
  <c r="AB507" i="4" s="1"/>
  <c r="N509" i="4" l="1"/>
  <c r="Y508" i="4"/>
  <c r="AB508" i="4" s="1"/>
  <c r="U510" i="4"/>
  <c r="AA509" i="4"/>
  <c r="Z509" i="4"/>
  <c r="U511" i="4" l="1"/>
  <c r="AA510" i="4"/>
  <c r="N510" i="4"/>
  <c r="Z510" i="4" s="1"/>
  <c r="Y509" i="4"/>
  <c r="AB509" i="4" s="1"/>
  <c r="N511" i="4" l="1"/>
  <c r="Y510" i="4"/>
  <c r="AB510" i="4" s="1"/>
  <c r="U512" i="4"/>
  <c r="AA511" i="4"/>
  <c r="Z511" i="4"/>
  <c r="U513" i="4" l="1"/>
  <c r="AA512" i="4"/>
  <c r="N512" i="4"/>
  <c r="Y511" i="4"/>
  <c r="AB511" i="4" s="1"/>
  <c r="N513" i="4" l="1"/>
  <c r="Z513" i="4" s="1"/>
  <c r="Y512" i="4"/>
  <c r="Z512" i="4"/>
  <c r="U514" i="4"/>
  <c r="AA513" i="4"/>
  <c r="U515" i="4" l="1"/>
  <c r="AA514" i="4"/>
  <c r="AB512" i="4"/>
  <c r="N514" i="4"/>
  <c r="Y513" i="4"/>
  <c r="AB513" i="4" s="1"/>
  <c r="N515" i="4" l="1"/>
  <c r="Y514" i="4"/>
  <c r="Z514" i="4"/>
  <c r="U516" i="4"/>
  <c r="AA515" i="4"/>
  <c r="Z515" i="4"/>
  <c r="AB514" i="4" l="1"/>
  <c r="U517" i="4"/>
  <c r="AA516" i="4"/>
  <c r="N516" i="4"/>
  <c r="Y515" i="4"/>
  <c r="AB515" i="4" s="1"/>
  <c r="N517" i="4" l="1"/>
  <c r="Y516" i="4"/>
  <c r="Z516" i="4"/>
  <c r="U518" i="4"/>
  <c r="AA517" i="4"/>
  <c r="Z517" i="4"/>
  <c r="AB516" i="4" l="1"/>
  <c r="U519" i="4"/>
  <c r="AA518" i="4"/>
  <c r="N518" i="4"/>
  <c r="Y517" i="4"/>
  <c r="AB517" i="4" s="1"/>
  <c r="N519" i="4" l="1"/>
  <c r="Z519" i="4" s="1"/>
  <c r="Y518" i="4"/>
  <c r="Z518" i="4"/>
  <c r="U520" i="4"/>
  <c r="AA519" i="4"/>
  <c r="U521" i="4" l="1"/>
  <c r="AA520" i="4"/>
  <c r="AB518" i="4"/>
  <c r="N520" i="4"/>
  <c r="Y519" i="4"/>
  <c r="AB519" i="4" s="1"/>
  <c r="N521" i="4" l="1"/>
  <c r="Z521" i="4" s="1"/>
  <c r="Y520" i="4"/>
  <c r="Z520" i="4"/>
  <c r="U522" i="4"/>
  <c r="AA521" i="4"/>
  <c r="AB520" i="4" l="1"/>
  <c r="U523" i="4"/>
  <c r="AA522" i="4"/>
  <c r="N522" i="4"/>
  <c r="Z522" i="4" s="1"/>
  <c r="Y521" i="4"/>
  <c r="AB521" i="4" s="1"/>
  <c r="N523" i="4" l="1"/>
  <c r="Y522" i="4"/>
  <c r="AB522" i="4" s="1"/>
  <c r="U524" i="4"/>
  <c r="AA523" i="4"/>
  <c r="Z523" i="4"/>
  <c r="U525" i="4" l="1"/>
  <c r="AA524" i="4"/>
  <c r="N524" i="4"/>
  <c r="Z524" i="4" s="1"/>
  <c r="Y523" i="4"/>
  <c r="AB523" i="4" s="1"/>
  <c r="N525" i="4" l="1"/>
  <c r="Y524" i="4"/>
  <c r="AB524" i="4" s="1"/>
  <c r="U526" i="4"/>
  <c r="Z525" i="4"/>
  <c r="AA525" i="4"/>
  <c r="U527" i="4" l="1"/>
  <c r="AA526" i="4"/>
  <c r="N526" i="4"/>
  <c r="Y525" i="4"/>
  <c r="AB525" i="4" s="1"/>
  <c r="N527" i="4" l="1"/>
  <c r="Y526" i="4"/>
  <c r="Z526" i="4"/>
  <c r="U528" i="4"/>
  <c r="Z527" i="4"/>
  <c r="AA527" i="4"/>
  <c r="U529" i="4" l="1"/>
  <c r="AA528" i="4"/>
  <c r="AB526" i="4"/>
  <c r="N528" i="4"/>
  <c r="Y527" i="4"/>
  <c r="AB527" i="4" s="1"/>
  <c r="N529" i="4" l="1"/>
  <c r="Y528" i="4"/>
  <c r="Z528" i="4"/>
  <c r="U530" i="4"/>
  <c r="AA529" i="4"/>
  <c r="Z529" i="4"/>
  <c r="AB528" i="4" l="1"/>
  <c r="U531" i="4"/>
  <c r="AA530" i="4"/>
  <c r="N530" i="4"/>
  <c r="Y529" i="4"/>
  <c r="AB529" i="4" s="1"/>
  <c r="U532" i="4" l="1"/>
  <c r="AA531" i="4"/>
  <c r="N531" i="4"/>
  <c r="Y530" i="4"/>
  <c r="Z530" i="4"/>
  <c r="AB530" i="4" l="1"/>
  <c r="N532" i="4"/>
  <c r="Y531" i="4"/>
  <c r="Z531" i="4"/>
  <c r="U533" i="4"/>
  <c r="AA532" i="4"/>
  <c r="Z532" i="4"/>
  <c r="U534" i="4" l="1"/>
  <c r="AA533" i="4"/>
  <c r="AB531" i="4"/>
  <c r="N533" i="4"/>
  <c r="Y532" i="4"/>
  <c r="AB532" i="4" s="1"/>
  <c r="N534" i="4" l="1"/>
  <c r="Y533" i="4"/>
  <c r="Z533" i="4"/>
  <c r="U535" i="4"/>
  <c r="Z534" i="4"/>
  <c r="AA534" i="4"/>
  <c r="U536" i="4" l="1"/>
  <c r="AA535" i="4"/>
  <c r="AB533" i="4"/>
  <c r="N535" i="4"/>
  <c r="Y534" i="4"/>
  <c r="AB534" i="4" s="1"/>
  <c r="N536" i="4" l="1"/>
  <c r="Y535" i="4"/>
  <c r="Z535" i="4"/>
  <c r="U537" i="4"/>
  <c r="Z536" i="4"/>
  <c r="AA536" i="4"/>
  <c r="AB535" i="4" l="1"/>
  <c r="U538" i="4"/>
  <c r="AA537" i="4"/>
  <c r="N537" i="4"/>
  <c r="Y536" i="4"/>
  <c r="AB536" i="4" s="1"/>
  <c r="N538" i="4" l="1"/>
  <c r="Y537" i="4"/>
  <c r="Z537" i="4"/>
  <c r="U539" i="4"/>
  <c r="Z538" i="4"/>
  <c r="AA538" i="4"/>
  <c r="U540" i="4" l="1"/>
  <c r="AA539" i="4"/>
  <c r="AB537" i="4"/>
  <c r="N539" i="4"/>
  <c r="Y538" i="4"/>
  <c r="AB538" i="4" s="1"/>
  <c r="N540" i="4" l="1"/>
  <c r="Z540" i="4" s="1"/>
  <c r="Y539" i="4"/>
  <c r="Z539" i="4"/>
  <c r="U541" i="4"/>
  <c r="AA540" i="4"/>
  <c r="AB539" i="4" l="1"/>
  <c r="U542" i="4"/>
  <c r="AA541" i="4"/>
  <c r="N541" i="4"/>
  <c r="Z541" i="4" s="1"/>
  <c r="Y540" i="4"/>
  <c r="AB540" i="4" s="1"/>
  <c r="N542" i="4" l="1"/>
  <c r="Y541" i="4"/>
  <c r="AB541" i="4" s="1"/>
  <c r="U543" i="4"/>
  <c r="AA542" i="4"/>
  <c r="Z542" i="4"/>
  <c r="U544" i="4" l="1"/>
  <c r="AA543" i="4"/>
  <c r="N543" i="4"/>
  <c r="Z543" i="4" s="1"/>
  <c r="Y542" i="4"/>
  <c r="AB542" i="4" s="1"/>
  <c r="N544" i="4" l="1"/>
  <c r="Y543" i="4"/>
  <c r="AB543" i="4" s="1"/>
  <c r="U545" i="4"/>
  <c r="Z544" i="4"/>
  <c r="AA544" i="4"/>
  <c r="U546" i="4" l="1"/>
  <c r="AA545" i="4"/>
  <c r="N545" i="4"/>
  <c r="Z545" i="4" s="1"/>
  <c r="Y544" i="4"/>
  <c r="AB544" i="4" s="1"/>
  <c r="U547" i="4" l="1"/>
  <c r="AA546" i="4"/>
  <c r="N546" i="4"/>
  <c r="Y545" i="4"/>
  <c r="AB545" i="4" s="1"/>
  <c r="N547" i="4" l="1"/>
  <c r="Y546" i="4"/>
  <c r="Z546" i="4"/>
  <c r="U548" i="4"/>
  <c r="AA547" i="4"/>
  <c r="Z547" i="4"/>
  <c r="AB546" i="4" l="1"/>
  <c r="U549" i="4"/>
  <c r="AA548" i="4"/>
  <c r="N548" i="4"/>
  <c r="Z548" i="4" s="1"/>
  <c r="Y547" i="4"/>
  <c r="AB547" i="4" s="1"/>
  <c r="N549" i="4" l="1"/>
  <c r="Y548" i="4"/>
  <c r="AB548" i="4" s="1"/>
  <c r="U550" i="4"/>
  <c r="AA549" i="4"/>
  <c r="Z549" i="4"/>
  <c r="U551" i="4" l="1"/>
  <c r="AA550" i="4"/>
  <c r="N550" i="4"/>
  <c r="Y549" i="4"/>
  <c r="AB549" i="4" s="1"/>
  <c r="N551" i="4" l="1"/>
  <c r="Y550" i="4"/>
  <c r="Z550" i="4"/>
  <c r="U552" i="4"/>
  <c r="AA551" i="4"/>
  <c r="Z551" i="4"/>
  <c r="AB550" i="4" l="1"/>
  <c r="U553" i="4"/>
  <c r="AA552" i="4"/>
  <c r="N552" i="4"/>
  <c r="Z552" i="4" s="1"/>
  <c r="Y551" i="4"/>
  <c r="AB551" i="4" s="1"/>
  <c r="U554" i="4" l="1"/>
  <c r="AA553" i="4"/>
  <c r="N553" i="4"/>
  <c r="Y552" i="4"/>
  <c r="AB552" i="4" s="1"/>
  <c r="N554" i="4" l="1"/>
  <c r="Y553" i="4"/>
  <c r="Z553" i="4"/>
  <c r="U555" i="4"/>
  <c r="AA554" i="4"/>
  <c r="Z554" i="4"/>
  <c r="U556" i="4" l="1"/>
  <c r="AA555" i="4"/>
  <c r="AB553" i="4"/>
  <c r="N555" i="4"/>
  <c r="Y554" i="4"/>
  <c r="AB554" i="4" s="1"/>
  <c r="N556" i="4" l="1"/>
  <c r="Y555" i="4"/>
  <c r="Z555" i="4"/>
  <c r="U557" i="4"/>
  <c r="Z556" i="4"/>
  <c r="AA556" i="4"/>
  <c r="U558" i="4" l="1"/>
  <c r="AA557" i="4"/>
  <c r="AB555" i="4"/>
  <c r="N557" i="4"/>
  <c r="Z557" i="4" s="1"/>
  <c r="Y556" i="4"/>
  <c r="AB556" i="4" s="1"/>
  <c r="N558" i="4" l="1"/>
  <c r="Y557" i="4"/>
  <c r="AB557" i="4" s="1"/>
  <c r="U559" i="4"/>
  <c r="AA558" i="4"/>
  <c r="Z558" i="4"/>
  <c r="U560" i="4" l="1"/>
  <c r="AA559" i="4"/>
  <c r="N559" i="4"/>
  <c r="Z559" i="4" s="1"/>
  <c r="Y558" i="4"/>
  <c r="AB558" i="4" s="1"/>
  <c r="N560" i="4" l="1"/>
  <c r="Y559" i="4"/>
  <c r="AB559" i="4" s="1"/>
  <c r="U561" i="4"/>
  <c r="Z560" i="4"/>
  <c r="AA560" i="4"/>
  <c r="U562" i="4" l="1"/>
  <c r="AA561" i="4"/>
  <c r="N561" i="4"/>
  <c r="Y560" i="4"/>
  <c r="AB560" i="4" s="1"/>
  <c r="N562" i="4" l="1"/>
  <c r="Y561" i="4"/>
  <c r="Z561" i="4"/>
  <c r="U563" i="4"/>
  <c r="AA562" i="4"/>
  <c r="Z562" i="4"/>
  <c r="U564" i="4" l="1"/>
  <c r="AA563" i="4"/>
  <c r="AB561" i="4"/>
  <c r="N563" i="4"/>
  <c r="Z563" i="4" s="1"/>
  <c r="Y562" i="4"/>
  <c r="AB562" i="4" s="1"/>
  <c r="N564" i="4" l="1"/>
  <c r="Y563" i="4"/>
  <c r="AB563" i="4" s="1"/>
  <c r="U565" i="4"/>
  <c r="AA564" i="4"/>
  <c r="Z564" i="4"/>
  <c r="U566" i="4" l="1"/>
  <c r="AA565" i="4"/>
  <c r="N565" i="4"/>
  <c r="Z565" i="4" s="1"/>
  <c r="Y564" i="4"/>
  <c r="AB564" i="4" s="1"/>
  <c r="N566" i="4" l="1"/>
  <c r="Y565" i="4"/>
  <c r="AB565" i="4" s="1"/>
  <c r="U567" i="4"/>
  <c r="Z566" i="4"/>
  <c r="AA566" i="4"/>
  <c r="U568" i="4" l="1"/>
  <c r="AA567" i="4"/>
  <c r="N567" i="4"/>
  <c r="Y566" i="4"/>
  <c r="AB566" i="4" s="1"/>
  <c r="N568" i="4" l="1"/>
  <c r="Y567" i="4"/>
  <c r="Z567" i="4"/>
  <c r="U569" i="4"/>
  <c r="AA568" i="4"/>
  <c r="Z568" i="4"/>
  <c r="U570" i="4" l="1"/>
  <c r="AA569" i="4"/>
  <c r="AB567" i="4"/>
  <c r="N569" i="4"/>
  <c r="Y568" i="4"/>
  <c r="AB568" i="4" s="1"/>
  <c r="N570" i="4" l="1"/>
  <c r="Y569" i="4"/>
  <c r="Z569" i="4"/>
  <c r="U571" i="4"/>
  <c r="Z570" i="4"/>
  <c r="AA570" i="4"/>
  <c r="AB569" i="4" l="1"/>
  <c r="U572" i="4"/>
  <c r="AA571" i="4"/>
  <c r="N571" i="4"/>
  <c r="Z571" i="4" s="1"/>
  <c r="Y570" i="4"/>
  <c r="AB570" i="4" s="1"/>
  <c r="U573" i="4" l="1"/>
  <c r="AA572" i="4"/>
  <c r="N572" i="4"/>
  <c r="Z572" i="4" s="1"/>
  <c r="Y571" i="4"/>
  <c r="AB571" i="4" s="1"/>
  <c r="N573" i="4" l="1"/>
  <c r="Y572" i="4"/>
  <c r="AB572" i="4" s="1"/>
  <c r="U574" i="4"/>
  <c r="Z573" i="4"/>
  <c r="AA573" i="4"/>
  <c r="U575" i="4" l="1"/>
  <c r="AA574" i="4"/>
  <c r="N574" i="4"/>
  <c r="Z574" i="4" s="1"/>
  <c r="Y573" i="4"/>
  <c r="AB573" i="4" s="1"/>
  <c r="N575" i="4" l="1"/>
  <c r="Y574" i="4"/>
  <c r="AB574" i="4" s="1"/>
  <c r="U576" i="4"/>
  <c r="Z575" i="4"/>
  <c r="AA575" i="4"/>
  <c r="U577" i="4" l="1"/>
  <c r="AA576" i="4"/>
  <c r="N576" i="4"/>
  <c r="Z576" i="4" s="1"/>
  <c r="Y575" i="4"/>
  <c r="AB575" i="4" s="1"/>
  <c r="N577" i="4" l="1"/>
  <c r="Y576" i="4"/>
  <c r="AB576" i="4" s="1"/>
  <c r="U578" i="4"/>
  <c r="AA577" i="4"/>
  <c r="Z577" i="4"/>
  <c r="U579" i="4" l="1"/>
  <c r="AA578" i="4"/>
  <c r="N578" i="4"/>
  <c r="Z578" i="4" s="1"/>
  <c r="Y577" i="4"/>
  <c r="AB577" i="4" s="1"/>
  <c r="N579" i="4" l="1"/>
  <c r="Y578" i="4"/>
  <c r="AB578" i="4" s="1"/>
  <c r="U580" i="4"/>
  <c r="AA579" i="4"/>
  <c r="Z579" i="4"/>
  <c r="U581" i="4" l="1"/>
  <c r="AA580" i="4"/>
  <c r="N580" i="4"/>
  <c r="Z580" i="4" s="1"/>
  <c r="Y579" i="4"/>
  <c r="AB579" i="4" s="1"/>
  <c r="N581" i="4" l="1"/>
  <c r="Y580" i="4"/>
  <c r="AB580" i="4" s="1"/>
  <c r="U582" i="4"/>
  <c r="AA581" i="4"/>
  <c r="Z581" i="4"/>
  <c r="U583" i="4" l="1"/>
  <c r="AA582" i="4"/>
  <c r="N582" i="4"/>
  <c r="Z582" i="4" s="1"/>
  <c r="Y581" i="4"/>
  <c r="AB581" i="4" s="1"/>
  <c r="N583" i="4" l="1"/>
  <c r="Z583" i="4" s="1"/>
  <c r="Y582" i="4"/>
  <c r="AB582" i="4" s="1"/>
  <c r="U584" i="4"/>
  <c r="AA583" i="4"/>
  <c r="U585" i="4" l="1"/>
  <c r="AA584" i="4"/>
  <c r="N584" i="4"/>
  <c r="Y583" i="4"/>
  <c r="AB583" i="4" s="1"/>
  <c r="N585" i="4" l="1"/>
  <c r="Y584" i="4"/>
  <c r="Z584" i="4"/>
  <c r="U586" i="4"/>
  <c r="AA585" i="4"/>
  <c r="Z585" i="4"/>
  <c r="AB584" i="4" l="1"/>
  <c r="U587" i="4"/>
  <c r="AA586" i="4"/>
  <c r="N586" i="4"/>
  <c r="Z586" i="4" s="1"/>
  <c r="Y585" i="4"/>
  <c r="AB585" i="4" s="1"/>
  <c r="U588" i="4" l="1"/>
  <c r="AA587" i="4"/>
  <c r="N587" i="4"/>
  <c r="Z587" i="4" s="1"/>
  <c r="Y586" i="4"/>
  <c r="AB586" i="4" s="1"/>
  <c r="N588" i="4" l="1"/>
  <c r="Y587" i="4"/>
  <c r="AB587" i="4" s="1"/>
  <c r="U589" i="4"/>
  <c r="Z588" i="4"/>
  <c r="AA588" i="4"/>
  <c r="U590" i="4" l="1"/>
  <c r="AA589" i="4"/>
  <c r="N589" i="4"/>
  <c r="Z589" i="4" s="1"/>
  <c r="Y588" i="4"/>
  <c r="AB588" i="4" s="1"/>
  <c r="N590" i="4" l="1"/>
  <c r="Z590" i="4" s="1"/>
  <c r="Y589" i="4"/>
  <c r="AB589" i="4" s="1"/>
  <c r="U591" i="4"/>
  <c r="AA590" i="4"/>
  <c r="U592" i="4" l="1"/>
  <c r="AA591" i="4"/>
  <c r="N591" i="4"/>
  <c r="Z591" i="4" s="1"/>
  <c r="Y590" i="4"/>
  <c r="AB590" i="4" s="1"/>
  <c r="N592" i="4" l="1"/>
  <c r="Y591" i="4"/>
  <c r="AB591" i="4" s="1"/>
  <c r="U593" i="4"/>
  <c r="AA592" i="4"/>
  <c r="Z592" i="4"/>
  <c r="U594" i="4" l="1"/>
  <c r="AA593" i="4"/>
  <c r="N593" i="4"/>
  <c r="Z593" i="4" s="1"/>
  <c r="Y592" i="4"/>
  <c r="AB592" i="4" s="1"/>
  <c r="N594" i="4" l="1"/>
  <c r="Y593" i="4"/>
  <c r="AB593" i="4" s="1"/>
  <c r="U595" i="4"/>
  <c r="AA594" i="4"/>
  <c r="Z594" i="4"/>
  <c r="U596" i="4" l="1"/>
  <c r="AA595" i="4"/>
  <c r="N595" i="4"/>
  <c r="Y594" i="4"/>
  <c r="AB594" i="4" s="1"/>
  <c r="N596" i="4" l="1"/>
  <c r="Y595" i="4"/>
  <c r="Z595" i="4"/>
  <c r="U597" i="4"/>
  <c r="AA596" i="4"/>
  <c r="Z596" i="4"/>
  <c r="U598" i="4" l="1"/>
  <c r="AA597" i="4"/>
  <c r="AB595" i="4"/>
  <c r="N597" i="4"/>
  <c r="Z597" i="4" s="1"/>
  <c r="Y596" i="4"/>
  <c r="AB596" i="4" s="1"/>
  <c r="N598" i="4" l="1"/>
  <c r="Y597" i="4"/>
  <c r="AB597" i="4" s="1"/>
  <c r="U599" i="4"/>
  <c r="AA598" i="4"/>
  <c r="Z598" i="4"/>
  <c r="U600" i="4" l="1"/>
  <c r="AA599" i="4"/>
  <c r="N599" i="4"/>
  <c r="Z599" i="4" s="1"/>
  <c r="Y598" i="4"/>
  <c r="AB598" i="4" s="1"/>
  <c r="N600" i="4" l="1"/>
  <c r="Y599" i="4"/>
  <c r="AB599" i="4" s="1"/>
  <c r="U601" i="4"/>
  <c r="Z600" i="4"/>
  <c r="AA600" i="4"/>
  <c r="U602" i="4" l="1"/>
  <c r="AA601" i="4"/>
  <c r="N601" i="4"/>
  <c r="Y600" i="4"/>
  <c r="AB600" i="4" s="1"/>
  <c r="N602" i="4" l="1"/>
  <c r="Y601" i="4"/>
  <c r="Z601" i="4"/>
  <c r="U603" i="4"/>
  <c r="Z602" i="4"/>
  <c r="AA602" i="4"/>
  <c r="U604" i="4" l="1"/>
  <c r="AA603" i="4"/>
  <c r="AB601" i="4"/>
  <c r="N603" i="4"/>
  <c r="Z603" i="4" s="1"/>
  <c r="Y602" i="4"/>
  <c r="AB602" i="4" s="1"/>
  <c r="N604" i="4" l="1"/>
  <c r="Y603" i="4"/>
  <c r="AB603" i="4" s="1"/>
  <c r="U605" i="4"/>
  <c r="Z604" i="4"/>
  <c r="AA604" i="4"/>
  <c r="U606" i="4" l="1"/>
  <c r="AA605" i="4"/>
  <c r="N605" i="4"/>
  <c r="Y604" i="4"/>
  <c r="AB604" i="4" s="1"/>
  <c r="N606" i="4" l="1"/>
  <c r="Y605" i="4"/>
  <c r="Z605" i="4"/>
  <c r="U607" i="4"/>
  <c r="Z606" i="4"/>
  <c r="AA606" i="4"/>
  <c r="AB605" i="4" l="1"/>
  <c r="U608" i="4"/>
  <c r="AA607" i="4"/>
  <c r="N607" i="4"/>
  <c r="Y606" i="4"/>
  <c r="AB606" i="4" s="1"/>
  <c r="N608" i="4" l="1"/>
  <c r="Y607" i="4"/>
  <c r="U609" i="4"/>
  <c r="Z608" i="4"/>
  <c r="AA608" i="4"/>
  <c r="Z607" i="4"/>
  <c r="AA609" i="4" l="1"/>
  <c r="AB607" i="4"/>
  <c r="N609" i="4"/>
  <c r="Y609" i="4" s="1"/>
  <c r="Y608" i="4"/>
  <c r="AB608" i="4" s="1"/>
  <c r="AB609" i="4" l="1"/>
  <c r="T8" i="7" a="1"/>
  <c r="T8" i="7" s="1"/>
  <c r="T4" i="7" a="1"/>
  <c r="T4" i="7" s="1"/>
  <c r="Z609" i="4"/>
  <c r="T9" i="7" l="1" a="1"/>
  <c r="T9" i="7" s="1"/>
  <c r="T7" i="7" s="1"/>
  <c r="T33" i="7" s="1"/>
  <c r="T5" i="7" a="1"/>
  <c r="T5" i="7" s="1"/>
  <c r="T3" i="7" s="1"/>
  <c r="T26" i="7" s="1"/>
  <c r="T31" i="7"/>
  <c r="T18" i="7"/>
  <c r="T24" i="7"/>
  <c r="T14" i="7"/>
  <c r="T25" i="7" l="1"/>
  <c r="T23" i="7" s="1"/>
  <c r="T15" i="7"/>
  <c r="T13" i="7" s="1"/>
  <c r="T32" i="7"/>
  <c r="T30" i="7" s="1"/>
  <c r="T19" i="7"/>
  <c r="T17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<sst xmlns="http://schemas.openxmlformats.org/spreadsheetml/2006/main" count="161" uniqueCount="94">
  <si>
    <t>PFS</t>
  </si>
  <si>
    <t>OS</t>
  </si>
  <si>
    <t>time</t>
  </si>
  <si>
    <t>event</t>
  </si>
  <si>
    <t>Treatment A</t>
  </si>
  <si>
    <t>PFS: KM Data</t>
  </si>
  <si>
    <t>OS: KM Data</t>
  </si>
  <si>
    <t>Time (Months)</t>
  </si>
  <si>
    <t>Survival Probability</t>
  </si>
  <si>
    <t>PFS: All Distribution Parameters</t>
  </si>
  <si>
    <t>OS: All Distribution Parameters</t>
  </si>
  <si>
    <t>Distribution</t>
  </si>
  <si>
    <t>Parameter</t>
  </si>
  <si>
    <t>Value</t>
  </si>
  <si>
    <t>Exponential</t>
  </si>
  <si>
    <t>Log Rate</t>
  </si>
  <si>
    <t>Gamma</t>
  </si>
  <si>
    <t>Log Shape</t>
  </si>
  <si>
    <t>Generalized Gamma</t>
  </si>
  <si>
    <t>Mu</t>
  </si>
  <si>
    <t>Log Sigma</t>
  </si>
  <si>
    <t>Q</t>
  </si>
  <si>
    <t>Gompertz</t>
  </si>
  <si>
    <t>Rate</t>
  </si>
  <si>
    <t>Shape</t>
  </si>
  <si>
    <t>Loglogistic</t>
  </si>
  <si>
    <t>Log Scale</t>
  </si>
  <si>
    <t>Lognormal</t>
  </si>
  <si>
    <t>Weibull</t>
  </si>
  <si>
    <t>TIME</t>
  </si>
  <si>
    <t>Cycle</t>
  </si>
  <si>
    <t>From</t>
  </si>
  <si>
    <t>To</t>
  </si>
  <si>
    <t>Mid</t>
  </si>
  <si>
    <t>Month</t>
  </si>
  <si>
    <t>Age</t>
  </si>
  <si>
    <t>BGM</t>
  </si>
  <si>
    <t>Discount</t>
  </si>
  <si>
    <t>Time Horizon</t>
  </si>
  <si>
    <t>KM</t>
  </si>
  <si>
    <t>Parametric</t>
  </si>
  <si>
    <t>Par. Hazard Rate</t>
  </si>
  <si>
    <t>PFS in use</t>
  </si>
  <si>
    <t>PFS BGM</t>
  </si>
  <si>
    <t>Par. BGM Correction</t>
  </si>
  <si>
    <t>Patient Baseline Age</t>
  </si>
  <si>
    <t>Discount Rate</t>
  </si>
  <si>
    <t>Days per Year</t>
  </si>
  <si>
    <t>Cycle Length (monthly)</t>
  </si>
  <si>
    <t>Days per Month</t>
  </si>
  <si>
    <t>Survival Model - OS</t>
  </si>
  <si>
    <t>Survival Model - PFS</t>
  </si>
  <si>
    <t>Per Cent Female</t>
  </si>
  <si>
    <t>PFS Utility</t>
  </si>
  <si>
    <t>PD Utility</t>
  </si>
  <si>
    <t>PFS Cost Annually</t>
  </si>
  <si>
    <t>PD Cost Annually</t>
  </si>
  <si>
    <t>Treatment Acquisition Cost (Annually)</t>
  </si>
  <si>
    <t>Mortality Rates</t>
  </si>
  <si>
    <t>Reference:</t>
  </si>
  <si>
    <t>Male (qx)</t>
  </si>
  <si>
    <t>Female (qx)</t>
  </si>
  <si>
    <t>Weighted Average</t>
  </si>
  <si>
    <t>Per Cycle</t>
  </si>
  <si>
    <t>National Life Tables, England &amp; Wales, 2021-2023</t>
  </si>
  <si>
    <t>Min Time Horizon (5 Years / 60 Months)</t>
  </si>
  <si>
    <t>Max Time Horizon (in Years)</t>
  </si>
  <si>
    <t>OS in use</t>
  </si>
  <si>
    <t>OS BGM</t>
  </si>
  <si>
    <t>Health State Occupancy</t>
  </si>
  <si>
    <t>PD</t>
  </si>
  <si>
    <t>Dead</t>
  </si>
  <si>
    <t>Check</t>
  </si>
  <si>
    <t>Undiscounted LY PFS</t>
  </si>
  <si>
    <t>Undiscounted LY PD</t>
  </si>
  <si>
    <t>PFS LY (Discounted)</t>
  </si>
  <si>
    <t>PD LY (Discounted)</t>
  </si>
  <si>
    <t>Total QALYs</t>
  </si>
  <si>
    <t>PFS QALYs</t>
  </si>
  <si>
    <t>PD QALYs</t>
  </si>
  <si>
    <t>Total QALYs (Discounted)</t>
  </si>
  <si>
    <t>PFS QALYs (Discounted)</t>
  </si>
  <si>
    <t>PD QALYs (Discounted)</t>
  </si>
  <si>
    <t>Total Costs (Undiscounted)</t>
  </si>
  <si>
    <t>PFS Costs (Undiscounted)</t>
  </si>
  <si>
    <t>PD Costs (Undiscounted)</t>
  </si>
  <si>
    <t>Drug Acquisition Costs (Undiscounted)</t>
  </si>
  <si>
    <t>Total Costs (Discounted)</t>
  </si>
  <si>
    <t>PFS Costs (Discounted)</t>
  </si>
  <si>
    <t>PD Costs (Discounted)</t>
  </si>
  <si>
    <t>Drug Acquisition Costs (Discounted)</t>
  </si>
  <si>
    <t>Total Undiscounted LYs</t>
  </si>
  <si>
    <t>Total LYs (Discounted)</t>
  </si>
  <si>
    <t>Distributions in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</si>
</sst>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%"/>
    <numFmt numFmtId="167" formatCode="&quot;£&quot;#,##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C49A"/>
        <bgColor indexed="64"/>
      </patternFill>
    </fill>
    <fill>
      <patternFill patternType="solid">
        <fgColor rgb="FFD645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BD5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/>
    <xf numFmtId="164" fontId="0" fillId="0" borderId="0" xfId="0" applyNumberFormat="1"/>
    <xf numFmtId="10" fontId="0" fillId="0" borderId="0" xfId="0" applyNumberFormat="1"/>
    <xf numFmtId="9" fontId="0" fillId="0" borderId="0" xfId="0" applyNumberFormat="1"/>
    <xf numFmtId="9" fontId="0" fillId="0" borderId="0" xfId="1" applyFont="1"/>
    <xf numFmtId="0" fontId="0" fillId="0" borderId="2" xfId="0" applyBorder="1"/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2" borderId="1" xfId="0" applyFont="1" applyFill="1" applyBorder="1"/>
    <xf numFmtId="0" fontId="6" fillId="2" borderId="1" xfId="0" applyFont="1" applyFill="1" applyBorder="1"/>
    <xf numFmtId="0" fontId="6" fillId="0" borderId="0" xfId="0" applyFont="1"/>
    <xf numFmtId="0" fontId="0" fillId="0" borderId="4" xfId="0" applyBorder="1"/>
    <xf numFmtId="0" fontId="0" fillId="0" borderId="5" xfId="0" applyBorder="1"/>
    <xf numFmtId="2" fontId="0" fillId="0" borderId="0" xfId="0" applyNumberFormat="1"/>
    <xf numFmtId="0" fontId="3" fillId="3" borderId="6" xfId="0" applyFont="1" applyFill="1" applyBorder="1"/>
    <xf numFmtId="0" fontId="7" fillId="0" borderId="4" xfId="0" applyFont="1" applyBorder="1"/>
    <xf numFmtId="166" fontId="0" fillId="0" borderId="0" xfId="1" applyNumberFormat="1" applyFont="1"/>
    <xf numFmtId="10" fontId="0" fillId="0" borderId="0" xfId="1" applyNumberFormat="1" applyFont="1"/>
    <xf numFmtId="10" fontId="0" fillId="0" borderId="2" xfId="1" applyNumberFormat="1" applyFont="1" applyBorder="1"/>
    <xf numFmtId="10" fontId="0" fillId="0" borderId="2" xfId="0" applyNumberFormat="1" applyBorder="1"/>
    <xf numFmtId="167" fontId="0" fillId="0" borderId="0" xfId="0" applyNumberFormat="1"/>
    <xf numFmtId="0" fontId="2" fillId="5" borderId="0" xfId="0" applyFont="1" applyFill="1"/>
    <xf numFmtId="0" fontId="4" fillId="5" borderId="0" xfId="0" applyFont="1" applyFill="1"/>
    <xf numFmtId="0" fontId="2" fillId="5" borderId="4" xfId="0" applyFont="1" applyFill="1" applyBorder="1"/>
    <xf numFmtId="0" fontId="4" fillId="5" borderId="4" xfId="0" applyFont="1" applyFill="1" applyBorder="1"/>
    <xf numFmtId="0" fontId="3" fillId="3" borderId="4" xfId="0" applyFont="1" applyFill="1" applyBorder="1"/>
    <xf numFmtId="167" fontId="3" fillId="3" borderId="4" xfId="0" applyNumberFormat="1" applyFont="1" applyFill="1" applyBorder="1"/>
    <xf numFmtId="0" fontId="0" fillId="3" borderId="0" xfId="0" applyFill="1"/>
    <xf numFmtId="167" fontId="0" fillId="3" borderId="0" xfId="0" applyNumberFormat="1" applyFill="1"/>
    <xf numFmtId="165" fontId="3" fillId="3" borderId="4" xfId="0" applyNumberFormat="1" applyFont="1" applyFill="1" applyBorder="1"/>
    <xf numFmtId="0" fontId="5" fillId="6" borderId="3" xfId="0" applyFont="1" applyFill="1" applyBorder="1"/>
    <xf numFmtId="0" fontId="6" fillId="6" borderId="1" xfId="0" applyFont="1" applyFill="1" applyBorder="1"/>
    <xf numFmtId="0" fontId="3" fillId="6" borderId="3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6" borderId="2" xfId="0" applyFont="1" applyFill="1" applyBorder="1"/>
    <xf numFmtId="0" fontId="5" fillId="7" borderId="3" xfId="0" applyFont="1" applyFill="1" applyBorder="1"/>
    <xf numFmtId="0" fontId="6" fillId="7" borderId="1" xfId="0" applyFont="1" applyFill="1" applyBorder="1"/>
    <xf numFmtId="0" fontId="3" fillId="7" borderId="3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2" xfId="0" applyFont="1" applyFill="1" applyBorder="1"/>
    <xf numFmtId="0" fontId="8" fillId="8" borderId="3" xfId="0" applyFont="1" applyFill="1" applyBorder="1"/>
    <xf numFmtId="0" fontId="9" fillId="8" borderId="1" xfId="0" applyFont="1" applyFill="1" applyBorder="1"/>
    <xf numFmtId="0" fontId="2" fillId="8" borderId="1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D64550"/>
      <color rgb="FFFFBD59"/>
      <color rgb="FF00C49A"/>
      <color rgb="FF517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Extrabold" pitchFamily="50" charset="0"/>
                <a:ea typeface="+mn-ea"/>
                <a:cs typeface="+mn-cs"/>
              </a:defRPr>
            </a:pPr>
            <a:r>
              <a:rPr lang="en-GB" sz="1800">
                <a:latin typeface="Cabinet Grotesk Extrabold" pitchFamily="50" charset="0"/>
              </a:rPr>
              <a:t>Health State Occupancy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binet Grotesk Extrabold" pitchFamily="50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v>PFS</c:v>
          </c:tx>
          <c:spPr>
            <a:solidFill>
              <a:srgbClr val="00C49A"/>
            </a:solidFill>
            <a:ln>
              <a:noFill/>
            </a:ln>
            <a:effectLst/>
          </c:spPr>
          <c:val>
            <c:numRef>
              <c:f>Engine!$Y$9:$Y$609</c:f>
              <c:numCache>
                <c:formatCode>0.00%</c:formatCode>
                <c:ptCount val="601"/>
                <c:pt idx="0">
                  <c:v>1</c:v>
                </c:pt>
                <c:pt idx="1">
                  <c:v>0.98725106127536111</c:v>
                </c:pt>
                <c:pt idx="2">
                  <c:v>0.93426996897119663</c:v>
                </c:pt>
                <c:pt idx="3">
                  <c:v>0.87921561980587071</c:v>
                </c:pt>
                <c:pt idx="4">
                  <c:v>0.82866539729441224</c:v>
                </c:pt>
                <c:pt idx="5">
                  <c:v>0.78317567870341764</c:v>
                </c:pt>
                <c:pt idx="6">
                  <c:v>0.74230304986590578</c:v>
                </c:pt>
                <c:pt idx="7">
                  <c:v>0.70545571639203641</c:v>
                </c:pt>
                <c:pt idx="8">
                  <c:v>0.67208175432204886</c:v>
                </c:pt>
                <c:pt idx="9">
                  <c:v>0.64170670419126774</c:v>
                </c:pt>
                <c:pt idx="10">
                  <c:v>0.61393236075321456</c:v>
                </c:pt>
                <c:pt idx="11">
                  <c:v>0.58842626372698636</c:v>
                </c:pt>
                <c:pt idx="12">
                  <c:v>0.56491028780689101</c:v>
                </c:pt>
                <c:pt idx="13">
                  <c:v>0.54315060733585918</c:v>
                </c:pt>
                <c:pt idx="14">
                  <c:v>0.52294943822894879</c:v>
                </c:pt>
                <c:pt idx="15">
                  <c:v>0.5041384056062217</c:v>
                </c:pt>
                <c:pt idx="16">
                  <c:v>0.48657325755936776</c:v>
                </c:pt>
                <c:pt idx="17">
                  <c:v>0.47012965213451197</c:v>
                </c:pt>
                <c:pt idx="18">
                  <c:v>0.45469978763057162</c:v>
                </c:pt>
                <c:pt idx="19">
                  <c:v>0.44018969296236521</c:v>
                </c:pt>
                <c:pt idx="20">
                  <c:v>0.42651703533037022</c:v>
                </c:pt>
                <c:pt idx="21">
                  <c:v>0.41360933493831653</c:v>
                </c:pt>
                <c:pt idx="22">
                  <c:v>0.4014025017294609</c:v>
                </c:pt>
                <c:pt idx="23">
                  <c:v>0.38983962842191122</c:v>
                </c:pt>
                <c:pt idx="24">
                  <c:v>0.37886998883013945</c:v>
                </c:pt>
                <c:pt idx="25">
                  <c:v>0.36844820166225101</c:v>
                </c:pt>
                <c:pt idx="26">
                  <c:v>0.35853352854039544</c:v>
                </c:pt>
                <c:pt idx="27">
                  <c:v>0.34908928155838548</c:v>
                </c:pt>
                <c:pt idx="28">
                  <c:v>0.34008232075633349</c:v>
                </c:pt>
                <c:pt idx="29">
                  <c:v>0.33148262582261945</c:v>
                </c:pt>
                <c:pt idx="30">
                  <c:v>0.32326292940145762</c:v>
                </c:pt>
                <c:pt idx="31">
                  <c:v>0.31539840179347611</c:v>
                </c:pt>
                <c:pt idx="32">
                  <c:v>0.30786637873980949</c:v>
                </c:pt>
                <c:pt idx="33">
                  <c:v>0.30064612549234759</c:v>
                </c:pt>
                <c:pt idx="34">
                  <c:v>0.29371863158110212</c:v>
                </c:pt>
                <c:pt idx="35">
                  <c:v>0.28706643166052004</c:v>
                </c:pt>
                <c:pt idx="36">
                  <c:v>0.28067344860078258</c:v>
                </c:pt>
                <c:pt idx="37">
                  <c:v>0.2745248556268105</c:v>
                </c:pt>
                <c:pt idx="38">
                  <c:v>0.26860695482713504</c:v>
                </c:pt>
                <c:pt idx="39">
                  <c:v>0.26290706978058798</c:v>
                </c:pt>
                <c:pt idx="40">
                  <c:v>0.25741345039936392</c:v>
                </c:pt>
                <c:pt idx="41">
                  <c:v>0.25211518837696067</c:v>
                </c:pt>
                <c:pt idx="42">
                  <c:v>0.24700214187028924</c:v>
                </c:pt>
                <c:pt idx="43">
                  <c:v>0.24206486824600493</c:v>
                </c:pt>
                <c:pt idx="44">
                  <c:v>0.23729456388914882</c:v>
                </c:pt>
                <c:pt idx="45">
                  <c:v>0.23268301021333948</c:v>
                </c:pt>
                <c:pt idx="46">
                  <c:v>0.22822252513076968</c:v>
                </c:pt>
                <c:pt idx="47">
                  <c:v>0.22390591934091852</c:v>
                </c:pt>
                <c:pt idx="48">
                  <c:v>0.21972645688233627</c:v>
                </c:pt>
                <c:pt idx="49">
                  <c:v>0.21567781946459386</c:v>
                </c:pt>
                <c:pt idx="50">
                  <c:v>0.21175407415960157</c:v>
                </c:pt>
                <c:pt idx="51">
                  <c:v>0.20794964408471284</c:v>
                </c:pt>
                <c:pt idx="52">
                  <c:v>0.20425928175570907</c:v>
                </c:pt>
                <c:pt idx="53">
                  <c:v>0.2006780448271247</c:v>
                </c:pt>
                <c:pt idx="54">
                  <c:v>0.19720127397134379</c:v>
                </c:pt>
                <c:pt idx="55">
                  <c:v>0.19382457267731934</c:v>
                </c:pt>
                <c:pt idx="56">
                  <c:v>0.19054378877528955</c:v>
                </c:pt>
                <c:pt idx="57">
                  <c:v>0.18735499751607132</c:v>
                </c:pt>
                <c:pt idx="58">
                  <c:v>0.18425448605287165</c:v>
                </c:pt>
                <c:pt idx="59">
                  <c:v>0.18123873919046496</c:v>
                </c:pt>
                <c:pt idx="60">
                  <c:v>0.17830442628140497</c:v>
                </c:pt>
                <c:pt idx="61">
                  <c:v>0.17544838916192984</c:v>
                </c:pt>
                <c:pt idx="62">
                  <c:v>0.17266763103164662</c:v>
                </c:pt>
                <c:pt idx="63">
                  <c:v>0.16995930619115029</c:v>
                </c:pt>
                <c:pt idx="64">
                  <c:v>0.16732071056061293</c:v>
                </c:pt>
                <c:pt idx="65">
                  <c:v>0.16474927291023733</c:v>
                </c:pt>
                <c:pt idx="66">
                  <c:v>0.16224254674042671</c:v>
                </c:pt>
                <c:pt idx="67">
                  <c:v>0.15979820275569789</c:v>
                </c:pt>
                <c:pt idx="68">
                  <c:v>0.15741402188184939</c:v>
                </c:pt>
                <c:pt idx="69">
                  <c:v>0.15508788878078872</c:v>
                </c:pt>
                <c:pt idx="70">
                  <c:v>0.15281778582177241</c:v>
                </c:pt>
                <c:pt idx="71">
                  <c:v>0.15060178747170827</c:v>
                </c:pt>
                <c:pt idx="72">
                  <c:v>0.148438055070646</c:v>
                </c:pt>
                <c:pt idx="73">
                  <c:v>0.14632483196169954</c:v>
                </c:pt>
                <c:pt idx="74">
                  <c:v>0.14426043894744278</c:v>
                </c:pt>
                <c:pt idx="75">
                  <c:v>0.14224327004732829</c:v>
                </c:pt>
                <c:pt idx="76">
                  <c:v>0.14027178853293765</c:v>
                </c:pt>
                <c:pt idx="77">
                  <c:v>0.13834452321990809</c:v>
                </c:pt>
                <c:pt idx="78">
                  <c:v>0.13646006499721341</c:v>
                </c:pt>
                <c:pt idx="79">
                  <c:v>0.13461706357613201</c:v>
                </c:pt>
                <c:pt idx="80">
                  <c:v>0.13281422444273427</c:v>
                </c:pt>
                <c:pt idx="81">
                  <c:v>0.1310503059990733</c:v>
                </c:pt>
                <c:pt idx="82">
                  <c:v>0.12932411687949719</c:v>
                </c:pt>
                <c:pt idx="83">
                  <c:v>0.12763451342960541</c:v>
                </c:pt>
                <c:pt idx="84">
                  <c:v>0.12598039733639266</c:v>
                </c:pt>
                <c:pt idx="85">
                  <c:v>0.12436071339903687</c:v>
                </c:pt>
                <c:pt idx="86">
                  <c:v>0.12277444743062771</c:v>
                </c:pt>
                <c:pt idx="87">
                  <c:v>0.12122062428189495</c:v>
                </c:pt>
                <c:pt idx="88">
                  <c:v>0.11969830597868825</c:v>
                </c:pt>
                <c:pt idx="89">
                  <c:v>0.11820658996559863</c:v>
                </c:pt>
                <c:pt idx="90">
                  <c:v>0.11674460744868909</c:v>
                </c:pt>
                <c:pt idx="91">
                  <c:v>0.11531152183083471</c:v>
                </c:pt>
                <c:pt idx="92">
                  <c:v>0.11390652723365347</c:v>
                </c:pt>
                <c:pt idx="93">
                  <c:v>0.1125288471004614</c:v>
                </c:pt>
                <c:pt idx="94">
                  <c:v>0.1111777328750867</c:v>
                </c:pt>
                <c:pt idx="95">
                  <c:v>0.10985246275175686</c:v>
                </c:pt>
                <c:pt idx="96">
                  <c:v>0.10855234049161311</c:v>
                </c:pt>
                <c:pt idx="97">
                  <c:v>0.10727669430172793</c:v>
                </c:pt>
                <c:pt idx="98">
                  <c:v>0.10602487577278541</c:v>
                </c:pt>
                <c:pt idx="99">
                  <c:v>0.10479625887186073</c:v>
                </c:pt>
                <c:pt idx="100">
                  <c:v>0.10359023898697495</c:v>
                </c:pt>
                <c:pt idx="101">
                  <c:v>0.1024062320203325</c:v>
                </c:pt>
                <c:pt idx="102">
                  <c:v>0.10124367352736108</c:v>
                </c:pt>
                <c:pt idx="103">
                  <c:v>0.10010201789886264</c:v>
                </c:pt>
                <c:pt idx="104">
                  <c:v>9.898073758376924E-2</c:v>
                </c:pt>
                <c:pt idx="105">
                  <c:v>9.7879322350160169E-2</c:v>
                </c:pt>
                <c:pt idx="106">
                  <c:v>9.679727858235343E-2</c:v>
                </c:pt>
                <c:pt idx="107">
                  <c:v>9.5734128612023683E-2</c:v>
                </c:pt>
                <c:pt idx="108">
                  <c:v>9.4689410081434611E-2</c:v>
                </c:pt>
                <c:pt idx="109">
                  <c:v>9.3662675336993129E-2</c:v>
                </c:pt>
                <c:pt idx="110">
                  <c:v>9.2653490851450249E-2</c:v>
                </c:pt>
                <c:pt idx="111">
                  <c:v>9.1661436673172947E-2</c:v>
                </c:pt>
                <c:pt idx="112">
                  <c:v>9.0686105901018776E-2</c:v>
                </c:pt>
                <c:pt idx="113">
                  <c:v>8.9727104183424777E-2</c:v>
                </c:pt>
                <c:pt idx="114">
                  <c:v>8.8784049240419605E-2</c:v>
                </c:pt>
                <c:pt idx="115">
                  <c:v>8.7856570407336521E-2</c:v>
                </c:pt>
                <c:pt idx="116">
                  <c:v>8.6944308199083831E-2</c:v>
                </c:pt>
                <c:pt idx="117">
                  <c:v>8.6046913893897847E-2</c:v>
                </c:pt>
                <c:pt idx="118">
                  <c:v>8.5164049135567299E-2</c:v>
                </c:pt>
                <c:pt idx="119">
                  <c:v>8.4295385553174174E-2</c:v>
                </c:pt>
                <c:pt idx="120">
                  <c:v>8.3440604397459595E-2</c:v>
                </c:pt>
                <c:pt idx="121">
                  <c:v>8.2599396192966745E-2</c:v>
                </c:pt>
                <c:pt idx="122">
                  <c:v>8.1771460405168805E-2</c:v>
                </c:pt>
                <c:pt idx="123">
                  <c:v>8.0956505121831168E-2</c:v>
                </c:pt>
                <c:pt idx="124">
                  <c:v>8.0154246747900837E-2</c:v>
                </c:pt>
                <c:pt idx="125">
                  <c:v>7.9364409713257311E-2</c:v>
                </c:pt>
                <c:pt idx="126">
                  <c:v>7.8586726192694689E-2</c:v>
                </c:pt>
                <c:pt idx="127">
                  <c:v>7.7820935837541239E-2</c:v>
                </c:pt>
                <c:pt idx="128">
                  <c:v>7.7066785518354441E-2</c:v>
                </c:pt>
                <c:pt idx="129">
                  <c:v>7.6324029078161493E-2</c:v>
                </c:pt>
                <c:pt idx="130">
                  <c:v>7.5592427095742876E-2</c:v>
                </c:pt>
                <c:pt idx="131">
                  <c:v>7.4871746658485505E-2</c:v>
                </c:pt>
                <c:pt idx="132">
                  <c:v>7.4161761144355798E-2</c:v>
                </c:pt>
                <c:pt idx="133">
                  <c:v>7.346225001256701E-2</c:v>
                </c:pt>
                <c:pt idx="134">
                  <c:v>7.2772998602540162E-2</c:v>
                </c:pt>
                <c:pt idx="135">
                  <c:v>7.209379794077575E-2</c:v>
                </c:pt>
                <c:pt idx="136">
                  <c:v>7.1424444555275191E-2</c:v>
                </c:pt>
                <c:pt idx="137">
                  <c:v>7.0764740297170392E-2</c:v>
                </c:pt>
                <c:pt idx="138">
                  <c:v>7.0114492169235598E-2</c:v>
                </c:pt>
                <c:pt idx="139">
                  <c:v>6.9473512160973749E-2</c:v>
                </c:pt>
                <c:pt idx="140">
                  <c:v>6.8841617089984375E-2</c:v>
                </c:pt>
                <c:pt idx="141">
                  <c:v>6.8218628449337237E-2</c:v>
                </c:pt>
                <c:pt idx="142">
                  <c:v>6.7604372260685275E-2</c:v>
                </c:pt>
                <c:pt idx="143">
                  <c:v>6.6998678932867595E-2</c:v>
                </c:pt>
                <c:pt idx="144">
                  <c:v>6.6401383125766156E-2</c:v>
                </c:pt>
                <c:pt idx="145">
                  <c:v>6.5812323619185986E-2</c:v>
                </c:pt>
                <c:pt idx="146">
                  <c:v>6.5231343186547885E-2</c:v>
                </c:pt>
                <c:pt idx="147">
                  <c:v>6.4658288473185999E-2</c:v>
                </c:pt>
                <c:pt idx="148">
                  <c:v>6.4093009879055973E-2</c:v>
                </c:pt>
                <c:pt idx="149">
                  <c:v>6.3535361445669514E-2</c:v>
                </c:pt>
                <c:pt idx="150">
                  <c:v>6.2985200747077696E-2</c:v>
                </c:pt>
                <c:pt idx="151">
                  <c:v>6.2442388784734848E-2</c:v>
                </c:pt>
                <c:pt idx="152">
                  <c:v>6.1906789886082114E-2</c:v>
                </c:pt>
                <c:pt idx="153">
                  <c:v>6.1378271606701507E-2</c:v>
                </c:pt>
                <c:pt idx="154">
                  <c:v>6.0856704635889325E-2</c:v>
                </c:pt>
                <c:pt idx="155">
                  <c:v>6.0341962705514285E-2</c:v>
                </c:pt>
                <c:pt idx="156">
                  <c:v>5.9833922502028014E-2</c:v>
                </c:pt>
                <c:pt idx="157">
                  <c:v>5.933246358149713E-2</c:v>
                </c:pt>
                <c:pt idx="158">
                  <c:v>5.8837468287542882E-2</c:v>
                </c:pt>
                <c:pt idx="159">
                  <c:v>5.8348821672068008E-2</c:v>
                </c:pt>
                <c:pt idx="160">
                  <c:v>5.7866411418662778E-2</c:v>
                </c:pt>
                <c:pt idx="161">
                  <c:v>5.7390127768585986E-2</c:v>
                </c:pt>
                <c:pt idx="162">
                  <c:v>5.6919863449219399E-2</c:v>
                </c:pt>
                <c:pt idx="163">
                  <c:v>5.6455513604900198E-2</c:v>
                </c:pt>
                <c:pt idx="164">
                  <c:v>5.5996975730039811E-2</c:v>
                </c:pt>
                <c:pt idx="165">
                  <c:v>5.5544149604441873E-2</c:v>
                </c:pt>
                <c:pt idx="166">
                  <c:v>5.5096937230734944E-2</c:v>
                </c:pt>
                <c:pt idx="167">
                  <c:v>5.4655242773839707E-2</c:v>
                </c:pt>
                <c:pt idx="168">
                  <c:v>5.4218972502394935E-2</c:v>
                </c:pt>
                <c:pt idx="169">
                  <c:v>5.3788034732067613E-2</c:v>
                </c:pt>
                <c:pt idx="170">
                  <c:v>5.336233977067828E-2</c:v>
                </c:pt>
                <c:pt idx="171">
                  <c:v>5.2941799865071748E-2</c:v>
                </c:pt>
                <c:pt idx="172">
                  <c:v>5.2526329149673145E-2</c:v>
                </c:pt>
                <c:pt idx="173">
                  <c:v>5.2115843596662104E-2</c:v>
                </c:pt>
                <c:pt idx="174">
                  <c:v>5.1710260967710475E-2</c:v>
                </c:pt>
                <c:pt idx="175">
                  <c:v>5.1309500767224403E-2</c:v>
                </c:pt>
                <c:pt idx="176">
                  <c:v>5.0913484197036563E-2</c:v>
                </c:pt>
                <c:pt idx="177">
                  <c:v>5.0522134112498174E-2</c:v>
                </c:pt>
                <c:pt idx="178">
                  <c:v>5.0135374979917713E-2</c:v>
                </c:pt>
                <c:pt idx="179">
                  <c:v>4.9753132835301361E-2</c:v>
                </c:pt>
                <c:pt idx="180">
                  <c:v>4.9375335244347562E-2</c:v>
                </c:pt>
                <c:pt idx="181">
                  <c:v>4.9001911263651721E-2</c:v>
                </c:pt>
                <c:pt idx="182">
                  <c:v>4.8632791403078302E-2</c:v>
                </c:pt>
                <c:pt idx="183">
                  <c:v>4.8267907589260806E-2</c:v>
                </c:pt>
                <c:pt idx="184">
                  <c:v>4.790719313018954E-2</c:v>
                </c:pt>
                <c:pt idx="185">
                  <c:v>4.7550582680849107E-2</c:v>
                </c:pt>
                <c:pt idx="186">
                  <c:v>4.7198012209870965E-2</c:v>
                </c:pt>
                <c:pt idx="187">
                  <c:v>4.6849418967165768E-2</c:v>
                </c:pt>
                <c:pt idx="188">
                  <c:v>4.6504741452501164E-2</c:v>
                </c:pt>
                <c:pt idx="189">
                  <c:v>4.6163919384994312E-2</c:v>
                </c:pt>
                <c:pt idx="190">
                  <c:v>4.5826893673488134E-2</c:v>
                </c:pt>
                <c:pt idx="191">
                  <c:v>4.5493606387781216E-2</c:v>
                </c:pt>
                <c:pt idx="192">
                  <c:v>4.5164000730682718E-2</c:v>
                </c:pt>
                <c:pt idx="193">
                  <c:v>4.4838021010865425E-2</c:v>
                </c:pt>
                <c:pt idx="194">
                  <c:v>4.4515612616490285E-2</c:v>
                </c:pt>
                <c:pt idx="195">
                  <c:v>4.4196721989577581E-2</c:v>
                </c:pt>
                <c:pt idx="196">
                  <c:v>4.3881296601098518E-2</c:v>
                </c:pt>
                <c:pt idx="197">
                  <c:v>4.3569284926766483E-2</c:v>
                </c:pt>
                <c:pt idx="198">
                  <c:v>4.326063642350253E-2</c:v>
                </c:pt>
                <c:pt idx="199">
                  <c:v>4.2955301506555577E-2</c:v>
                </c:pt>
                <c:pt idx="200">
                  <c:v>4.265323152725442E-2</c:v>
                </c:pt>
                <c:pt idx="201">
                  <c:v>4.2354378751372823E-2</c:v>
                </c:pt>
                <c:pt idx="202">
                  <c:v>4.2058696338086787E-2</c:v>
                </c:pt>
                <c:pt idx="203">
                  <c:v>4.1766138319506596E-2</c:v>
                </c:pt>
                <c:pt idx="204">
                  <c:v>4.1476659580764297E-2</c:v>
                </c:pt>
                <c:pt idx="205">
                  <c:v>4.1190215840640088E-2</c:v>
                </c:pt>
                <c:pt idx="206">
                  <c:v>4.0906763632709842E-2</c:v>
                </c:pt>
                <c:pt idx="207">
                  <c:v>4.0626260286998117E-2</c:v>
                </c:pt>
                <c:pt idx="208">
                  <c:v>4.0348663912121108E-2</c:v>
                </c:pt>
                <c:pt idx="209">
                  <c:v>4.0073933377904325E-2</c:v>
                </c:pt>
                <c:pt idx="210">
                  <c:v>3.9802028298459025E-2</c:v>
                </c:pt>
                <c:pt idx="211">
                  <c:v>3.9532909015705942E-2</c:v>
                </c:pt>
                <c:pt idx="212">
                  <c:v>3.9266536583330458E-2</c:v>
                </c:pt>
                <c:pt idx="213">
                  <c:v>3.9002872751157436E-2</c:v>
                </c:pt>
                <c:pt idx="214">
                  <c:v>3.8741879949931834E-2</c:v>
                </c:pt>
                <c:pt idx="215">
                  <c:v>3.8483521276494237E-2</c:v>
                </c:pt>
                <c:pt idx="216">
                  <c:v>3.8227760479338291E-2</c:v>
                </c:pt>
                <c:pt idx="217">
                  <c:v>3.7974561944539853E-2</c:v>
                </c:pt>
                <c:pt idx="218">
                  <c:v>3.7723890682044736E-2</c:v>
                </c:pt>
                <c:pt idx="219">
                  <c:v>3.7475712312307952E-2</c:v>
                </c:pt>
                <c:pt idx="220">
                  <c:v>3.722999305326935E-2</c:v>
                </c:pt>
                <c:pt idx="221">
                  <c:v>3.6986699707660442E-2</c:v>
                </c:pt>
                <c:pt idx="222">
                  <c:v>3.6745799650630184E-2</c:v>
                </c:pt>
                <c:pt idx="223">
                  <c:v>3.6507260817679521E-2</c:v>
                </c:pt>
                <c:pt idx="224">
                  <c:v>3.627105169289957E-2</c:v>
                </c:pt>
                <c:pt idx="225">
                  <c:v>3.6037141297499686E-2</c:v>
                </c:pt>
                <c:pt idx="226">
                  <c:v>3.5805499178621636E-2</c:v>
                </c:pt>
                <c:pt idx="227">
                  <c:v>3.5576095398428098E-2</c:v>
                </c:pt>
                <c:pt idx="228">
                  <c:v>3.5348900523460847E-2</c:v>
                </c:pt>
                <c:pt idx="229">
                  <c:v>3.5123885614257166E-2</c:v>
                </c:pt>
                <c:pt idx="230">
                  <c:v>3.4901022215221955E-2</c:v>
                </c:pt>
                <c:pt idx="231">
                  <c:v>3.4680282344743518E-2</c:v>
                </c:pt>
                <c:pt idx="232">
                  <c:v>3.4461638485549284E-2</c:v>
                </c:pt>
                <c:pt idx="233">
                  <c:v>3.4245063575293999E-2</c:v>
                </c:pt>
                <c:pt idx="234">
                  <c:v>3.4030530997373631E-2</c:v>
                </c:pt>
                <c:pt idx="235">
                  <c:v>3.3818014571958765E-2</c:v>
                </c:pt>
                <c:pt idx="236">
                  <c:v>3.3607488547240938E-2</c:v>
                </c:pt>
                <c:pt idx="237">
                  <c:v>3.3398927590888361E-2</c:v>
                </c:pt>
                <c:pt idx="238">
                  <c:v>3.3192306781701597E-2</c:v>
                </c:pt>
                <c:pt idx="239">
                  <c:v>3.2987601601466521E-2</c:v>
                </c:pt>
                <c:pt idx="240">
                  <c:v>3.2784787926998682E-2</c:v>
                </c:pt>
                <c:pt idx="241">
                  <c:v>3.2583842022372966E-2</c:v>
                </c:pt>
                <c:pt idx="242">
                  <c:v>3.2384740531334666E-2</c:v>
                </c:pt>
                <c:pt idx="243">
                  <c:v>3.2187460469885854E-2</c:v>
                </c:pt>
                <c:pt idx="244">
                  <c:v>3.199197921904362E-2</c:v>
                </c:pt>
                <c:pt idx="245">
                  <c:v>3.1798274517764735E-2</c:v>
                </c:pt>
                <c:pt idx="246">
                  <c:v>3.1606324456033286E-2</c:v>
                </c:pt>
                <c:pt idx="247">
                  <c:v>3.1416107468104526E-2</c:v>
                </c:pt>
                <c:pt idx="248">
                  <c:v>3.1227602325904824E-2</c:v>
                </c:pt>
                <c:pt idx="249">
                  <c:v>3.1040788132579489E-2</c:v>
                </c:pt>
                <c:pt idx="250">
                  <c:v>3.0855644316187592E-2</c:v>
                </c:pt>
                <c:pt idx="251">
                  <c:v>3.0672150623537897E-2</c:v>
                </c:pt>
                <c:pt idx="252">
                  <c:v>3.0490287114163794E-2</c:v>
                </c:pt>
                <c:pt idx="253">
                  <c:v>3.0310034154433008E-2</c:v>
                </c:pt>
                <c:pt idx="254">
                  <c:v>3.0131372411787538E-2</c:v>
                </c:pt>
                <c:pt idx="255">
                  <c:v>2.9954282849112723E-2</c:v>
                </c:pt>
                <c:pt idx="256">
                  <c:v>2.977874671923042E-2</c:v>
                </c:pt>
                <c:pt idx="257">
                  <c:v>2.9604745559512979E-2</c:v>
                </c:pt>
                <c:pt idx="258">
                  <c:v>2.943226118661646E-2</c:v>
                </c:pt>
                <c:pt idx="259">
                  <c:v>2.9261275691328748E-2</c:v>
                </c:pt>
                <c:pt idx="260">
                  <c:v>2.9091771433529812E-2</c:v>
                </c:pt>
                <c:pt idx="261">
                  <c:v>2.8923731037261979E-2</c:v>
                </c:pt>
                <c:pt idx="262">
                  <c:v>2.8757137385906573E-2</c:v>
                </c:pt>
                <c:pt idx="263">
                  <c:v>2.8591973617464905E-2</c:v>
                </c:pt>
                <c:pt idx="264">
                  <c:v>2.8428223119940865E-2</c:v>
                </c:pt>
                <c:pt idx="265">
                  <c:v>2.8265869526822529E-2</c:v>
                </c:pt>
                <c:pt idx="266">
                  <c:v>2.8104896712659921E-2</c:v>
                </c:pt>
                <c:pt idx="267">
                  <c:v>2.7945288788737255E-2</c:v>
                </c:pt>
                <c:pt idx="268">
                  <c:v>2.7787030098837207E-2</c:v>
                </c:pt>
                <c:pt idx="269">
                  <c:v>2.7630105215094347E-2</c:v>
                </c:pt>
                <c:pt idx="270">
                  <c:v>2.7474498933936498E-2</c:v>
                </c:pt>
                <c:pt idx="271">
                  <c:v>2.7320196272110797E-2</c:v>
                </c:pt>
                <c:pt idx="272">
                  <c:v>2.7167182462793482E-2</c:v>
                </c:pt>
                <c:pt idx="273">
                  <c:v>2.7015442951780155E-2</c:v>
                </c:pt>
                <c:pt idx="274">
                  <c:v>2.6864963393756436E-2</c:v>
                </c:pt>
                <c:pt idx="275">
                  <c:v>2.6715729648644992E-2</c:v>
                </c:pt>
                <c:pt idx="276">
                  <c:v>2.6567727778028294E-2</c:v>
                </c:pt>
                <c:pt idx="277">
                  <c:v>2.6420944041644967E-2</c:v>
                </c:pt>
                <c:pt idx="278">
                  <c:v>2.6266054080371987E-2</c:v>
                </c:pt>
                <c:pt idx="279">
                  <c:v>2.611207214494643E-2</c:v>
                </c:pt>
                <c:pt idx="280">
                  <c:v>2.5958992912163793E-2</c:v>
                </c:pt>
                <c:pt idx="281">
                  <c:v>2.5806811090026287E-2</c:v>
                </c:pt>
                <c:pt idx="282">
                  <c:v>2.5655521417559897E-2</c:v>
                </c:pt>
                <c:pt idx="283">
                  <c:v>2.5505118664632506E-2</c:v>
                </c:pt>
                <c:pt idx="284">
                  <c:v>2.5355597631773086E-2</c:v>
                </c:pt>
                <c:pt idx="285">
                  <c:v>2.5206953149991954E-2</c:v>
                </c:pt>
                <c:pt idx="286">
                  <c:v>2.5059180080602077E-2</c:v>
                </c:pt>
                <c:pt idx="287">
                  <c:v>2.4912273315041426E-2</c:v>
                </c:pt>
                <c:pt idx="288">
                  <c:v>2.4766227774696364E-2</c:v>
                </c:pt>
                <c:pt idx="289">
                  <c:v>2.4621038410726093E-2</c:v>
                </c:pt>
                <c:pt idx="290">
                  <c:v>2.4458197823759645E-2</c:v>
                </c:pt>
                <c:pt idx="291">
                  <c:v>2.4296434244851152E-2</c:v>
                </c:pt>
                <c:pt idx="292">
                  <c:v>2.4135740550798847E-2</c:v>
                </c:pt>
                <c:pt idx="293">
                  <c:v>2.3976109665512963E-2</c:v>
                </c:pt>
                <c:pt idx="294">
                  <c:v>2.3817534559704139E-2</c:v>
                </c:pt>
                <c:pt idx="295">
                  <c:v>2.3660008250573884E-2</c:v>
                </c:pt>
                <c:pt idx="296">
                  <c:v>2.3503523801507106E-2</c:v>
                </c:pt>
                <c:pt idx="297">
                  <c:v>2.3348074321766644E-2</c:v>
                </c:pt>
                <c:pt idx="298">
                  <c:v>2.3193652966189846E-2</c:v>
                </c:pt>
                <c:pt idx="299">
                  <c:v>2.3040252934887141E-2</c:v>
                </c:pt>
                <c:pt idx="300">
                  <c:v>2.2887867472942615E-2</c:v>
                </c:pt>
                <c:pt idx="301">
                  <c:v>2.2736489870116547E-2</c:v>
                </c:pt>
                <c:pt idx="302">
                  <c:v>2.2567110474843492E-2</c:v>
                </c:pt>
                <c:pt idx="303">
                  <c:v>2.2398992900533432E-2</c:v>
                </c:pt>
                <c:pt idx="304">
                  <c:v>2.2232127747033887E-2</c:v>
                </c:pt>
                <c:pt idx="305">
                  <c:v>2.206650568422043E-2</c:v>
                </c:pt>
                <c:pt idx="306">
                  <c:v>2.1902117451475005E-2</c:v>
                </c:pt>
                <c:pt idx="307">
                  <c:v>2.173895385716812E-2</c:v>
                </c:pt>
                <c:pt idx="308">
                  <c:v>2.1577005778144913E-2</c:v>
                </c:pt>
                <c:pt idx="309">
                  <c:v>2.1416264159215031E-2</c:v>
                </c:pt>
                <c:pt idx="310">
                  <c:v>2.1256720012646321E-2</c:v>
                </c:pt>
                <c:pt idx="311">
                  <c:v>2.1098364417662292E-2</c:v>
                </c:pt>
                <c:pt idx="312">
                  <c:v>2.0941188519943307E-2</c:v>
                </c:pt>
                <c:pt idx="313">
                  <c:v>2.0785183531131509E-2</c:v>
                </c:pt>
                <c:pt idx="314">
                  <c:v>2.0609443985800367E-2</c:v>
                </c:pt>
                <c:pt idx="315">
                  <c:v>2.0435190325246089E-2</c:v>
                </c:pt>
                <c:pt idx="316">
                  <c:v>2.0262409986254365E-2</c:v>
                </c:pt>
                <c:pt idx="317">
                  <c:v>2.0091090511833363E-2</c:v>
                </c:pt>
                <c:pt idx="318">
                  <c:v>1.9921219550315603E-2</c:v>
                </c:pt>
                <c:pt idx="319">
                  <c:v>1.9752784854467444E-2</c:v>
                </c:pt>
                <c:pt idx="320">
                  <c:v>1.9585774280606084E-2</c:v>
                </c:pt>
                <c:pt idx="321">
                  <c:v>1.942017578772404E-2</c:v>
                </c:pt>
                <c:pt idx="322">
                  <c:v>1.9255977436621021E-2</c:v>
                </c:pt>
                <c:pt idx="323">
                  <c:v>1.9093167389043143E-2</c:v>
                </c:pt>
                <c:pt idx="324">
                  <c:v>1.8931733906829423E-2</c:v>
                </c:pt>
                <c:pt idx="325">
                  <c:v>1.8771665351065499E-2</c:v>
                </c:pt>
                <c:pt idx="326">
                  <c:v>1.8591963672400215E-2</c:v>
                </c:pt>
                <c:pt idx="327">
                  <c:v>1.8413982282942689E-2</c:v>
                </c:pt>
                <c:pt idx="328">
                  <c:v>1.823770471431611E-2</c:v>
                </c:pt>
                <c:pt idx="329">
                  <c:v>1.8063114655795895E-2</c:v>
                </c:pt>
                <c:pt idx="330">
                  <c:v>1.7890195952800489E-2</c:v>
                </c:pt>
                <c:pt idx="331">
                  <c:v>1.7718932605396597E-2</c:v>
                </c:pt>
                <c:pt idx="332">
                  <c:v>1.7549308766818733E-2</c:v>
                </c:pt>
                <c:pt idx="333">
                  <c:v>1.7381308742002943E-2</c:v>
                </c:pt>
                <c:pt idx="334">
                  <c:v>1.7214916986134556E-2</c:v>
                </c:pt>
                <c:pt idx="335">
                  <c:v>1.7050118103209853E-2</c:v>
                </c:pt>
                <c:pt idx="336">
                  <c:v>1.688689684461149E-2</c:v>
                </c:pt>
                <c:pt idx="337">
                  <c:v>1.6725238107697563E-2</c:v>
                </c:pt>
                <c:pt idx="338">
                  <c:v>1.6542096915009161E-2</c:v>
                </c:pt>
                <c:pt idx="339">
                  <c:v>1.6360961116578428E-2</c:v>
                </c:pt>
                <c:pt idx="340">
                  <c:v>1.6181808753357979E-2</c:v>
                </c:pt>
                <c:pt idx="341">
                  <c:v>1.6004618106751779E-2</c:v>
                </c:pt>
                <c:pt idx="342">
                  <c:v>1.5829367695982206E-2</c:v>
                </c:pt>
                <c:pt idx="343">
                  <c:v>1.5656036275485945E-2</c:v>
                </c:pt>
                <c:pt idx="344">
                  <c:v>1.5484602832338384E-2</c:v>
                </c:pt>
                <c:pt idx="345">
                  <c:v>1.5315046583706235E-2</c:v>
                </c:pt>
                <c:pt idx="346">
                  <c:v>1.5147346974328027E-2</c:v>
                </c:pt>
                <c:pt idx="347">
                  <c:v>1.4981483674022201E-2</c:v>
                </c:pt>
                <c:pt idx="348">
                  <c:v>1.4817436575222484E-2</c:v>
                </c:pt>
                <c:pt idx="349">
                  <c:v>1.4655185790540258E-2</c:v>
                </c:pt>
                <c:pt idx="350">
                  <c:v>1.4475248280183385E-2</c:v>
                </c:pt>
                <c:pt idx="351">
                  <c:v>1.4297520056566112E-2</c:v>
                </c:pt>
                <c:pt idx="352">
                  <c:v>1.4121973993894112E-2</c:v>
                </c:pt>
                <c:pt idx="353">
                  <c:v>1.3948583299425671E-2</c:v>
                </c:pt>
                <c:pt idx="354">
                  <c:v>1.3777321509382434E-2</c:v>
                </c:pt>
                <c:pt idx="355">
                  <c:v>1.3608162484910381E-2</c:v>
                </c:pt>
                <c:pt idx="356">
                  <c:v>1.344108040809037E-2</c:v>
                </c:pt>
                <c:pt idx="357">
                  <c:v>1.3276049777997678E-2</c:v>
                </c:pt>
                <c:pt idx="358">
                  <c:v>1.3113045406809918E-2</c:v>
                </c:pt>
                <c:pt idx="359">
                  <c:v>1.2952042415962742E-2</c:v>
                </c:pt>
                <c:pt idx="360">
                  <c:v>1.2793016232352752E-2</c:v>
                </c:pt>
                <c:pt idx="361">
                  <c:v>1.2635942584587024E-2</c:v>
                </c:pt>
                <c:pt idx="362">
                  <c:v>1.2458653296264372E-2</c:v>
                </c:pt>
                <c:pt idx="363">
                  <c:v>1.2283851475065249E-2</c:v>
                </c:pt>
                <c:pt idx="364">
                  <c:v>1.2111502220445188E-2</c:v>
                </c:pt>
                <c:pt idx="365">
                  <c:v>1.1941571121533733E-2</c:v>
                </c:pt>
                <c:pt idx="366">
                  <c:v>1.177402425026404E-2</c:v>
                </c:pt>
                <c:pt idx="367">
                  <c:v>1.1608828154598877E-2</c:v>
                </c:pt>
                <c:pt idx="368">
                  <c:v>1.1445949851851663E-2</c:v>
                </c:pt>
                <c:pt idx="369">
                  <c:v>1.1285356822101215E-2</c:v>
                </c:pt>
                <c:pt idx="370">
                  <c:v>1.1127017001698897E-2</c:v>
                </c:pt>
                <c:pt idx="371">
                  <c:v>1.0970898776866862E-2</c:v>
                </c:pt>
                <c:pt idx="372">
                  <c:v>1.0816970977386113E-2</c:v>
                </c:pt>
                <c:pt idx="373">
                  <c:v>1.0665202870373126E-2</c:v>
                </c:pt>
                <c:pt idx="374">
                  <c:v>1.0497485772213044E-2</c:v>
                </c:pt>
                <c:pt idx="375">
                  <c:v>1.0332406132088887E-2</c:v>
                </c:pt>
                <c:pt idx="376">
                  <c:v>1.0169922474295628E-2</c:v>
                </c:pt>
                <c:pt idx="377">
                  <c:v>1.0009993975360081E-2</c:v>
                </c:pt>
                <c:pt idx="378">
                  <c:v>9.8525804537841367E-3</c:v>
                </c:pt>
                <c:pt idx="379">
                  <c:v>9.6976423599493024E-3</c:v>
                </c:pt>
                <c:pt idx="380">
                  <c:v>9.5451407661799863E-3</c:v>
                </c:pt>
                <c:pt idx="381">
                  <c:v>9.3950373569630548E-3</c:v>
                </c:pt>
                <c:pt idx="382">
                  <c:v>9.2472944193211868E-3</c:v>
                </c:pt>
                <c:pt idx="383">
                  <c:v>9.1018748333376136E-3</c:v>
                </c:pt>
                <c:pt idx="384">
                  <c:v>8.9587420628298685E-3</c:v>
                </c:pt>
                <c:pt idx="385">
                  <c:v>8.8178601461701873E-3</c:v>
                </c:pt>
                <c:pt idx="386">
                  <c:v>8.6608596353085071E-3</c:v>
                </c:pt>
                <c:pt idx="387">
                  <c:v>8.5066544920305975E-3</c:v>
                </c:pt>
                <c:pt idx="388">
                  <c:v>8.3551949452886735E-3</c:v>
                </c:pt>
                <c:pt idx="389">
                  <c:v>8.2064321102000518E-3</c:v>
                </c:pt>
                <c:pt idx="390">
                  <c:v>8.0603179722691289E-3</c:v>
                </c:pt>
                <c:pt idx="391">
                  <c:v>7.9168053718902884E-3</c:v>
                </c:pt>
                <c:pt idx="392">
                  <c:v>7.7758479891267265E-3</c:v>
                </c:pt>
                <c:pt idx="393">
                  <c:v>7.6374003287602949E-3</c:v>
                </c:pt>
                <c:pt idx="394">
                  <c:v>7.5014177056075201E-3</c:v>
                </c:pt>
                <c:pt idx="395">
                  <c:v>7.3678562300970758E-3</c:v>
                </c:pt>
                <c:pt idx="396">
                  <c:v>7.2366727941040408E-3</c:v>
                </c:pt>
                <c:pt idx="397">
                  <c:v>7.1078250570363781E-3</c:v>
                </c:pt>
                <c:pt idx="398">
                  <c:v>6.9671569908868808E-3</c:v>
                </c:pt>
                <c:pt idx="399">
                  <c:v>6.8292728290506519E-3</c:v>
                </c:pt>
                <c:pt idx="400">
                  <c:v>6.6941174764130881E-3</c:v>
                </c:pt>
                <c:pt idx="401">
                  <c:v>6.5616369282245251E-3</c:v>
                </c:pt>
                <c:pt idx="402">
                  <c:v>6.4317782485212678E-3</c:v>
                </c:pt>
                <c:pt idx="403">
                  <c:v>6.3044895489736841E-3</c:v>
                </c:pt>
                <c:pt idx="404">
                  <c:v>6.179719968152907E-3</c:v>
                </c:pt>
                <c:pt idx="405">
                  <c:v>6.057419651207859E-3</c:v>
                </c:pt>
                <c:pt idx="406">
                  <c:v>5.9375397299444828E-3</c:v>
                </c:pt>
                <c:pt idx="407">
                  <c:v>5.8200323032992149E-3</c:v>
                </c:pt>
                <c:pt idx="408">
                  <c:v>5.7048504181989E-3</c:v>
                </c:pt>
                <c:pt idx="409">
                  <c:v>5.5919480507994994E-3</c:v>
                </c:pt>
                <c:pt idx="410">
                  <c:v>5.4681999244511632E-3</c:v>
                </c:pt>
                <c:pt idx="411">
                  <c:v>5.3471903068721518E-3</c:v>
                </c:pt>
                <c:pt idx="412">
                  <c:v>5.2288585956881024E-3</c:v>
                </c:pt>
                <c:pt idx="413">
                  <c:v>5.1131455296369466E-3</c:v>
                </c:pt>
                <c:pt idx="414">
                  <c:v>4.9999931588904983E-3</c:v>
                </c:pt>
                <c:pt idx="415">
                  <c:v>4.889344816032818E-3</c:v>
                </c:pt>
                <c:pt idx="416">
                  <c:v>4.7811450876808163E-3</c:v>
                </c:pt>
                <c:pt idx="417">
                  <c:v>4.6753397867328825E-3</c:v>
                </c:pt>
                <c:pt idx="418">
                  <c:v>4.5718759252316469E-3</c:v>
                </c:pt>
                <c:pt idx="419">
                  <c:v>4.4707016878272792E-3</c:v>
                </c:pt>
                <c:pt idx="420">
                  <c:v>4.3717664058280353E-3</c:v>
                </c:pt>
                <c:pt idx="421">
                  <c:v>4.2750205318250623E-3</c:v>
                </c:pt>
                <c:pt idx="422">
                  <c:v>4.1711353516287108E-3</c:v>
                </c:pt>
                <c:pt idx="423">
                  <c:v>4.0697746343171777E-3</c:v>
                </c:pt>
                <c:pt idx="424">
                  <c:v>3.9708770341542882E-3</c:v>
                </c:pt>
                <c:pt idx="425">
                  <c:v>3.8743826961365564E-3</c:v>
                </c:pt>
                <c:pt idx="426">
                  <c:v>3.7802332197676225E-3</c:v>
                </c:pt>
                <c:pt idx="427">
                  <c:v>3.688371623712986E-3</c:v>
                </c:pt>
                <c:pt idx="428">
                  <c:v>3.5987423113136483E-3</c:v>
                </c:pt>
                <c:pt idx="429">
                  <c:v>3.5112910369377924E-3</c:v>
                </c:pt>
                <c:pt idx="430">
                  <c:v>3.4259648731501322E-3</c:v>
                </c:pt>
                <c:pt idx="431">
                  <c:v>3.3427121786790649E-3</c:v>
                </c:pt>
                <c:pt idx="432">
                  <c:v>3.2614825671622369E-3</c:v>
                </c:pt>
                <c:pt idx="433">
                  <c:v>3.1822268766516092E-3</c:v>
                </c:pt>
                <c:pt idx="434">
                  <c:v>3.0970446275014061E-3</c:v>
                </c:pt>
                <c:pt idx="435">
                  <c:v>3.0141425475068108E-3</c:v>
                </c:pt>
                <c:pt idx="436">
                  <c:v>2.9334596008131699E-3</c:v>
                </c:pt>
                <c:pt idx="437">
                  <c:v>2.8549363853812614E-3</c:v>
                </c:pt>
                <c:pt idx="438">
                  <c:v>2.7785150892531188E-3</c:v>
                </c:pt>
                <c:pt idx="439">
                  <c:v>2.7041394479885347E-3</c:v>
                </c:pt>
                <c:pt idx="440">
                  <c:v>2.6317547032409117E-3</c:v>
                </c:pt>
                <c:pt idx="441">
                  <c:v>2.5613075624419594E-3</c:v>
                </c:pt>
                <c:pt idx="442">
                  <c:v>2.4927461595655558E-3</c:v>
                </c:pt>
                <c:pt idx="443">
                  <c:v>2.4260200169418876E-3</c:v>
                </c:pt>
                <c:pt idx="444">
                  <c:v>2.3610800080937542E-3</c:v>
                </c:pt>
                <c:pt idx="445">
                  <c:v>2.2978783215676728E-3</c:v>
                </c:pt>
                <c:pt idx="446">
                  <c:v>2.2290974461949089E-3</c:v>
                </c:pt>
                <c:pt idx="447">
                  <c:v>2.1623753433744775E-3</c:v>
                </c:pt>
                <c:pt idx="448">
                  <c:v>2.0976503892262046E-3</c:v>
                </c:pt>
                <c:pt idx="449">
                  <c:v>2.0348628044168544E-3</c:v>
                </c:pt>
                <c:pt idx="450">
                  <c:v>1.9739545989485227E-3</c:v>
                </c:pt>
                <c:pt idx="451">
                  <c:v>1.9148695185996439E-3</c:v>
                </c:pt>
                <c:pt idx="452">
                  <c:v>1.8575529929691428E-3</c:v>
                </c:pt>
                <c:pt idx="453">
                  <c:v>1.8019520850757469E-3</c:v>
                </c:pt>
                <c:pt idx="454">
                  <c:v>1.7480154424659102E-3</c:v>
                </c:pt>
                <c:pt idx="455">
                  <c:v>1.6956932497851896E-3</c:v>
                </c:pt>
                <c:pt idx="456">
                  <c:v>1.6449371827692723E-3</c:v>
                </c:pt>
                <c:pt idx="457">
                  <c:v>1.5957003636121589E-3</c:v>
                </c:pt>
                <c:pt idx="458">
                  <c:v>1.5450261457512747E-3</c:v>
                </c:pt>
                <c:pt idx="459">
                  <c:v>1.4959611750989326E-3</c:v>
                </c:pt>
                <c:pt idx="460">
                  <c:v>1.4484543472338407E-3</c:v>
                </c:pt>
                <c:pt idx="461">
                  <c:v>1.4024561806437676E-3</c:v>
                </c:pt>
                <c:pt idx="462">
                  <c:v>1.3579187651872658E-3</c:v>
                </c:pt>
                <c:pt idx="463">
                  <c:v>1.3147957121920812E-3</c:v>
                </c:pt>
                <c:pt idx="464">
                  <c:v>1.2730421061382747E-3</c:v>
                </c:pt>
                <c:pt idx="465">
                  <c:v>1.2326144578757284E-3</c:v>
                </c:pt>
                <c:pt idx="466">
                  <c:v>1.1934706593273114E-3</c:v>
                </c:pt>
                <c:pt idx="467">
                  <c:v>1.1555699396305246E-3</c:v>
                </c:pt>
                <c:pt idx="468">
                  <c:v>1.1188728226719435E-3</c:v>
                </c:pt>
                <c:pt idx="469">
                  <c:v>1.0833410859702271E-3</c:v>
                </c:pt>
                <c:pt idx="470">
                  <c:v>1.0447447262692897E-3</c:v>
                </c:pt>
                <c:pt idx="471">
                  <c:v>1.0075234450191341E-3</c:v>
                </c:pt>
                <c:pt idx="472">
                  <c:v>9.7162825208803652E-4</c:v>
                </c:pt>
                <c:pt idx="473">
                  <c:v>9.3701190272324042E-4</c:v>
                </c:pt>
                <c:pt idx="474">
                  <c:v>9.0362883536807144E-4</c:v>
                </c:pt>
                <c:pt idx="475">
                  <c:v>8.7143511169445115E-4</c:v>
                </c:pt>
                <c:pt idx="476">
                  <c:v>8.4038835877188185E-4</c:v>
                </c:pt>
                <c:pt idx="477">
                  <c:v>8.1044771329678595E-4</c:v>
                </c:pt>
                <c:pt idx="478">
                  <c:v>7.8157376780879531E-4</c:v>
                </c:pt>
                <c:pt idx="479">
                  <c:v>7.5372851882320093E-4</c:v>
                </c:pt>
                <c:pt idx="480">
                  <c:v>7.2687531681129593E-4</c:v>
                </c:pt>
                <c:pt idx="481">
                  <c:v>7.0097881796277661E-4</c:v>
                </c:pt>
                <c:pt idx="482">
                  <c:v>6.7373406025457233E-4</c:v>
                </c:pt>
                <c:pt idx="483">
                  <c:v>6.4754821731462882E-4</c:v>
                </c:pt>
                <c:pt idx="484">
                  <c:v>6.2238013258363847E-4</c:v>
                </c:pt>
                <c:pt idx="485">
                  <c:v>5.9819024912336296E-4</c:v>
                </c:pt>
                <c:pt idx="486">
                  <c:v>5.7494054744458589E-4</c:v>
                </c:pt>
                <c:pt idx="487">
                  <c:v>5.5259448575148938E-4</c:v>
                </c:pt>
                <c:pt idx="488">
                  <c:v>5.3111694250853713E-4</c:v>
                </c:pt>
                <c:pt idx="489">
                  <c:v>5.1047416123959483E-4</c:v>
                </c:pt>
                <c:pt idx="490">
                  <c:v>4.9063369747252839E-4</c:v>
                </c:pt>
                <c:pt idx="491">
                  <c:v>4.7156436774589282E-4</c:v>
                </c:pt>
                <c:pt idx="492">
                  <c:v>4.5323620059756453E-4</c:v>
                </c:pt>
                <c:pt idx="493">
                  <c:v>4.3562038945828496E-4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2-4B03-AF33-FC2B18137AB4}"/>
            </c:ext>
          </c:extLst>
        </c:ser>
        <c:ser>
          <c:idx val="1"/>
          <c:order val="1"/>
          <c:tx>
            <c:v>PD</c:v>
          </c:tx>
          <c:spPr>
            <a:solidFill>
              <a:srgbClr val="FFBD59"/>
            </a:solidFill>
            <a:ln>
              <a:noFill/>
            </a:ln>
            <a:effectLst/>
          </c:spPr>
          <c:val>
            <c:numRef>
              <c:f>Engine!$Z$9:$Z$609</c:f>
              <c:numCache>
                <c:formatCode>0.00%</c:formatCode>
                <c:ptCount val="601"/>
                <c:pt idx="0">
                  <c:v>0</c:v>
                </c:pt>
                <c:pt idx="1">
                  <c:v>6.2175774218357072E-3</c:v>
                </c:pt>
                <c:pt idx="2">
                  <c:v>3.3141045355953413E-2</c:v>
                </c:pt>
                <c:pt idx="3">
                  <c:v>5.9897767491904341E-2</c:v>
                </c:pt>
                <c:pt idx="4">
                  <c:v>8.3141687988452784E-2</c:v>
                </c:pt>
                <c:pt idx="5">
                  <c:v>0.10291870875766307</c:v>
                </c:pt>
                <c:pt idx="6">
                  <c:v>0.11972509215016558</c:v>
                </c:pt>
                <c:pt idx="7">
                  <c:v>0.13405770178347098</c:v>
                </c:pt>
                <c:pt idx="8">
                  <c:v>0.14633665282224839</c:v>
                </c:pt>
                <c:pt idx="9">
                  <c:v>0.15690304268323263</c:v>
                </c:pt>
                <c:pt idx="10">
                  <c:v>0.16603156782831197</c:v>
                </c:pt>
                <c:pt idx="11">
                  <c:v>0.17394404266186048</c:v>
                </c:pt>
                <c:pt idx="12">
                  <c:v>0.18082076364661825</c:v>
                </c:pt>
                <c:pt idx="13">
                  <c:v>0.18680944038860914</c:v>
                </c:pt>
                <c:pt idx="14">
                  <c:v>0.19203206960532926</c:v>
                </c:pt>
                <c:pt idx="15">
                  <c:v>0.19659020582207432</c:v>
                </c:pt>
                <c:pt idx="16">
                  <c:v>0.20056901658565873</c:v>
                </c:pt>
                <c:pt idx="17">
                  <c:v>0.20404042311673887</c:v>
                </c:pt>
                <c:pt idx="18">
                  <c:v>0.20706555198201992</c:v>
                </c:pt>
                <c:pt idx="19">
                  <c:v>0.2096966649674985</c:v>
                </c:pt>
                <c:pt idx="20">
                  <c:v>0.21197869091043842</c:v>
                </c:pt>
                <c:pt idx="21">
                  <c:v>0.21395045145345681</c:v>
                </c:pt>
                <c:pt idx="22">
                  <c:v>0.21564564948836862</c:v>
                </c:pt>
                <c:pt idx="23">
                  <c:v>0.21709367209732422</c:v>
                </c:pt>
                <c:pt idx="24">
                  <c:v>0.21832024733305244</c:v>
                </c:pt>
                <c:pt idx="25">
                  <c:v>0.21934798495553065</c:v>
                </c:pt>
                <c:pt idx="26">
                  <c:v>0.22019682436488597</c:v>
                </c:pt>
                <c:pt idx="27">
                  <c:v>0.2208844078025094</c:v>
                </c:pt>
                <c:pt idx="28">
                  <c:v>0.22142639297867961</c:v>
                </c:pt>
                <c:pt idx="29">
                  <c:v>0.22183671629814428</c:v>
                </c:pt>
                <c:pt idx="30">
                  <c:v>0.2221278155584917</c:v>
                </c:pt>
                <c:pt idx="31">
                  <c:v>0.22231081921739537</c:v>
                </c:pt>
                <c:pt idx="32">
                  <c:v>0.22239570793759766</c:v>
                </c:pt>
                <c:pt idx="33">
                  <c:v>0.22239145302938601</c:v>
                </c:pt>
                <c:pt idx="34">
                  <c:v>0.22230613554980549</c:v>
                </c:pt>
                <c:pt idx="35">
                  <c:v>0.22214704913382444</c:v>
                </c:pt>
                <c:pt idx="36">
                  <c:v>0.22192078908576829</c:v>
                </c:pt>
                <c:pt idx="37">
                  <c:v>0.22163332981965722</c:v>
                </c:pt>
                <c:pt idx="38">
                  <c:v>0.22129009238172848</c:v>
                </c:pt>
                <c:pt idx="39">
                  <c:v>0.22089600349977667</c:v>
                </c:pt>
                <c:pt idx="40">
                  <c:v>0.22045554736836537</c:v>
                </c:pt>
                <c:pt idx="41">
                  <c:v>0.21997281118578271</c:v>
                </c:pt>
                <c:pt idx="42">
                  <c:v>0.21945152529954104</c:v>
                </c:pt>
                <c:pt idx="43">
                  <c:v>0.21889509868565082</c:v>
                </c:pt>
                <c:pt idx="44">
                  <c:v>0.21830665037766028</c:v>
                </c:pt>
                <c:pt idx="45">
                  <c:v>0.21768903737039635</c:v>
                </c:pt>
                <c:pt idx="46">
                  <c:v>0.21704487944716067</c:v>
                </c:pt>
                <c:pt idx="47">
                  <c:v>0.21637658131517723</c:v>
                </c:pt>
                <c:pt idx="48">
                  <c:v>0.21568635238021039</c:v>
                </c:pt>
                <c:pt idx="49">
                  <c:v>0.21497622444572428</c:v>
                </c:pt>
                <c:pt idx="50">
                  <c:v>0.21424806758335713</c:v>
                </c:pt>
                <c:pt idx="51">
                  <c:v>0.21350360438863658</c:v>
                </c:pt>
                <c:pt idx="52">
                  <c:v>0.21274442280786998</c:v>
                </c:pt>
                <c:pt idx="53">
                  <c:v>0.2119719876981877</c:v>
                </c:pt>
                <c:pt idx="54">
                  <c:v>0.21118765126218109</c:v>
                </c:pt>
                <c:pt idx="55">
                  <c:v>0.21039266248091659</c:v>
                </c:pt>
                <c:pt idx="56">
                  <c:v>0.20958817565388832</c:v>
                </c:pt>
                <c:pt idx="57">
                  <c:v>0.20877525814131803</c:v>
                </c:pt>
                <c:pt idx="58">
                  <c:v>0.2079548973928218</c:v>
                </c:pt>
                <c:pt idx="59">
                  <c:v>0.20712800733657522</c:v>
                </c:pt>
                <c:pt idx="60">
                  <c:v>0.20629543419451057</c:v>
                </c:pt>
                <c:pt idx="61">
                  <c:v>0.20545796178157727</c:v>
                </c:pt>
                <c:pt idx="62">
                  <c:v>0.20461631634055255</c:v>
                </c:pt>
                <c:pt idx="63">
                  <c:v>0.20377117095815089</c:v>
                </c:pt>
                <c:pt idx="64">
                  <c:v>0.20292314960315838</c:v>
                </c:pt>
                <c:pt idx="65">
                  <c:v>0.20207283082289784</c:v>
                </c:pt>
                <c:pt idx="66">
                  <c:v>0.20122075113044402</c:v>
                </c:pt>
                <c:pt idx="67">
                  <c:v>0.20036740811158049</c:v>
                </c:pt>
                <c:pt idx="68">
                  <c:v>0.19951326327746011</c:v>
                </c:pt>
                <c:pt idx="69">
                  <c:v>0.19865874468625688</c:v>
                </c:pt>
                <c:pt idx="70">
                  <c:v>0.19780424935471852</c:v>
                </c:pt>
                <c:pt idx="71">
                  <c:v>0.19695014547842415</c:v>
                </c:pt>
                <c:pt idx="72">
                  <c:v>0.19609677447768403</c:v>
                </c:pt>
                <c:pt idx="73">
                  <c:v>0.19524445288434245</c:v>
                </c:pt>
                <c:pt idx="74">
                  <c:v>0.19439347408327035</c:v>
                </c:pt>
                <c:pt idx="75">
                  <c:v>0.19354410992099536</c:v>
                </c:pt>
                <c:pt idx="76">
                  <c:v>0.19269661219274659</c:v>
                </c:pt>
                <c:pt idx="77">
                  <c:v>0.19185121401811611</c:v>
                </c:pt>
                <c:pt idx="78">
                  <c:v>0.1910081311145968</c:v>
                </c:pt>
                <c:pt idx="79">
                  <c:v>0.19016756297740234</c:v>
                </c:pt>
                <c:pt idx="80">
                  <c:v>0.18932969397320398</c:v>
                </c:pt>
                <c:pt idx="81">
                  <c:v>0.18849469435473387</c:v>
                </c:pt>
                <c:pt idx="82">
                  <c:v>0.18766272120258221</c:v>
                </c:pt>
                <c:pt idx="83">
                  <c:v>0.1868339192999533</c:v>
                </c:pt>
                <c:pt idx="84">
                  <c:v>0.18600842194564449</c:v>
                </c:pt>
                <c:pt idx="85">
                  <c:v>0.18518635171005315</c:v>
                </c:pt>
                <c:pt idx="86">
                  <c:v>0.18436782113859984</c:v>
                </c:pt>
                <c:pt idx="87">
                  <c:v>0.18355293340659251</c:v>
                </c:pt>
                <c:pt idx="88">
                  <c:v>0.18274178292920362</c:v>
                </c:pt>
                <c:pt idx="89">
                  <c:v>0.18193445592993895</c:v>
                </c:pt>
                <c:pt idx="90">
                  <c:v>0.18113103097068339</c:v>
                </c:pt>
                <c:pt idx="91">
                  <c:v>0.1803315794461684</c:v>
                </c:pt>
                <c:pt idx="92">
                  <c:v>0.1795361660454653</c:v>
                </c:pt>
                <c:pt idx="93">
                  <c:v>0.17874484918290101</c:v>
                </c:pt>
                <c:pt idx="94">
                  <c:v>0.17795768140060542</c:v>
                </c:pt>
                <c:pt idx="95">
                  <c:v>0.17717470974471639</c:v>
                </c:pt>
                <c:pt idx="96">
                  <c:v>0.17639597611711766</c:v>
                </c:pt>
                <c:pt idx="97">
                  <c:v>0.17562151760443057</c:v>
                </c:pt>
                <c:pt idx="98">
                  <c:v>0.17485136678585511</c:v>
                </c:pt>
                <c:pt idx="99">
                  <c:v>0.17408555202132725</c:v>
                </c:pt>
                <c:pt idx="100">
                  <c:v>0.17332409772135005</c:v>
                </c:pt>
                <c:pt idx="101">
                  <c:v>0.17256702459975692</c:v>
                </c:pt>
                <c:pt idx="102">
                  <c:v>0.17181434991056288</c:v>
                </c:pt>
                <c:pt idx="103">
                  <c:v>0.17106608766998266</c:v>
                </c:pt>
                <c:pt idx="104">
                  <c:v>0.17032224886461111</c:v>
                </c:pt>
                <c:pt idx="105">
                  <c:v>0.16958284164668469</c:v>
                </c:pt>
                <c:pt idx="106">
                  <c:v>0.16884787151728275</c:v>
                </c:pt>
                <c:pt idx="107">
                  <c:v>0.1681173414982623</c:v>
                </c:pt>
                <c:pt idx="108">
                  <c:v>0.16739125229366059</c:v>
                </c:pt>
                <c:pt idx="109">
                  <c:v>0.16666960244125228</c:v>
                </c:pt>
                <c:pt idx="110">
                  <c:v>0.16595238845489635</c:v>
                </c:pt>
                <c:pt idx="111">
                  <c:v>0.1652396049582634</c:v>
                </c:pt>
                <c:pt idx="112">
                  <c:v>0.16453124481049486</c:v>
                </c:pt>
                <c:pt idx="113">
                  <c:v>0.16382729922430539</c:v>
                </c:pt>
                <c:pt idx="114">
                  <c:v>0.16312775787700495</c:v>
                </c:pt>
                <c:pt idx="115">
                  <c:v>0.1624326090148861</c:v>
                </c:pt>
                <c:pt idx="116">
                  <c:v>0.16174183955138943</c:v>
                </c:pt>
                <c:pt idx="117">
                  <c:v>0.16105543515943432</c:v>
                </c:pt>
                <c:pt idx="118">
                  <c:v>0.16037338035827464</c:v>
                </c:pt>
                <c:pt idx="119">
                  <c:v>0.15969565859521484</c:v>
                </c:pt>
                <c:pt idx="120">
                  <c:v>0.15902225232250422</c:v>
                </c:pt>
                <c:pt idx="121">
                  <c:v>0.15835314306969828</c:v>
                </c:pt>
                <c:pt idx="122">
                  <c:v>0.15768831151176355</c:v>
                </c:pt>
                <c:pt idx="123">
                  <c:v>0.15702773753318333</c:v>
                </c:pt>
                <c:pt idx="124">
                  <c:v>0.15637140028830199</c:v>
                </c:pt>
                <c:pt idx="125">
                  <c:v>0.15571927825813348</c:v>
                </c:pt>
                <c:pt idx="126">
                  <c:v>0.15507134930384425</c:v>
                </c:pt>
                <c:pt idx="127">
                  <c:v>0.15442759071710788</c:v>
                </c:pt>
                <c:pt idx="128">
                  <c:v>0.15378797926751298</c:v>
                </c:pt>
                <c:pt idx="129">
                  <c:v>0.15315249124720165</c:v>
                </c:pt>
                <c:pt idx="130">
                  <c:v>0.15252110251289619</c:v>
                </c:pt>
                <c:pt idx="131">
                  <c:v>0.15189378852546931</c:v>
                </c:pt>
                <c:pt idx="132">
                  <c:v>0.15127052438719635</c:v>
                </c:pt>
                <c:pt idx="133">
                  <c:v>0.15065128487682977</c:v>
                </c:pt>
                <c:pt idx="134">
                  <c:v>0.15003604448261332</c:v>
                </c:pt>
                <c:pt idx="135">
                  <c:v>0.1494247774333608</c:v>
                </c:pt>
                <c:pt idx="136">
                  <c:v>0.14881745772770638</c:v>
                </c:pt>
                <c:pt idx="137">
                  <c:v>0.14821405916163199</c:v>
                </c:pt>
                <c:pt idx="138">
                  <c:v>0.14761455535436874</c:v>
                </c:pt>
                <c:pt idx="139">
                  <c:v>0.14701891977276538</c:v>
                </c:pt>
                <c:pt idx="140">
                  <c:v>0.14642712575421057</c:v>
                </c:pt>
                <c:pt idx="141">
                  <c:v>0.14583914652818797</c:v>
                </c:pt>
                <c:pt idx="142">
                  <c:v>0.14525495523654508</c:v>
                </c:pt>
                <c:pt idx="143">
                  <c:v>0.14467452495254296</c:v>
                </c:pt>
                <c:pt idx="144">
                  <c:v>0.14409782869875976</c:v>
                </c:pt>
                <c:pt idx="145">
                  <c:v>0.14352483946390804</c:v>
                </c:pt>
                <c:pt idx="146">
                  <c:v>0.14295553021862828</c:v>
                </c:pt>
                <c:pt idx="147">
                  <c:v>0.14238987393031466</c:v>
                </c:pt>
                <c:pt idx="148">
                  <c:v>0.14182784357702782</c:v>
                </c:pt>
                <c:pt idx="149">
                  <c:v>0.14126941216054356</c:v>
                </c:pt>
                <c:pt idx="150">
                  <c:v>0.14071455271858513</c:v>
                </c:pt>
                <c:pt idx="151">
                  <c:v>0.14016323833628619</c:v>
                </c:pt>
                <c:pt idx="152">
                  <c:v>0.13961544215692445</c:v>
                </c:pt>
                <c:pt idx="153">
                  <c:v>0.13907113739196675</c:v>
                </c:pt>
                <c:pt idx="154">
                  <c:v>0.13853029733046385</c:v>
                </c:pt>
                <c:pt idx="155">
                  <c:v>0.13799289534783044</c:v>
                </c:pt>
                <c:pt idx="156">
                  <c:v>0.13745890491404278</c:v>
                </c:pt>
                <c:pt idx="157">
                  <c:v>0.13692829960128872</c:v>
                </c:pt>
                <c:pt idx="158">
                  <c:v>0.13640105309109651</c:v>
                </c:pt>
                <c:pt idx="159">
                  <c:v>0.13587713918097255</c:v>
                </c:pt>
                <c:pt idx="160">
                  <c:v>0.13535653179057716</c:v>
                </c:pt>
                <c:pt idx="161">
                  <c:v>0.13483920496745827</c:v>
                </c:pt>
                <c:pt idx="162">
                  <c:v>0.13432513289237291</c:v>
                </c:pt>
                <c:pt idx="163">
                  <c:v>0.13381428988421495</c:v>
                </c:pt>
                <c:pt idx="164">
                  <c:v>0.13330665040457279</c:v>
                </c:pt>
                <c:pt idx="165">
                  <c:v>0.13280218906193619</c:v>
                </c:pt>
                <c:pt idx="166">
                  <c:v>0.1323008806155721</c:v>
                </c:pt>
                <c:pt idx="167">
                  <c:v>0.13180269997908745</c:v>
                </c:pt>
                <c:pt idx="168">
                  <c:v>0.13130762222369619</c:v>
                </c:pt>
                <c:pt idx="169">
                  <c:v>0.1308156225812056</c:v>
                </c:pt>
                <c:pt idx="170">
                  <c:v>0.13032667644673934</c:v>
                </c:pt>
                <c:pt idx="171">
                  <c:v>0.12984075938121131</c:v>
                </c:pt>
                <c:pt idx="172">
                  <c:v>0.12935784711356235</c:v>
                </c:pt>
                <c:pt idx="173">
                  <c:v>0.12887791554277472</c:v>
                </c:pt>
                <c:pt idx="174">
                  <c:v>0.12840094073967656</c:v>
                </c:pt>
                <c:pt idx="175">
                  <c:v>0.12792689894854692</c:v>
                </c:pt>
                <c:pt idx="176">
                  <c:v>0.12745576658853375</c:v>
                </c:pt>
                <c:pt idx="177">
                  <c:v>0.12698752025489501</c:v>
                </c:pt>
                <c:pt idx="178">
                  <c:v>0.12652213672007173</c:v>
                </c:pt>
                <c:pt idx="179">
                  <c:v>0.12605959293460511</c:v>
                </c:pt>
                <c:pt idx="180">
                  <c:v>0.12559986602790219</c:v>
                </c:pt>
                <c:pt idx="181">
                  <c:v>0.12514293330886495</c:v>
                </c:pt>
                <c:pt idx="182">
                  <c:v>0.12468877226638464</c:v>
                </c:pt>
                <c:pt idx="183">
                  <c:v>0.12423736056971169</c:v>
                </c:pt>
                <c:pt idx="184">
                  <c:v>0.1237886760687098</c:v>
                </c:pt>
                <c:pt idx="185">
                  <c:v>0.12334269679399901</c:v>
                </c:pt>
                <c:pt idx="186">
                  <c:v>0.12289940095699337</c:v>
                </c:pt>
                <c:pt idx="187">
                  <c:v>0.12245876694984292</c:v>
                </c:pt>
                <c:pt idx="188">
                  <c:v>0.12202077334528305</c:v>
                </c:pt>
                <c:pt idx="189">
                  <c:v>0.12158539889639641</c:v>
                </c:pt>
                <c:pt idx="190">
                  <c:v>0.12115262253629544</c:v>
                </c:pt>
                <c:pt idx="191">
                  <c:v>0.12072242337772643</c:v>
                </c:pt>
                <c:pt idx="192">
                  <c:v>0.12029478071260502</c:v>
                </c:pt>
                <c:pt idx="193">
                  <c:v>0.11986967401148174</c:v>
                </c:pt>
                <c:pt idx="194">
                  <c:v>0.1194470829229477</c:v>
                </c:pt>
                <c:pt idx="195">
                  <c:v>0.119026987272978</c:v>
                </c:pt>
                <c:pt idx="196">
                  <c:v>0.11860936706422454</c:v>
                </c:pt>
                <c:pt idx="197">
                  <c:v>0.11819420247525325</c:v>
                </c:pt>
                <c:pt idx="198">
                  <c:v>0.11778147385973703</c:v>
                </c:pt>
                <c:pt idx="199">
                  <c:v>0.11737116174560158</c:v>
                </c:pt>
                <c:pt idx="200">
                  <c:v>0.11696324683413117</c:v>
                </c:pt>
                <c:pt idx="201">
                  <c:v>0.11655770999903503</c:v>
                </c:pt>
                <c:pt idx="202">
                  <c:v>0.11615453228547767</c:v>
                </c:pt>
                <c:pt idx="203">
                  <c:v>0.11575369490907783</c:v>
                </c:pt>
                <c:pt idx="204">
                  <c:v>0.11535517925487393</c:v>
                </c:pt>
                <c:pt idx="205">
                  <c:v>0.1149589668762635</c:v>
                </c:pt>
                <c:pt idx="206">
                  <c:v>0.1145650394939145</c:v>
                </c:pt>
                <c:pt idx="207">
                  <c:v>0.11417337899465518</c:v>
                </c:pt>
                <c:pt idx="208">
                  <c:v>0.11378396743033892</c:v>
                </c:pt>
                <c:pt idx="209">
                  <c:v>0.11339678701669142</c:v>
                </c:pt>
                <c:pt idx="210">
                  <c:v>0.11301182013213806</c:v>
                </c:pt>
                <c:pt idx="211">
                  <c:v>0.11262904931661544</c:v>
                </c:pt>
                <c:pt idx="212">
                  <c:v>0.11224845727036792</c:v>
                </c:pt>
                <c:pt idx="213">
                  <c:v>0.11187002685273006</c:v>
                </c:pt>
                <c:pt idx="214">
                  <c:v>0.11149374108089749</c:v>
                </c:pt>
                <c:pt idx="215">
                  <c:v>0.11111958312868708</c:v>
                </c:pt>
                <c:pt idx="216">
                  <c:v>0.110747536325288</c:v>
                </c:pt>
                <c:pt idx="217">
                  <c:v>0.11037758415400412</c:v>
                </c:pt>
                <c:pt idx="218">
                  <c:v>0.11000971025098982</c:v>
                </c:pt>
                <c:pt idx="219">
                  <c:v>0.10964389840397892</c:v>
                </c:pt>
                <c:pt idx="220">
                  <c:v>0.10928013255101121</c:v>
                </c:pt>
                <c:pt idx="221">
                  <c:v>0.10891839677915249</c:v>
                </c:pt>
                <c:pt idx="222">
                  <c:v>0.10855867532321173</c:v>
                </c:pt>
                <c:pt idx="223">
                  <c:v>0.10820095256445939</c:v>
                </c:pt>
                <c:pt idx="224">
                  <c:v>0.10784521302933914</c:v>
                </c:pt>
                <c:pt idx="225">
                  <c:v>0.10749144138818478</c:v>
                </c:pt>
                <c:pt idx="226">
                  <c:v>0.10713962245393271</c:v>
                </c:pt>
                <c:pt idx="227">
                  <c:v>0.10678974118083817</c:v>
                </c:pt>
                <c:pt idx="228">
                  <c:v>0.1064417826631916</c:v>
                </c:pt>
                <c:pt idx="229">
                  <c:v>0.10609573213403789</c:v>
                </c:pt>
                <c:pt idx="230">
                  <c:v>0.10575157496389831</c:v>
                </c:pt>
                <c:pt idx="231">
                  <c:v>0.1054092966594945</c:v>
                </c:pt>
                <c:pt idx="232">
                  <c:v>0.10506888286247895</c:v>
                </c:pt>
                <c:pt idx="233">
                  <c:v>0.10473031934816623</c:v>
                </c:pt>
                <c:pt idx="234">
                  <c:v>0.10439359202427223</c:v>
                </c:pt>
                <c:pt idx="235">
                  <c:v>0.10405868692965514</c:v>
                </c:pt>
                <c:pt idx="236">
                  <c:v>0.10372559023306616</c:v>
                </c:pt>
                <c:pt idx="237">
                  <c:v>0.10339428823190122</c:v>
                </c:pt>
                <c:pt idx="238">
                  <c:v>0.10306476735096304</c:v>
                </c:pt>
                <c:pt idx="239">
                  <c:v>0.10273701414122693</c:v>
                </c:pt>
                <c:pt idx="240">
                  <c:v>0.10241101527861551</c:v>
                </c:pt>
                <c:pt idx="241">
                  <c:v>0.10208675756277819</c:v>
                </c:pt>
                <c:pt idx="242">
                  <c:v>0.10172483284730988</c:v>
                </c:pt>
                <c:pt idx="243">
                  <c:v>0.10136342388947303</c:v>
                </c:pt>
                <c:pt idx="244">
                  <c:v>0.10100254357172836</c:v>
                </c:pt>
                <c:pt idx="245">
                  <c:v>0.10064220445915845</c:v>
                </c:pt>
                <c:pt idx="246">
                  <c:v>0.10028241880621105</c:v>
                </c:pt>
                <c:pt idx="247">
                  <c:v>9.9923198563287102E-2</c:v>
                </c:pt>
                <c:pt idx="248">
                  <c:v>9.9564555383173076E-2</c:v>
                </c:pt>
                <c:pt idx="249">
                  <c:v>9.9206500627326305E-2</c:v>
                </c:pt>
                <c:pt idx="250">
                  <c:v>9.8849045372014083E-2</c:v>
                </c:pt>
                <c:pt idx="251">
                  <c:v>9.8492200414312142E-2</c:v>
                </c:pt>
                <c:pt idx="252">
                  <c:v>9.8135976277964942E-2</c:v>
                </c:pt>
                <c:pt idx="253">
                  <c:v>9.7780383219111866E-2</c:v>
                </c:pt>
                <c:pt idx="254">
                  <c:v>9.7361479915804683E-2</c:v>
                </c:pt>
                <c:pt idx="255">
                  <c:v>9.6943792181926586E-2</c:v>
                </c:pt>
                <c:pt idx="256">
                  <c:v>9.652732575929876E-2</c:v>
                </c:pt>
                <c:pt idx="257">
                  <c:v>9.611208616586428E-2</c:v>
                </c:pt>
                <c:pt idx="258">
                  <c:v>9.5698078700671818E-2</c:v>
                </c:pt>
                <c:pt idx="259">
                  <c:v>9.5285308448745748E-2</c:v>
                </c:pt>
                <c:pt idx="260">
                  <c:v>9.4873780285845574E-2</c:v>
                </c:pt>
                <c:pt idx="261">
                  <c:v>9.446349888311649E-2</c:v>
                </c:pt>
                <c:pt idx="262">
                  <c:v>9.4054468711634934E-2</c:v>
                </c:pt>
                <c:pt idx="263">
                  <c:v>9.3646694046851123E-2</c:v>
                </c:pt>
                <c:pt idx="264">
                  <c:v>9.3240178972931215E-2</c:v>
                </c:pt>
                <c:pt idx="265">
                  <c:v>9.2834927387001789E-2</c:v>
                </c:pt>
                <c:pt idx="266">
                  <c:v>9.2353914058172268E-2</c:v>
                </c:pt>
                <c:pt idx="267">
                  <c:v>9.1874939171023795E-2</c:v>
                </c:pt>
                <c:pt idx="268">
                  <c:v>9.1398000339845076E-2</c:v>
                </c:pt>
                <c:pt idx="269">
                  <c:v>9.0923095046217789E-2</c:v>
                </c:pt>
                <c:pt idx="270">
                  <c:v>9.0450220642568149E-2</c:v>
                </c:pt>
                <c:pt idx="271">
                  <c:v>8.9979374355636549E-2</c:v>
                </c:pt>
                <c:pt idx="272">
                  <c:v>8.9510553289866068E-2</c:v>
                </c:pt>
                <c:pt idx="273">
                  <c:v>8.9043754430713204E-2</c:v>
                </c:pt>
                <c:pt idx="274">
                  <c:v>8.8578974647880823E-2</c:v>
                </c:pt>
                <c:pt idx="275">
                  <c:v>8.8116210698477415E-2</c:v>
                </c:pt>
                <c:pt idx="276">
                  <c:v>8.7655459230103205E-2</c:v>
                </c:pt>
                <c:pt idx="277">
                  <c:v>8.7196716783865286E-2</c:v>
                </c:pt>
                <c:pt idx="278">
                  <c:v>8.6685535348996964E-2</c:v>
                </c:pt>
                <c:pt idx="279">
                  <c:v>8.6177350660669005E-2</c:v>
                </c:pt>
                <c:pt idx="280">
                  <c:v>8.567214515077505E-2</c:v>
                </c:pt>
                <c:pt idx="281">
                  <c:v>8.5169901354199842E-2</c:v>
                </c:pt>
                <c:pt idx="282">
                  <c:v>8.4670601908215543E-2</c:v>
                </c:pt>
                <c:pt idx="283">
                  <c:v>8.4174229551881419E-2</c:v>
                </c:pt>
                <c:pt idx="284">
                  <c:v>8.368076712544717E-2</c:v>
                </c:pt>
                <c:pt idx="285">
                  <c:v>8.3190197569759677E-2</c:v>
                </c:pt>
                <c:pt idx="286">
                  <c:v>8.2702503925673312E-2</c:v>
                </c:pt>
                <c:pt idx="287">
                  <c:v>8.2217669333463625E-2</c:v>
                </c:pt>
                <c:pt idx="288">
                  <c:v>8.1735677032244478E-2</c:v>
                </c:pt>
                <c:pt idx="289">
                  <c:v>8.1256510359388648E-2</c:v>
                </c:pt>
                <c:pt idx="290">
                  <c:v>8.0719089572294483E-2</c:v>
                </c:pt>
                <c:pt idx="291">
                  <c:v>8.018522322165253E-2</c:v>
                </c:pt>
                <c:pt idx="292">
                  <c:v>7.9654887798847551E-2</c:v>
                </c:pt>
                <c:pt idx="293">
                  <c:v>7.9128059950747537E-2</c:v>
                </c:pt>
                <c:pt idx="294">
                  <c:v>7.8604716478675174E-2</c:v>
                </c:pt>
                <c:pt idx="295">
                  <c:v>7.8084834337386527E-2</c:v>
                </c:pt>
                <c:pt idx="296">
                  <c:v>7.7568390634056017E-2</c:v>
                </c:pt>
                <c:pt idx="297">
                  <c:v>7.7055362627268559E-2</c:v>
                </c:pt>
                <c:pt idx="298">
                  <c:v>7.6545727726017976E-2</c:v>
                </c:pt>
                <c:pt idx="299">
                  <c:v>7.6039463488712364E-2</c:v>
                </c:pt>
                <c:pt idx="300">
                  <c:v>7.5536547622185729E-2</c:v>
                </c:pt>
                <c:pt idx="301">
                  <c:v>7.5036957980716468E-2</c:v>
                </c:pt>
                <c:pt idx="302">
                  <c:v>7.447795724496048E-2</c:v>
                </c:pt>
                <c:pt idx="303">
                  <c:v>7.3923120881415019E-2</c:v>
                </c:pt>
                <c:pt idx="304">
                  <c:v>7.3372417866872403E-2</c:v>
                </c:pt>
                <c:pt idx="305">
                  <c:v>7.2825817409237686E-2</c:v>
                </c:pt>
                <c:pt idx="306">
                  <c:v>7.2283288945806948E-2</c:v>
                </c:pt>
                <c:pt idx="307">
                  <c:v>7.1744802141558414E-2</c:v>
                </c:pt>
                <c:pt idx="308">
                  <c:v>7.1210326887456238E-2</c:v>
                </c:pt>
                <c:pt idx="309">
                  <c:v>7.0679833298767022E-2</c:v>
                </c:pt>
                <c:pt idx="310">
                  <c:v>7.0153291713388868E-2</c:v>
                </c:pt>
                <c:pt idx="311">
                  <c:v>6.9630672690192782E-2</c:v>
                </c:pt>
                <c:pt idx="312">
                  <c:v>6.9111947007376523E-2</c:v>
                </c:pt>
                <c:pt idx="313">
                  <c:v>6.8597085660830739E-2</c:v>
                </c:pt>
                <c:pt idx="314">
                  <c:v>6.8017094600034023E-2</c:v>
                </c:pt>
                <c:pt idx="315">
                  <c:v>6.7442007386497901E-2</c:v>
                </c:pt>
                <c:pt idx="316">
                  <c:v>6.6871782558000692E-2</c:v>
                </c:pt>
                <c:pt idx="317">
                  <c:v>6.6306379002885385E-2</c:v>
                </c:pt>
                <c:pt idx="318">
                  <c:v>6.5745755957095656E-2</c:v>
                </c:pt>
                <c:pt idx="319">
                  <c:v>6.5189873001236909E-2</c:v>
                </c:pt>
                <c:pt idx="320">
                  <c:v>6.4638690057662068E-2</c:v>
                </c:pt>
                <c:pt idx="321">
                  <c:v>6.4092167387582194E-2</c:v>
                </c:pt>
                <c:pt idx="322">
                  <c:v>6.3550265588201343E-2</c:v>
                </c:pt>
                <c:pt idx="323">
                  <c:v>6.3012945589875802E-2</c:v>
                </c:pt>
                <c:pt idx="324">
                  <c:v>6.2480168653297169E-2</c:v>
                </c:pt>
                <c:pt idx="325">
                  <c:v>6.1951896366699483E-2</c:v>
                </c:pt>
                <c:pt idx="326">
                  <c:v>6.1358829125973201E-2</c:v>
                </c:pt>
                <c:pt idx="327">
                  <c:v>6.0771439334568897E-2</c:v>
                </c:pt>
                <c:pt idx="328">
                  <c:v>6.0189672642105049E-2</c:v>
                </c:pt>
                <c:pt idx="329">
                  <c:v>5.9613475218497872E-2</c:v>
                </c:pt>
                <c:pt idx="330">
                  <c:v>5.9042793748980443E-2</c:v>
                </c:pt>
                <c:pt idx="331">
                  <c:v>5.8477575429169634E-2</c:v>
                </c:pt>
                <c:pt idx="332">
                  <c:v>5.7917767960180153E-2</c:v>
                </c:pt>
                <c:pt idx="333">
                  <c:v>5.7363319543785374E-2</c:v>
                </c:pt>
                <c:pt idx="334">
                  <c:v>5.6814178877624591E-2</c:v>
                </c:pt>
                <c:pt idx="335">
                  <c:v>5.6270295150456014E-2</c:v>
                </c:pt>
                <c:pt idx="336">
                  <c:v>5.5731618037455272E-2</c:v>
                </c:pt>
                <c:pt idx="337">
                  <c:v>5.5198097695558987E-2</c:v>
                </c:pt>
                <c:pt idx="338">
                  <c:v>5.4593679068989903E-2</c:v>
                </c:pt>
                <c:pt idx="339">
                  <c:v>5.3995878820433739E-2</c:v>
                </c:pt>
                <c:pt idx="340">
                  <c:v>5.3404624478716384E-2</c:v>
                </c:pt>
                <c:pt idx="341">
                  <c:v>5.2819844366222383E-2</c:v>
                </c:pt>
                <c:pt idx="342">
                  <c:v>5.2241467590205447E-2</c:v>
                </c:pt>
                <c:pt idx="343">
                  <c:v>5.166942403419416E-2</c:v>
                </c:pt>
                <c:pt idx="344">
                  <c:v>5.1103644349491793E-2</c:v>
                </c:pt>
                <c:pt idx="345">
                  <c:v>5.0544059946769151E-2</c:v>
                </c:pt>
                <c:pt idx="346">
                  <c:v>4.999060298774953E-2</c:v>
                </c:pt>
                <c:pt idx="347">
                  <c:v>4.9443206376984669E-2</c:v>
                </c:pt>
                <c:pt idx="348">
                  <c:v>4.8901803753720829E-2</c:v>
                </c:pt>
                <c:pt idx="349">
                  <c:v>4.8366329483853859E-2</c:v>
                </c:pt>
                <c:pt idx="350">
                  <c:v>4.7772483930695296E-2</c:v>
                </c:pt>
                <c:pt idx="351">
                  <c:v>4.7185929659400987E-2</c:v>
                </c:pt>
                <c:pt idx="352">
                  <c:v>4.6606577147045414E-2</c:v>
                </c:pt>
                <c:pt idx="353">
                  <c:v>4.6034337969872503E-2</c:v>
                </c:pt>
                <c:pt idx="354">
                  <c:v>4.5469124789799927E-2</c:v>
                </c:pt>
                <c:pt idx="355">
                  <c:v>4.491085134108911E-2</c:v>
                </c:pt>
                <c:pt idx="356">
                  <c:v>4.4359432417178948E-2</c:v>
                </c:pt>
                <c:pt idx="357">
                  <c:v>4.3814783857681089E-2</c:v>
                </c:pt>
                <c:pt idx="358">
                  <c:v>4.3276822535534998E-2</c:v>
                </c:pt>
                <c:pt idx="359">
                  <c:v>4.274546634432063E-2</c:v>
                </c:pt>
                <c:pt idx="360">
                  <c:v>4.2220634185726955E-2</c:v>
                </c:pt>
                <c:pt idx="361">
                  <c:v>4.1702245957174318E-2</c:v>
                </c:pt>
                <c:pt idx="362">
                  <c:v>4.1117140298636279E-2</c:v>
                </c:pt>
                <c:pt idx="363">
                  <c:v>4.0540243997263442E-2</c:v>
                </c:pt>
                <c:pt idx="364">
                  <c:v>3.9971441871217983E-2</c:v>
                </c:pt>
                <c:pt idx="365">
                  <c:v>3.9410620354727206E-2</c:v>
                </c:pt>
                <c:pt idx="366">
                  <c:v>3.8857667475409252E-2</c:v>
                </c:pt>
                <c:pt idx="367">
                  <c:v>3.8312472831916917E-2</c:v>
                </c:pt>
                <c:pt idx="368">
                  <c:v>3.7774927571895191E-2</c:v>
                </c:pt>
                <c:pt idx="369">
                  <c:v>3.7244924370248012E-2</c:v>
                </c:pt>
                <c:pt idx="370">
                  <c:v>3.6722357407710016E-2</c:v>
                </c:pt>
                <c:pt idx="371">
                  <c:v>3.6207122349718832E-2</c:v>
                </c:pt>
                <c:pt idx="372">
                  <c:v>3.5699116325583945E-2</c:v>
                </c:pt>
                <c:pt idx="373">
                  <c:v>3.5198237907947703E-2</c:v>
                </c:pt>
                <c:pt idx="374">
                  <c:v>3.4644723230916281E-2</c:v>
                </c:pt>
                <c:pt idx="375">
                  <c:v>3.4099912924214146E-2</c:v>
                </c:pt>
                <c:pt idx="376">
                  <c:v>3.3563670106081932E-2</c:v>
                </c:pt>
                <c:pt idx="377">
                  <c:v>3.3035860047312987E-2</c:v>
                </c:pt>
                <c:pt idx="378">
                  <c:v>3.251635013740313E-2</c:v>
                </c:pt>
                <c:pt idx="379">
                  <c:v>3.2005009851232682E-2</c:v>
                </c:pt>
                <c:pt idx="380">
                  <c:v>3.1501710716272509E-2</c:v>
                </c:pt>
                <c:pt idx="381">
                  <c:v>3.1006326280305686E-2</c:v>
                </c:pt>
                <c:pt idx="382">
                  <c:v>3.0518732079656823E-2</c:v>
                </c:pt>
                <c:pt idx="383">
                  <c:v>3.003880560792099E-2</c:v>
                </c:pt>
                <c:pt idx="384">
                  <c:v>2.9566426285184386E-2</c:v>
                </c:pt>
                <c:pt idx="385">
                  <c:v>2.9101475427729052E-2</c:v>
                </c:pt>
                <c:pt idx="386">
                  <c:v>2.8583328572001646E-2</c:v>
                </c:pt>
                <c:pt idx="387">
                  <c:v>2.8074407233542834E-2</c:v>
                </c:pt>
                <c:pt idx="388">
                  <c:v>2.7574547153575536E-2</c:v>
                </c:pt>
                <c:pt idx="389">
                  <c:v>2.7083586997922453E-2</c:v>
                </c:pt>
                <c:pt idx="390">
                  <c:v>2.6601368304934064E-2</c:v>
                </c:pt>
                <c:pt idx="391">
                  <c:v>2.6127735434343768E-2</c:v>
                </c:pt>
                <c:pt idx="392">
                  <c:v>2.5662535517033624E-2</c:v>
                </c:pt>
                <c:pt idx="393">
                  <c:v>2.5205618405694522E-2</c:v>
                </c:pt>
                <c:pt idx="394">
                  <c:v>2.4756836626364832E-2</c:v>
                </c:pt>
                <c:pt idx="395">
                  <c:v>2.4316045330831915E-2</c:v>
                </c:pt>
                <c:pt idx="396">
                  <c:v>2.3883102249881091E-2</c:v>
                </c:pt>
                <c:pt idx="397">
                  <c:v>2.3457867647377034E-2</c:v>
                </c:pt>
                <c:pt idx="398">
                  <c:v>2.2993622558131234E-2</c:v>
                </c:pt>
                <c:pt idx="399">
                  <c:v>2.2538565154063332E-2</c:v>
                </c:pt>
                <c:pt idx="400">
                  <c:v>2.2092513605443977E-2</c:v>
                </c:pt>
                <c:pt idx="401">
                  <c:v>2.1655289681061823E-2</c:v>
                </c:pt>
                <c:pt idx="402">
                  <c:v>2.1226718677006713E-2</c:v>
                </c:pt>
                <c:pt idx="403">
                  <c:v>2.0806629346862324E-2</c:v>
                </c:pt>
                <c:pt idx="404">
                  <c:v>2.0394853833280276E-2</c:v>
                </c:pt>
                <c:pt idx="405">
                  <c:v>1.9991227600908511E-2</c:v>
                </c:pt>
                <c:pt idx="406">
                  <c:v>1.9595589370647006E-2</c:v>
                </c:pt>
                <c:pt idx="407">
                  <c:v>1.9207781055204605E-2</c:v>
                </c:pt>
                <c:pt idx="408">
                  <c:v>1.8827647695931246E-2</c:v>
                </c:pt>
                <c:pt idx="409">
                  <c:v>1.84550374009003E-2</c:v>
                </c:pt>
                <c:pt idx="410">
                  <c:v>1.8046632980955206E-2</c:v>
                </c:pt>
                <c:pt idx="411">
                  <c:v>1.7647266427832452E-2</c:v>
                </c:pt>
                <c:pt idx="412">
                  <c:v>1.7256737736261015E-2</c:v>
                </c:pt>
                <c:pt idx="413">
                  <c:v>1.6874851327026291E-2</c:v>
                </c:pt>
                <c:pt idx="414">
                  <c:v>1.6501415949022793E-2</c:v>
                </c:pt>
                <c:pt idx="415">
                  <c:v>1.6136244583474402E-2</c:v>
                </c:pt>
                <c:pt idx="416">
                  <c:v>1.5779154350274195E-2</c:v>
                </c:pt>
                <c:pt idx="417">
                  <c:v>1.5429966416396936E-2</c:v>
                </c:pt>
                <c:pt idx="418">
                  <c:v>1.5088505906338392E-2</c:v>
                </c:pt>
                <c:pt idx="419">
                  <c:v>1.4754601814536569E-2</c:v>
                </c:pt>
                <c:pt idx="420">
                  <c:v>1.442808691973106E-2</c:v>
                </c:pt>
                <c:pt idx="421">
                  <c:v>1.4108797701217595E-2</c:v>
                </c:pt>
                <c:pt idx="422">
                  <c:v>1.3765946718249537E-2</c:v>
                </c:pt>
                <c:pt idx="423">
                  <c:v>1.3431427189102809E-2</c:v>
                </c:pt>
                <c:pt idx="424">
                  <c:v>1.3105036655198535E-2</c:v>
                </c:pt>
                <c:pt idx="425">
                  <c:v>1.278657757780461E-2</c:v>
                </c:pt>
                <c:pt idx="426">
                  <c:v>1.2475857218480917E-2</c:v>
                </c:pt>
                <c:pt idx="427">
                  <c:v>1.2172687522429764E-2</c:v>
                </c:pt>
                <c:pt idx="428">
                  <c:v>1.1876885004681006E-2</c:v>
                </c:pt>
                <c:pt idx="429">
                  <c:v>1.1588270639042886E-2</c:v>
                </c:pt>
                <c:pt idx="430">
                  <c:v>1.1306669749751457E-2</c:v>
                </c:pt>
                <c:pt idx="431">
                  <c:v>1.1031911905752961E-2</c:v>
                </c:pt>
                <c:pt idx="432">
                  <c:v>1.0763830817555203E-2</c:v>
                </c:pt>
                <c:pt idx="433">
                  <c:v>1.05022642365855E-2</c:v>
                </c:pt>
                <c:pt idx="434">
                  <c:v>1.0221138307002688E-2</c:v>
                </c:pt>
                <c:pt idx="435">
                  <c:v>9.9475375916502004E-3</c:v>
                </c:pt>
                <c:pt idx="436">
                  <c:v>9.6812606546473438E-3</c:v>
                </c:pt>
                <c:pt idx="437">
                  <c:v>9.422111452174399E-3</c:v>
                </c:pt>
                <c:pt idx="438">
                  <c:v>9.1698991881372701E-3</c:v>
                </c:pt>
                <c:pt idx="439">
                  <c:v>8.9244381736956931E-3</c:v>
                </c:pt>
                <c:pt idx="440">
                  <c:v>8.6855476905516281E-3</c:v>
                </c:pt>
                <c:pt idx="441">
                  <c:v>8.4530518578971609E-3</c:v>
                </c:pt>
                <c:pt idx="442">
                  <c:v>8.2267795029239577E-3</c:v>
                </c:pt>
                <c:pt idx="443">
                  <c:v>8.006564034798937E-3</c:v>
                </c:pt>
                <c:pt idx="444">
                  <c:v>7.792243322013389E-3</c:v>
                </c:pt>
                <c:pt idx="445">
                  <c:v>7.5836595730152112E-3</c:v>
                </c:pt>
                <c:pt idx="446">
                  <c:v>7.3566628956606116E-3</c:v>
                </c:pt>
                <c:pt idx="447">
                  <c:v>7.1364607600485457E-3</c:v>
                </c:pt>
                <c:pt idx="448">
                  <c:v>6.9228497896449224E-3</c:v>
                </c:pt>
                <c:pt idx="449">
                  <c:v>6.7156326954512305E-3</c:v>
                </c:pt>
                <c:pt idx="450">
                  <c:v>6.5146180937903538E-3</c:v>
                </c:pt>
                <c:pt idx="451">
                  <c:v>6.3196203295464871E-3</c:v>
                </c:pt>
                <c:pt idx="452">
                  <c:v>6.1304593046958844E-3</c:v>
                </c:pt>
                <c:pt idx="453">
                  <c:v>5.9469603119700985E-3</c:v>
                </c:pt>
                <c:pt idx="454">
                  <c:v>5.7689538734980502E-3</c:v>
                </c:pt>
                <c:pt idx="455">
                  <c:v>5.5962755842779363E-3</c:v>
                </c:pt>
                <c:pt idx="456">
                  <c:v>5.4287659603343748E-3</c:v>
                </c:pt>
                <c:pt idx="457">
                  <c:v>5.2662702914205743E-3</c:v>
                </c:pt>
                <c:pt idx="458">
                  <c:v>5.0990307932370603E-3</c:v>
                </c:pt>
                <c:pt idx="459">
                  <c:v>4.9371022738307346E-3</c:v>
                </c:pt>
                <c:pt idx="460">
                  <c:v>4.7803160739083202E-3</c:v>
                </c:pt>
                <c:pt idx="461">
                  <c:v>4.6285088902433581E-3</c:v>
                </c:pt>
                <c:pt idx="462">
                  <c:v>4.4815226055850707E-3</c:v>
                </c:pt>
                <c:pt idx="463">
                  <c:v>4.3392041239687495E-3</c:v>
                </c:pt>
                <c:pt idx="464">
                  <c:v>4.2014052112561602E-3</c:v>
                </c:pt>
                <c:pt idx="465">
                  <c:v>4.0679823407398534E-3</c:v>
                </c:pt>
                <c:pt idx="466">
                  <c:v>3.938796543650579E-3</c:v>
                </c:pt>
                <c:pt idx="467">
                  <c:v>3.8137132644120971E-3</c:v>
                </c:pt>
                <c:pt idx="468">
                  <c:v>3.6926022204926169E-3</c:v>
                </c:pt>
                <c:pt idx="469">
                  <c:v>3.5753372667069027E-3</c:v>
                </c:pt>
                <c:pt idx="470">
                  <c:v>3.4479581753153864E-3</c:v>
                </c:pt>
                <c:pt idx="471">
                  <c:v>3.3251172384288503E-3</c:v>
                </c:pt>
                <c:pt idx="472">
                  <c:v>3.2066527745178829E-3</c:v>
                </c:pt>
                <c:pt idx="473">
                  <c:v>3.0924088623058218E-3</c:v>
                </c:pt>
                <c:pt idx="474">
                  <c:v>2.9822351355473387E-3</c:v>
                </c:pt>
                <c:pt idx="475">
                  <c:v>2.8759865851184833E-3</c:v>
                </c:pt>
                <c:pt idx="476">
                  <c:v>2.7735233681576944E-3</c:v>
                </c:pt>
                <c:pt idx="477">
                  <c:v>2.6747106240065772E-3</c:v>
                </c:pt>
                <c:pt idx="478">
                  <c:v>2.5794182967081797E-3</c:v>
                </c:pt>
                <c:pt idx="479">
                  <c:v>2.4875209638291567E-3</c:v>
                </c:pt>
                <c:pt idx="480">
                  <c:v>2.3988976713805112E-3</c:v>
                </c:pt>
                <c:pt idx="481">
                  <c:v>2.3134317746196383E-3</c:v>
                </c:pt>
                <c:pt idx="482">
                  <c:v>2.2235162357205442E-3</c:v>
                </c:pt>
                <c:pt idx="483">
                  <c:v>2.1370954202121336E-3</c:v>
                </c:pt>
                <c:pt idx="484">
                  <c:v>2.0540334996077304E-3</c:v>
                </c:pt>
                <c:pt idx="485">
                  <c:v>1.9741999246304064E-3</c:v>
                </c:pt>
                <c:pt idx="486">
                  <c:v>1.897469220027337E-3</c:v>
                </c:pt>
                <c:pt idx="487">
                  <c:v>1.8237207873590547E-3</c:v>
                </c:pt>
                <c:pt idx="488">
                  <c:v>1.7528387154536361E-3</c:v>
                </c:pt>
                <c:pt idx="489">
                  <c:v>1.6847115982279197E-3</c:v>
                </c:pt>
                <c:pt idx="490">
                  <c:v>1.6192323595894155E-3</c:v>
                </c:pt>
                <c:pt idx="491">
                  <c:v>1.5562980851437072E-3</c:v>
                </c:pt>
                <c:pt idx="492">
                  <c:v>1.4958098604428375E-3</c:v>
                </c:pt>
                <c:pt idx="493">
                  <c:v>1.4376726155204496E-3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92-4B03-AF33-FC2B18137AB4}"/>
            </c:ext>
          </c:extLst>
        </c:ser>
        <c:ser>
          <c:idx val="2"/>
          <c:order val="2"/>
          <c:tx>
            <c:v>Dead</c:v>
          </c:tx>
          <c:spPr>
            <a:solidFill>
              <a:srgbClr val="D64550"/>
            </a:solidFill>
            <a:ln>
              <a:noFill/>
            </a:ln>
            <a:effectLst/>
          </c:spPr>
          <c:val>
            <c:numRef>
              <c:f>Engine!$AA$9:$AA$609</c:f>
              <c:numCache>
                <c:formatCode>0.00%</c:formatCode>
                <c:ptCount val="601"/>
                <c:pt idx="0">
                  <c:v>0</c:v>
                </c:pt>
                <c:pt idx="1">
                  <c:v>6.5313613028031847E-3</c:v>
                </c:pt>
                <c:pt idx="2">
                  <c:v>3.2588985672849957E-2</c:v>
                </c:pt>
                <c:pt idx="3">
                  <c:v>6.0886612702224951E-2</c:v>
                </c:pt>
                <c:pt idx="4">
                  <c:v>8.8192914717134974E-2</c:v>
                </c:pt>
                <c:pt idx="5">
                  <c:v>0.11390561253891929</c:v>
                </c:pt>
                <c:pt idx="6">
                  <c:v>0.13797185798392864</c:v>
                </c:pt>
                <c:pt idx="7">
                  <c:v>0.1604865818244926</c:v>
                </c:pt>
                <c:pt idx="8">
                  <c:v>0.18158159285570274</c:v>
                </c:pt>
                <c:pt idx="9">
                  <c:v>0.20139025312549963</c:v>
                </c:pt>
                <c:pt idx="10">
                  <c:v>0.22003607141847348</c:v>
                </c:pt>
                <c:pt idx="11">
                  <c:v>0.23762969361115316</c:v>
                </c:pt>
                <c:pt idx="12">
                  <c:v>0.25426894854649074</c:v>
                </c:pt>
                <c:pt idx="13">
                  <c:v>0.27003995227553168</c:v>
                </c:pt>
                <c:pt idx="14">
                  <c:v>0.28501849216572195</c:v>
                </c:pt>
                <c:pt idx="15">
                  <c:v>0.29927138857170399</c:v>
                </c:pt>
                <c:pt idx="16">
                  <c:v>0.31285772585497351</c:v>
                </c:pt>
                <c:pt idx="17">
                  <c:v>0.32582992474874917</c:v>
                </c:pt>
                <c:pt idx="18">
                  <c:v>0.33823466038740846</c:v>
                </c:pt>
                <c:pt idx="19">
                  <c:v>0.35011364207013629</c:v>
                </c:pt>
                <c:pt idx="20">
                  <c:v>0.36150427375919136</c:v>
                </c:pt>
                <c:pt idx="21">
                  <c:v>0.37244021360822666</c:v>
                </c:pt>
                <c:pt idx="22">
                  <c:v>0.38295184878217048</c:v>
                </c:pt>
                <c:pt idx="23">
                  <c:v>0.39306669948076456</c:v>
                </c:pt>
                <c:pt idx="24">
                  <c:v>0.40280976383680811</c:v>
                </c:pt>
                <c:pt idx="25">
                  <c:v>0.41220381338221834</c:v>
                </c:pt>
                <c:pt idx="26">
                  <c:v>0.42126964709471859</c:v>
                </c:pt>
                <c:pt idx="27">
                  <c:v>0.43002631063910512</c:v>
                </c:pt>
                <c:pt idx="28">
                  <c:v>0.4384912862649869</c:v>
                </c:pt>
                <c:pt idx="29">
                  <c:v>0.44668065787923628</c:v>
                </c:pt>
                <c:pt idx="30">
                  <c:v>0.45460925504005067</c:v>
                </c:pt>
                <c:pt idx="31">
                  <c:v>0.46229077898912851</c:v>
                </c:pt>
                <c:pt idx="32">
                  <c:v>0.46973791332259285</c:v>
                </c:pt>
                <c:pt idx="33">
                  <c:v>0.4769624214782664</c:v>
                </c:pt>
                <c:pt idx="34">
                  <c:v>0.48397523286909239</c:v>
                </c:pt>
                <c:pt idx="35">
                  <c:v>0.49078651920565552</c:v>
                </c:pt>
                <c:pt idx="36">
                  <c:v>0.49740576231344913</c:v>
                </c:pt>
                <c:pt idx="37">
                  <c:v>0.50384181455353227</c:v>
                </c:pt>
                <c:pt idx="38">
                  <c:v>0.51010295279113649</c:v>
                </c:pt>
                <c:pt idx="39">
                  <c:v>0.51619692671963535</c:v>
                </c:pt>
                <c:pt idx="40">
                  <c:v>0.52213100223227071</c:v>
                </c:pt>
                <c:pt idx="41">
                  <c:v>0.52791200043725661</c:v>
                </c:pt>
                <c:pt idx="42">
                  <c:v>0.53354633283016972</c:v>
                </c:pt>
                <c:pt idx="43">
                  <c:v>0.53904003306834425</c:v>
                </c:pt>
                <c:pt idx="44">
                  <c:v>0.54439878573319089</c:v>
                </c:pt>
                <c:pt idx="45">
                  <c:v>0.54962795241626416</c:v>
                </c:pt>
                <c:pt idx="46">
                  <c:v>0.55473259542206965</c:v>
                </c:pt>
                <c:pt idx="47">
                  <c:v>0.55971749934390425</c:v>
                </c:pt>
                <c:pt idx="48">
                  <c:v>0.56458719073745334</c:v>
                </c:pt>
                <c:pt idx="49">
                  <c:v>0.56934595608968186</c:v>
                </c:pt>
                <c:pt idx="50">
                  <c:v>0.5739978582570413</c:v>
                </c:pt>
                <c:pt idx="51">
                  <c:v>0.57854675152665058</c:v>
                </c:pt>
                <c:pt idx="52">
                  <c:v>0.58299629543642095</c:v>
                </c:pt>
                <c:pt idx="53">
                  <c:v>0.5873499674746876</c:v>
                </c:pt>
                <c:pt idx="54">
                  <c:v>0.59161107476647512</c:v>
                </c:pt>
                <c:pt idx="55">
                  <c:v>0.59578276484176407</c:v>
                </c:pt>
                <c:pt idx="56">
                  <c:v>0.59986803557082213</c:v>
                </c:pt>
                <c:pt idx="57">
                  <c:v>0.60386974434261065</c:v>
                </c:pt>
                <c:pt idx="58">
                  <c:v>0.60779061655430655</c:v>
                </c:pt>
                <c:pt idx="59">
                  <c:v>0.61163325347295983</c:v>
                </c:pt>
                <c:pt idx="60">
                  <c:v>0.61540013952408446</c:v>
                </c:pt>
                <c:pt idx="61">
                  <c:v>0.61909364905649289</c:v>
                </c:pt>
                <c:pt idx="62">
                  <c:v>0.62271605262780083</c:v>
                </c:pt>
                <c:pt idx="63">
                  <c:v>0.62626952285069881</c:v>
                </c:pt>
                <c:pt idx="64">
                  <c:v>0.62975613983622869</c:v>
                </c:pt>
                <c:pt idx="65">
                  <c:v>0.63317789626686483</c:v>
                </c:pt>
                <c:pt idx="66">
                  <c:v>0.63653670212912927</c:v>
                </c:pt>
                <c:pt idx="67">
                  <c:v>0.63983438913272161</c:v>
                </c:pt>
                <c:pt idx="68">
                  <c:v>0.64307271484069051</c:v>
                </c:pt>
                <c:pt idx="69">
                  <c:v>0.6462533665329544</c:v>
                </c:pt>
                <c:pt idx="70">
                  <c:v>0.64937796482350907</c:v>
                </c:pt>
                <c:pt idx="71">
                  <c:v>0.65244806704986757</c:v>
                </c:pt>
                <c:pt idx="72">
                  <c:v>0.65546517045166997</c:v>
                </c:pt>
                <c:pt idx="73">
                  <c:v>0.65843071515395801</c:v>
                </c:pt>
                <c:pt idx="74">
                  <c:v>0.66134608696928687</c:v>
                </c:pt>
                <c:pt idx="75">
                  <c:v>0.66421262003167636</c:v>
                </c:pt>
                <c:pt idx="76">
                  <c:v>0.66703159927431577</c:v>
                </c:pt>
                <c:pt idx="77">
                  <c:v>0.6698042627619758</c:v>
                </c:pt>
                <c:pt idx="78">
                  <c:v>0.67253180388818978</c:v>
                </c:pt>
                <c:pt idx="79">
                  <c:v>0.67521537344646565</c:v>
                </c:pt>
                <c:pt idx="80">
                  <c:v>0.67785608158406174</c:v>
                </c:pt>
                <c:pt idx="81">
                  <c:v>0.68045499964619283</c:v>
                </c:pt>
                <c:pt idx="82">
                  <c:v>0.68301316191792061</c:v>
                </c:pt>
                <c:pt idx="83">
                  <c:v>0.68553156727044129</c:v>
                </c:pt>
                <c:pt idx="84">
                  <c:v>0.68801118071796286</c:v>
                </c:pt>
                <c:pt idx="85">
                  <c:v>0.69045293489090998</c:v>
                </c:pt>
                <c:pt idx="86">
                  <c:v>0.69285773143077245</c:v>
                </c:pt>
                <c:pt idx="87">
                  <c:v>0.69522644231151254</c:v>
                </c:pt>
                <c:pt idx="88">
                  <c:v>0.69755991109210813</c:v>
                </c:pt>
                <c:pt idx="89">
                  <c:v>0.69985895410446242</c:v>
                </c:pt>
                <c:pt idx="90">
                  <c:v>0.70212436158062752</c:v>
                </c:pt>
                <c:pt idx="91">
                  <c:v>0.70435689872299689</c:v>
                </c:pt>
                <c:pt idx="92">
                  <c:v>0.70655730672088124</c:v>
                </c:pt>
                <c:pt idx="93">
                  <c:v>0.70872630371663758</c:v>
                </c:pt>
                <c:pt idx="94">
                  <c:v>0.71086458572430788</c:v>
                </c:pt>
                <c:pt idx="95">
                  <c:v>0.71297282750352675</c:v>
                </c:pt>
                <c:pt idx="96">
                  <c:v>0.71505168339126923</c:v>
                </c:pt>
                <c:pt idx="97">
                  <c:v>0.71710178809384151</c:v>
                </c:pt>
                <c:pt idx="98">
                  <c:v>0.71912375744135948</c:v>
                </c:pt>
                <c:pt idx="99">
                  <c:v>0.72111818910681202</c:v>
                </c:pt>
                <c:pt idx="100">
                  <c:v>0.72308566329167501</c:v>
                </c:pt>
                <c:pt idx="101">
                  <c:v>0.72502674337991058</c:v>
                </c:pt>
                <c:pt idx="102">
                  <c:v>0.72694197656207604</c:v>
                </c:pt>
                <c:pt idx="103">
                  <c:v>0.7288318944311547</c:v>
                </c:pt>
                <c:pt idx="104">
                  <c:v>0.73069701355161965</c:v>
                </c:pt>
                <c:pt idx="105">
                  <c:v>0.73253783600315514</c:v>
                </c:pt>
                <c:pt idx="106">
                  <c:v>0.73435484990036382</c:v>
                </c:pt>
                <c:pt idx="107">
                  <c:v>0.73614852988971402</c:v>
                </c:pt>
                <c:pt idx="108">
                  <c:v>0.7379193376249048</c:v>
                </c:pt>
                <c:pt idx="109">
                  <c:v>0.73966772222175459</c:v>
                </c:pt>
                <c:pt idx="110">
                  <c:v>0.7413941206936534</c:v>
                </c:pt>
                <c:pt idx="111">
                  <c:v>0.74309895836856366</c:v>
                </c:pt>
                <c:pt idx="112">
                  <c:v>0.74478264928848636</c:v>
                </c:pt>
                <c:pt idx="113">
                  <c:v>0.74644559659226983</c:v>
                </c:pt>
                <c:pt idx="114">
                  <c:v>0.74808819288257544</c:v>
                </c:pt>
                <c:pt idx="115">
                  <c:v>0.74971082057777738</c:v>
                </c:pt>
                <c:pt idx="116">
                  <c:v>0.75131385224952674</c:v>
                </c:pt>
                <c:pt idx="117">
                  <c:v>0.75289765094666783</c:v>
                </c:pt>
                <c:pt idx="118">
                  <c:v>0.75446257050615806</c:v>
                </c:pt>
                <c:pt idx="119">
                  <c:v>0.75600895585161099</c:v>
                </c:pt>
                <c:pt idx="120">
                  <c:v>0.75753714328003618</c:v>
                </c:pt>
                <c:pt idx="121">
                  <c:v>0.75904746073733498</c:v>
                </c:pt>
                <c:pt idx="122">
                  <c:v>0.76054022808306765</c:v>
                </c:pt>
                <c:pt idx="123">
                  <c:v>0.7620157573449855</c:v>
                </c:pt>
                <c:pt idx="124">
                  <c:v>0.76347435296379718</c:v>
                </c:pt>
                <c:pt idx="125">
                  <c:v>0.76491631202860921</c:v>
                </c:pt>
                <c:pt idx="126">
                  <c:v>0.76634192450346106</c:v>
                </c:pt>
                <c:pt idx="127">
                  <c:v>0.76775147344535088</c:v>
                </c:pt>
                <c:pt idx="128">
                  <c:v>0.76914523521413258</c:v>
                </c:pt>
                <c:pt idx="129">
                  <c:v>0.77052347967463686</c:v>
                </c:pt>
                <c:pt idx="130">
                  <c:v>0.77188647039136093</c:v>
                </c:pt>
                <c:pt idx="131">
                  <c:v>0.77323446481604519</c:v>
                </c:pt>
                <c:pt idx="132">
                  <c:v>0.77456771446844785</c:v>
                </c:pt>
                <c:pt idx="133">
                  <c:v>0.77588646511060322</c:v>
                </c:pt>
                <c:pt idx="134">
                  <c:v>0.77719095691484652</c:v>
                </c:pt>
                <c:pt idx="135">
                  <c:v>0.77848142462586345</c:v>
                </c:pt>
                <c:pt idx="136">
                  <c:v>0.77975809771701843</c:v>
                </c:pt>
                <c:pt idx="137">
                  <c:v>0.78102120054119761</c:v>
                </c:pt>
                <c:pt idx="138">
                  <c:v>0.78227095247639566</c:v>
                </c:pt>
                <c:pt idx="139">
                  <c:v>0.78350756806626087</c:v>
                </c:pt>
                <c:pt idx="140">
                  <c:v>0.78473125715580505</c:v>
                </c:pt>
                <c:pt idx="141">
                  <c:v>0.78594222502247479</c:v>
                </c:pt>
                <c:pt idx="142">
                  <c:v>0.78714067250276964</c:v>
                </c:pt>
                <c:pt idx="143">
                  <c:v>0.78832679611458945</c:v>
                </c:pt>
                <c:pt idx="144">
                  <c:v>0.78950078817547409</c:v>
                </c:pt>
                <c:pt idx="145">
                  <c:v>0.79066283691690598</c:v>
                </c:pt>
                <c:pt idx="146">
                  <c:v>0.79181312659482384</c:v>
                </c:pt>
                <c:pt idx="147">
                  <c:v>0.79295183759649934</c:v>
                </c:pt>
                <c:pt idx="148">
                  <c:v>0.7940791465439162</c:v>
                </c:pt>
                <c:pt idx="149">
                  <c:v>0.79519522639378692</c:v>
                </c:pt>
                <c:pt idx="150">
                  <c:v>0.79630024653433717</c:v>
                </c:pt>
                <c:pt idx="151">
                  <c:v>0.79739437287897896</c:v>
                </c:pt>
                <c:pt idx="152">
                  <c:v>0.79847776795699343</c:v>
                </c:pt>
                <c:pt idx="153">
                  <c:v>0.79955059100133175</c:v>
                </c:pt>
                <c:pt idx="154">
                  <c:v>0.80061299803364683</c:v>
                </c:pt>
                <c:pt idx="155">
                  <c:v>0.80166514194665528</c:v>
                </c:pt>
                <c:pt idx="156">
                  <c:v>0.80270717258392921</c:v>
                </c:pt>
                <c:pt idx="157">
                  <c:v>0.80373923681721415</c:v>
                </c:pt>
                <c:pt idx="158">
                  <c:v>0.8047614786213606</c:v>
                </c:pt>
                <c:pt idx="159">
                  <c:v>0.80577403914695944</c:v>
                </c:pt>
                <c:pt idx="160">
                  <c:v>0.80677705679076006</c:v>
                </c:pt>
                <c:pt idx="161">
                  <c:v>0.80777066726395574</c:v>
                </c:pt>
                <c:pt idx="162">
                  <c:v>0.80875500365840769</c:v>
                </c:pt>
                <c:pt idx="163">
                  <c:v>0.80973019651088485</c:v>
                </c:pt>
                <c:pt idx="164">
                  <c:v>0.8106963738653874</c:v>
                </c:pt>
                <c:pt idx="165">
                  <c:v>0.81165366133362193</c:v>
                </c:pt>
                <c:pt idx="166">
                  <c:v>0.81260218215369295</c:v>
                </c:pt>
                <c:pt idx="167">
                  <c:v>0.81354205724707285</c:v>
                </c:pt>
                <c:pt idx="168">
                  <c:v>0.81447340527390888</c:v>
                </c:pt>
                <c:pt idx="169">
                  <c:v>0.81539634268672678</c:v>
                </c:pt>
                <c:pt idx="170">
                  <c:v>0.81631098378258238</c:v>
                </c:pt>
                <c:pt idx="171">
                  <c:v>0.81721744075371694</c:v>
                </c:pt>
                <c:pt idx="172">
                  <c:v>0.8181158237367645</c:v>
                </c:pt>
                <c:pt idx="173">
                  <c:v>0.81900624086056317</c:v>
                </c:pt>
                <c:pt idx="174">
                  <c:v>0.81988879829261296</c:v>
                </c:pt>
                <c:pt idx="175">
                  <c:v>0.82076360028422868</c:v>
                </c:pt>
                <c:pt idx="176">
                  <c:v>0.82163074921442969</c:v>
                </c:pt>
                <c:pt idx="177">
                  <c:v>0.82249034563260681</c:v>
                </c:pt>
                <c:pt idx="178">
                  <c:v>0.82334248830001056</c:v>
                </c:pt>
                <c:pt idx="179">
                  <c:v>0.82418727423009353</c:v>
                </c:pt>
                <c:pt idx="180">
                  <c:v>0.82502479872775025</c:v>
                </c:pt>
                <c:pt idx="181">
                  <c:v>0.82585515542748333</c:v>
                </c:pt>
                <c:pt idx="182">
                  <c:v>0.82667843633053706</c:v>
                </c:pt>
                <c:pt idx="183">
                  <c:v>0.82749473184102751</c:v>
                </c:pt>
                <c:pt idx="184">
                  <c:v>0.82830413080110066</c:v>
                </c:pt>
                <c:pt idx="185">
                  <c:v>0.82910672052515189</c:v>
                </c:pt>
                <c:pt idx="186">
                  <c:v>0.82990258683313567</c:v>
                </c:pt>
                <c:pt idx="187">
                  <c:v>0.83069181408299131</c:v>
                </c:pt>
                <c:pt idx="188">
                  <c:v>0.83147448520221579</c:v>
                </c:pt>
                <c:pt idx="189">
                  <c:v>0.83225068171860928</c:v>
                </c:pt>
                <c:pt idx="190">
                  <c:v>0.83302048379021643</c:v>
                </c:pt>
                <c:pt idx="191">
                  <c:v>0.83378397023449236</c:v>
                </c:pt>
                <c:pt idx="192">
                  <c:v>0.83454121855671226</c:v>
                </c:pt>
                <c:pt idx="193">
                  <c:v>0.83529230497765283</c:v>
                </c:pt>
                <c:pt idx="194">
                  <c:v>0.83603730446056201</c:v>
                </c:pt>
                <c:pt idx="195">
                  <c:v>0.83677629073744442</c:v>
                </c:pt>
                <c:pt idx="196">
                  <c:v>0.83750933633467695</c:v>
                </c:pt>
                <c:pt idx="197">
                  <c:v>0.83823651259798027</c:v>
                </c:pt>
                <c:pt idx="198">
                  <c:v>0.83895788971676044</c:v>
                </c:pt>
                <c:pt idx="199">
                  <c:v>0.83967353674784284</c:v>
                </c:pt>
                <c:pt idx="200">
                  <c:v>0.84038352163861441</c:v>
                </c:pt>
                <c:pt idx="201">
                  <c:v>0.84108791124959215</c:v>
                </c:pt>
                <c:pt idx="202">
                  <c:v>0.84178677137643554</c:v>
                </c:pt>
                <c:pt idx="203">
                  <c:v>0.84248016677141557</c:v>
                </c:pt>
                <c:pt idx="204">
                  <c:v>0.84316816116436177</c:v>
                </c:pt>
                <c:pt idx="205">
                  <c:v>0.84385081728309641</c:v>
                </c:pt>
                <c:pt idx="206">
                  <c:v>0.84452819687337566</c:v>
                </c:pt>
                <c:pt idx="207">
                  <c:v>0.8452003607183467</c:v>
                </c:pt>
                <c:pt idx="208">
                  <c:v>0.84586736865753998</c:v>
                </c:pt>
                <c:pt idx="209">
                  <c:v>0.84652927960540425</c:v>
                </c:pt>
                <c:pt idx="210">
                  <c:v>0.84718615156940291</c:v>
                </c:pt>
                <c:pt idx="211">
                  <c:v>0.84783804166767862</c:v>
                </c:pt>
                <c:pt idx="212">
                  <c:v>0.84848500614630162</c:v>
                </c:pt>
                <c:pt idx="213">
                  <c:v>0.8491271003961125</c:v>
                </c:pt>
                <c:pt idx="214">
                  <c:v>0.84976437896917068</c:v>
                </c:pt>
                <c:pt idx="215">
                  <c:v>0.85039689559481868</c:v>
                </c:pt>
                <c:pt idx="216">
                  <c:v>0.85102470319537371</c:v>
                </c:pt>
                <c:pt idx="217">
                  <c:v>0.85164785390145603</c:v>
                </c:pt>
                <c:pt idx="218">
                  <c:v>0.85226639906696544</c:v>
                </c:pt>
                <c:pt idx="219">
                  <c:v>0.85288038928371313</c:v>
                </c:pt>
                <c:pt idx="220">
                  <c:v>0.85348987439571944</c:v>
                </c:pt>
                <c:pt idx="221">
                  <c:v>0.85409490351318706</c:v>
                </c:pt>
                <c:pt idx="222">
                  <c:v>0.85469552502615809</c:v>
                </c:pt>
                <c:pt idx="223">
                  <c:v>0.85529178661786109</c:v>
                </c:pt>
                <c:pt idx="224">
                  <c:v>0.85588373527776129</c:v>
                </c:pt>
                <c:pt idx="225">
                  <c:v>0.85647141731431553</c:v>
                </c:pt>
                <c:pt idx="226">
                  <c:v>0.85705487836744565</c:v>
                </c:pt>
                <c:pt idx="227">
                  <c:v>0.85763416342073373</c:v>
                </c:pt>
                <c:pt idx="228">
                  <c:v>0.85820931681334756</c:v>
                </c:pt>
                <c:pt idx="229">
                  <c:v>0.85878038225170494</c:v>
                </c:pt>
                <c:pt idx="230">
                  <c:v>0.85934740282087974</c:v>
                </c:pt>
                <c:pt idx="231">
                  <c:v>0.85991042099576198</c:v>
                </c:pt>
                <c:pt idx="232">
                  <c:v>0.86046947865197176</c:v>
                </c:pt>
                <c:pt idx="233">
                  <c:v>0.86102461707653977</c:v>
                </c:pt>
                <c:pt idx="234">
                  <c:v>0.86157587697835414</c:v>
                </c:pt>
                <c:pt idx="235">
                  <c:v>0.86212329849838609</c:v>
                </c:pt>
                <c:pt idx="236">
                  <c:v>0.86266692121969291</c:v>
                </c:pt>
                <c:pt idx="237">
                  <c:v>0.86320678417721042</c:v>
                </c:pt>
                <c:pt idx="238">
                  <c:v>0.86374292586733536</c:v>
                </c:pt>
                <c:pt idx="239">
                  <c:v>0.86427538425730654</c:v>
                </c:pt>
                <c:pt idx="240">
                  <c:v>0.8648041967943858</c:v>
                </c:pt>
                <c:pt idx="241">
                  <c:v>0.86532940041484885</c:v>
                </c:pt>
                <c:pt idx="242">
                  <c:v>0.8658904266213554</c:v>
                </c:pt>
                <c:pt idx="243">
                  <c:v>0.86644911564064109</c:v>
                </c:pt>
                <c:pt idx="244">
                  <c:v>0.86700547720922805</c:v>
                </c:pt>
                <c:pt idx="245">
                  <c:v>0.86755952102307687</c:v>
                </c:pt>
                <c:pt idx="246">
                  <c:v>0.86811125673775569</c:v>
                </c:pt>
                <c:pt idx="247">
                  <c:v>0.86866069396860834</c:v>
                </c:pt>
                <c:pt idx="248">
                  <c:v>0.86920784229092207</c:v>
                </c:pt>
                <c:pt idx="249">
                  <c:v>0.86975271124009423</c:v>
                </c:pt>
                <c:pt idx="250">
                  <c:v>0.8702953103117983</c:v>
                </c:pt>
                <c:pt idx="251">
                  <c:v>0.87083564896214993</c:v>
                </c:pt>
                <c:pt idx="252">
                  <c:v>0.87137373660787132</c:v>
                </c:pt>
                <c:pt idx="253">
                  <c:v>0.87190958262645513</c:v>
                </c:pt>
                <c:pt idx="254">
                  <c:v>0.87250714767240778</c:v>
                </c:pt>
                <c:pt idx="255">
                  <c:v>0.87310192496896066</c:v>
                </c:pt>
                <c:pt idx="256">
                  <c:v>0.87369392752147079</c:v>
                </c:pt>
                <c:pt idx="257">
                  <c:v>0.87428316827462271</c:v>
                </c:pt>
                <c:pt idx="258">
                  <c:v>0.87486966011271172</c:v>
                </c:pt>
                <c:pt idx="259">
                  <c:v>0.87545341585992553</c:v>
                </c:pt>
                <c:pt idx="260">
                  <c:v>0.8760344482806246</c:v>
                </c:pt>
                <c:pt idx="261">
                  <c:v>0.87661277007962157</c:v>
                </c:pt>
                <c:pt idx="262">
                  <c:v>0.87718839390245851</c:v>
                </c:pt>
                <c:pt idx="263">
                  <c:v>0.87776133233568399</c:v>
                </c:pt>
                <c:pt idx="264">
                  <c:v>0.87833159790712789</c:v>
                </c:pt>
                <c:pt idx="265">
                  <c:v>0.87889920308617564</c:v>
                </c:pt>
                <c:pt idx="266">
                  <c:v>0.8795411892291678</c:v>
                </c:pt>
                <c:pt idx="267">
                  <c:v>0.88017977204023889</c:v>
                </c:pt>
                <c:pt idx="268">
                  <c:v>0.88081496956131766</c:v>
                </c:pt>
                <c:pt idx="269">
                  <c:v>0.88144679973868789</c:v>
                </c:pt>
                <c:pt idx="270">
                  <c:v>0.88207528042349537</c:v>
                </c:pt>
                <c:pt idx="271">
                  <c:v>0.88270042937225268</c:v>
                </c:pt>
                <c:pt idx="272">
                  <c:v>0.88332226424734039</c:v>
                </c:pt>
                <c:pt idx="273">
                  <c:v>0.88394080261750663</c:v>
                </c:pt>
                <c:pt idx="274">
                  <c:v>0.88455606195836278</c:v>
                </c:pt>
                <c:pt idx="275">
                  <c:v>0.88516805965287759</c:v>
                </c:pt>
                <c:pt idx="276">
                  <c:v>0.8857768129918685</c:v>
                </c:pt>
                <c:pt idx="277">
                  <c:v>0.88638233917448972</c:v>
                </c:pt>
                <c:pt idx="278">
                  <c:v>0.88704841057063111</c:v>
                </c:pt>
                <c:pt idx="279">
                  <c:v>0.88771057719438451</c:v>
                </c:pt>
                <c:pt idx="280">
                  <c:v>0.88836886193706111</c:v>
                </c:pt>
                <c:pt idx="281">
                  <c:v>0.88902328755577387</c:v>
                </c:pt>
                <c:pt idx="282">
                  <c:v>0.8896738766742246</c:v>
                </c:pt>
                <c:pt idx="283">
                  <c:v>0.89032065178348607</c:v>
                </c:pt>
                <c:pt idx="284">
                  <c:v>0.89096363524277977</c:v>
                </c:pt>
                <c:pt idx="285">
                  <c:v>0.89160284928024836</c:v>
                </c:pt>
                <c:pt idx="286">
                  <c:v>0.89223831599372461</c:v>
                </c:pt>
                <c:pt idx="287">
                  <c:v>0.89287005735149494</c:v>
                </c:pt>
                <c:pt idx="288">
                  <c:v>0.89349809519305912</c:v>
                </c:pt>
                <c:pt idx="289">
                  <c:v>0.89412245122988532</c:v>
                </c:pt>
                <c:pt idx="290">
                  <c:v>0.89482271260394586</c:v>
                </c:pt>
                <c:pt idx="291">
                  <c:v>0.89551834253349627</c:v>
                </c:pt>
                <c:pt idx="292">
                  <c:v>0.89620937165035364</c:v>
                </c:pt>
                <c:pt idx="293">
                  <c:v>0.89689583038373955</c:v>
                </c:pt>
                <c:pt idx="294">
                  <c:v>0.89757774896162068</c:v>
                </c:pt>
                <c:pt idx="295">
                  <c:v>0.89825515741203965</c:v>
                </c:pt>
                <c:pt idx="296">
                  <c:v>0.89892808556443682</c:v>
                </c:pt>
                <c:pt idx="297">
                  <c:v>0.8995965630509648</c:v>
                </c:pt>
                <c:pt idx="298">
                  <c:v>0.90026061930779222</c:v>
                </c:pt>
                <c:pt idx="299">
                  <c:v>0.90092028357640053</c:v>
                </c:pt>
                <c:pt idx="300">
                  <c:v>0.90157558490487166</c:v>
                </c:pt>
                <c:pt idx="301">
                  <c:v>0.90222655214916703</c:v>
                </c:pt>
                <c:pt idx="302">
                  <c:v>0.90295493228019597</c:v>
                </c:pt>
                <c:pt idx="303">
                  <c:v>0.90367788621805156</c:v>
                </c:pt>
                <c:pt idx="304">
                  <c:v>0.9043954543860937</c:v>
                </c:pt>
                <c:pt idx="305">
                  <c:v>0.90510767690654192</c:v>
                </c:pt>
                <c:pt idx="306">
                  <c:v>0.90581459360271799</c:v>
                </c:pt>
                <c:pt idx="307">
                  <c:v>0.90651624400127351</c:v>
                </c:pt>
                <c:pt idx="308">
                  <c:v>0.90721266733439887</c:v>
                </c:pt>
                <c:pt idx="309">
                  <c:v>0.90790390254201792</c:v>
                </c:pt>
                <c:pt idx="310">
                  <c:v>0.90858998827396475</c:v>
                </c:pt>
                <c:pt idx="311">
                  <c:v>0.90927096289214493</c:v>
                </c:pt>
                <c:pt idx="312">
                  <c:v>0.90994686447268014</c:v>
                </c:pt>
                <c:pt idx="313">
                  <c:v>0.91061773080803776</c:v>
                </c:pt>
                <c:pt idx="314">
                  <c:v>0.91137346141416564</c:v>
                </c:pt>
                <c:pt idx="315">
                  <c:v>0.91212280228825604</c:v>
                </c:pt>
                <c:pt idx="316">
                  <c:v>0.91286580745574497</c:v>
                </c:pt>
                <c:pt idx="317">
                  <c:v>0.91360253048528128</c:v>
                </c:pt>
                <c:pt idx="318">
                  <c:v>0.91433302449258869</c:v>
                </c:pt>
                <c:pt idx="319">
                  <c:v>0.91505734214429568</c:v>
                </c:pt>
                <c:pt idx="320">
                  <c:v>0.91577553566173187</c:v>
                </c:pt>
                <c:pt idx="321">
                  <c:v>0.9164876568246938</c:v>
                </c:pt>
                <c:pt idx="322">
                  <c:v>0.91719375697517758</c:v>
                </c:pt>
                <c:pt idx="323">
                  <c:v>0.9178938870210811</c:v>
                </c:pt>
                <c:pt idx="324">
                  <c:v>0.91858809743987346</c:v>
                </c:pt>
                <c:pt idx="325">
                  <c:v>0.91927643828223504</c:v>
                </c:pt>
                <c:pt idx="326">
                  <c:v>0.92004920720162664</c:v>
                </c:pt>
                <c:pt idx="327">
                  <c:v>0.92081457838248837</c:v>
                </c:pt>
                <c:pt idx="328">
                  <c:v>0.92157262264357886</c:v>
                </c:pt>
                <c:pt idx="329">
                  <c:v>0.92232341012570629</c:v>
                </c:pt>
                <c:pt idx="330">
                  <c:v>0.92306701029821903</c:v>
                </c:pt>
                <c:pt idx="331">
                  <c:v>0.92380349196543377</c:v>
                </c:pt>
                <c:pt idx="332">
                  <c:v>0.92453292327300107</c:v>
                </c:pt>
                <c:pt idx="333">
                  <c:v>0.92525537171421168</c:v>
                </c:pt>
                <c:pt idx="334">
                  <c:v>0.92597090413624084</c:v>
                </c:pt>
                <c:pt idx="335">
                  <c:v>0.92667958674633411</c:v>
                </c:pt>
                <c:pt idx="336">
                  <c:v>0.92738148511793328</c:v>
                </c:pt>
                <c:pt idx="337">
                  <c:v>0.92807666419674351</c:v>
                </c:pt>
                <c:pt idx="338">
                  <c:v>0.92886422401600099</c:v>
                </c:pt>
                <c:pt idx="339">
                  <c:v>0.92964316006298786</c:v>
                </c:pt>
                <c:pt idx="340">
                  <c:v>0.93041356676792564</c:v>
                </c:pt>
                <c:pt idx="341">
                  <c:v>0.93117553752702587</c:v>
                </c:pt>
                <c:pt idx="342">
                  <c:v>0.93192916471381237</c:v>
                </c:pt>
                <c:pt idx="343">
                  <c:v>0.93267453969031988</c:v>
                </c:pt>
                <c:pt idx="344">
                  <c:v>0.93341175281816979</c:v>
                </c:pt>
                <c:pt idx="345">
                  <c:v>0.93414089346952456</c:v>
                </c:pt>
                <c:pt idx="346">
                  <c:v>0.93486205003792244</c:v>
                </c:pt>
                <c:pt idx="347">
                  <c:v>0.93557530994899318</c:v>
                </c:pt>
                <c:pt idx="348">
                  <c:v>0.93628075967105673</c:v>
                </c:pt>
                <c:pt idx="349">
                  <c:v>0.93697848472560585</c:v>
                </c:pt>
                <c:pt idx="350">
                  <c:v>0.93775226778912135</c:v>
                </c:pt>
                <c:pt idx="351">
                  <c:v>0.93851655028403291</c:v>
                </c:pt>
                <c:pt idx="352">
                  <c:v>0.93927144885906044</c:v>
                </c:pt>
                <c:pt idx="353">
                  <c:v>0.94001707873070184</c:v>
                </c:pt>
                <c:pt idx="354">
                  <c:v>0.94075355370081759</c:v>
                </c:pt>
                <c:pt idx="355">
                  <c:v>0.94148098617400056</c:v>
                </c:pt>
                <c:pt idx="356">
                  <c:v>0.94219948717473068</c:v>
                </c:pt>
                <c:pt idx="357">
                  <c:v>0.94290916636432121</c:v>
                </c:pt>
                <c:pt idx="358">
                  <c:v>0.94361013205765509</c:v>
                </c:pt>
                <c:pt idx="359">
                  <c:v>0.94430249123971666</c:v>
                </c:pt>
                <c:pt idx="360">
                  <c:v>0.94498634958192029</c:v>
                </c:pt>
                <c:pt idx="361">
                  <c:v>0.94566181145823869</c:v>
                </c:pt>
                <c:pt idx="362">
                  <c:v>0.94642420640509939</c:v>
                </c:pt>
                <c:pt idx="363">
                  <c:v>0.94717590452767131</c:v>
                </c:pt>
                <c:pt idx="364">
                  <c:v>0.94791705590833686</c:v>
                </c:pt>
                <c:pt idx="365">
                  <c:v>0.94864780852373909</c:v>
                </c:pt>
                <c:pt idx="366">
                  <c:v>0.94936830827432672</c:v>
                </c:pt>
                <c:pt idx="367">
                  <c:v>0.95007869901348418</c:v>
                </c:pt>
                <c:pt idx="368">
                  <c:v>0.95077912257625319</c:v>
                </c:pt>
                <c:pt idx="369">
                  <c:v>0.95146971880765074</c:v>
                </c:pt>
                <c:pt idx="370">
                  <c:v>0.95215062559059105</c:v>
                </c:pt>
                <c:pt idx="371">
                  <c:v>0.95282197887341435</c:v>
                </c:pt>
                <c:pt idx="372">
                  <c:v>0.95348391269702992</c:v>
                </c:pt>
                <c:pt idx="373">
                  <c:v>0.95413655922167917</c:v>
                </c:pt>
                <c:pt idx="374">
                  <c:v>0.95485779099687063</c:v>
                </c:pt>
                <c:pt idx="375">
                  <c:v>0.95556768094369693</c:v>
                </c:pt>
                <c:pt idx="376">
                  <c:v>0.95626640741962243</c:v>
                </c:pt>
                <c:pt idx="377">
                  <c:v>0.95695414597732698</c:v>
                </c:pt>
                <c:pt idx="378">
                  <c:v>0.95763106940881271</c:v>
                </c:pt>
                <c:pt idx="379">
                  <c:v>0.95829734778881803</c:v>
                </c:pt>
                <c:pt idx="380">
                  <c:v>0.95895314851754754</c:v>
                </c:pt>
                <c:pt idx="381">
                  <c:v>0.95959863636273124</c:v>
                </c:pt>
                <c:pt idx="382">
                  <c:v>0.96023397350102202</c:v>
                </c:pt>
                <c:pt idx="383">
                  <c:v>0.96085931955874138</c:v>
                </c:pt>
                <c:pt idx="384">
                  <c:v>0.96147483165198577</c:v>
                </c:pt>
                <c:pt idx="385">
                  <c:v>0.96208066442610074</c:v>
                </c:pt>
                <c:pt idx="386">
                  <c:v>0.96275581179268988</c:v>
                </c:pt>
                <c:pt idx="387">
                  <c:v>0.9634189382744266</c:v>
                </c:pt>
                <c:pt idx="388">
                  <c:v>0.96407025790113576</c:v>
                </c:pt>
                <c:pt idx="389">
                  <c:v>0.96470998089187754</c:v>
                </c:pt>
                <c:pt idx="390">
                  <c:v>0.96533831372279677</c:v>
                </c:pt>
                <c:pt idx="391">
                  <c:v>0.96595545919376591</c:v>
                </c:pt>
                <c:pt idx="392">
                  <c:v>0.96656161649383965</c:v>
                </c:pt>
                <c:pt idx="393">
                  <c:v>0.96715698126554517</c:v>
                </c:pt>
                <c:pt idx="394">
                  <c:v>0.96774174566802762</c:v>
                </c:pt>
                <c:pt idx="395">
                  <c:v>0.96831609843907096</c:v>
                </c:pt>
                <c:pt idx="396">
                  <c:v>0.96888022495601489</c:v>
                </c:pt>
                <c:pt idx="397">
                  <c:v>0.96943430729558655</c:v>
                </c:pt>
                <c:pt idx="398">
                  <c:v>0.9700392204509819</c:v>
                </c:pt>
                <c:pt idx="399">
                  <c:v>0.97063216201688607</c:v>
                </c:pt>
                <c:pt idx="400">
                  <c:v>0.97121336891814292</c:v>
                </c:pt>
                <c:pt idx="401">
                  <c:v>0.97178307339071368</c:v>
                </c:pt>
                <c:pt idx="402">
                  <c:v>0.97234150307447198</c:v>
                </c:pt>
                <c:pt idx="403">
                  <c:v>0.97288888110416405</c:v>
                </c:pt>
                <c:pt idx="404">
                  <c:v>0.97342542619856687</c:v>
                </c:pt>
                <c:pt idx="405">
                  <c:v>0.97395135274788358</c:v>
                </c:pt>
                <c:pt idx="406">
                  <c:v>0.97446687089940853</c:v>
                </c:pt>
                <c:pt idx="407">
                  <c:v>0.97497218664149621</c:v>
                </c:pt>
                <c:pt idx="408">
                  <c:v>0.97546750188586984</c:v>
                </c:pt>
                <c:pt idx="409">
                  <c:v>0.97595301454830019</c:v>
                </c:pt>
                <c:pt idx="410">
                  <c:v>0.97648516709459365</c:v>
                </c:pt>
                <c:pt idx="411">
                  <c:v>0.97700554326529543</c:v>
                </c:pt>
                <c:pt idx="412">
                  <c:v>0.97751440366805087</c:v>
                </c:pt>
                <c:pt idx="413">
                  <c:v>0.97801200314333681</c:v>
                </c:pt>
                <c:pt idx="414">
                  <c:v>0.97849859089208668</c:v>
                </c:pt>
                <c:pt idx="415">
                  <c:v>0.97897441060049273</c:v>
                </c:pt>
                <c:pt idx="416">
                  <c:v>0.97943970056204499</c:v>
                </c:pt>
                <c:pt idx="417">
                  <c:v>0.97989469379687022</c:v>
                </c:pt>
                <c:pt idx="418">
                  <c:v>0.98033961816842996</c:v>
                </c:pt>
                <c:pt idx="419">
                  <c:v>0.98077469649763616</c:v>
                </c:pt>
                <c:pt idx="420">
                  <c:v>0.98120014667444089</c:v>
                </c:pt>
                <c:pt idx="421">
                  <c:v>0.98161618176695731</c:v>
                </c:pt>
                <c:pt idx="422">
                  <c:v>0.98206291793012179</c:v>
                </c:pt>
                <c:pt idx="423">
                  <c:v>0.98249879817658003</c:v>
                </c:pt>
                <c:pt idx="424">
                  <c:v>0.9829240863106472</c:v>
                </c:pt>
                <c:pt idx="425">
                  <c:v>0.98333903972605885</c:v>
                </c:pt>
                <c:pt idx="426">
                  <c:v>0.98374390956175151</c:v>
                </c:pt>
                <c:pt idx="427">
                  <c:v>0.98413894085385722</c:v>
                </c:pt>
                <c:pt idx="428">
                  <c:v>0.98452437268400539</c:v>
                </c:pt>
                <c:pt idx="429">
                  <c:v>0.9849004383240193</c:v>
                </c:pt>
                <c:pt idx="430">
                  <c:v>0.98526736537709836</c:v>
                </c:pt>
                <c:pt idx="431">
                  <c:v>0.98562537591556798</c:v>
                </c:pt>
                <c:pt idx="432">
                  <c:v>0.98597468661528254</c:v>
                </c:pt>
                <c:pt idx="433">
                  <c:v>0.98631550888676289</c:v>
                </c:pt>
                <c:pt idx="434">
                  <c:v>0.98668181706549596</c:v>
                </c:pt>
                <c:pt idx="435">
                  <c:v>0.98703831986084301</c:v>
                </c:pt>
                <c:pt idx="436">
                  <c:v>0.98738527974453949</c:v>
                </c:pt>
                <c:pt idx="437">
                  <c:v>0.98772295216244432</c:v>
                </c:pt>
                <c:pt idx="438">
                  <c:v>0.98805158572260965</c:v>
                </c:pt>
                <c:pt idx="439">
                  <c:v>0.98837142237831577</c:v>
                </c:pt>
                <c:pt idx="440">
                  <c:v>0.98868269760620742</c:v>
                </c:pt>
                <c:pt idx="441">
                  <c:v>0.98898564057966087</c:v>
                </c:pt>
                <c:pt idx="442">
                  <c:v>0.98928047433751054</c:v>
                </c:pt>
                <c:pt idx="443">
                  <c:v>0.98956741594825914</c:v>
                </c:pt>
                <c:pt idx="444">
                  <c:v>0.9898466766698929</c:v>
                </c:pt>
                <c:pt idx="445">
                  <c:v>0.9901184621054171</c:v>
                </c:pt>
                <c:pt idx="446">
                  <c:v>0.99041423965814446</c:v>
                </c:pt>
                <c:pt idx="447">
                  <c:v>0.99070116389657703</c:v>
                </c:pt>
                <c:pt idx="448">
                  <c:v>0.99097949982112887</c:v>
                </c:pt>
                <c:pt idx="449">
                  <c:v>0.99124950450013194</c:v>
                </c:pt>
                <c:pt idx="450">
                  <c:v>0.99151142730726116</c:v>
                </c:pt>
                <c:pt idx="451">
                  <c:v>0.99176551015185388</c:v>
                </c:pt>
                <c:pt idx="452">
                  <c:v>0.99201198770233501</c:v>
                </c:pt>
                <c:pt idx="453">
                  <c:v>0.99225108760295411</c:v>
                </c:pt>
                <c:pt idx="454">
                  <c:v>0.99248303068403609</c:v>
                </c:pt>
                <c:pt idx="455">
                  <c:v>0.99270803116593687</c:v>
                </c:pt>
                <c:pt idx="456">
                  <c:v>0.99292629685689637</c:v>
                </c:pt>
                <c:pt idx="457">
                  <c:v>0.99313802934496731</c:v>
                </c:pt>
                <c:pt idx="458">
                  <c:v>0.99335594306101171</c:v>
                </c:pt>
                <c:pt idx="459">
                  <c:v>0.99356693655107031</c:v>
                </c:pt>
                <c:pt idx="460">
                  <c:v>0.99377122957885788</c:v>
                </c:pt>
                <c:pt idx="461">
                  <c:v>0.99396903492911293</c:v>
                </c:pt>
                <c:pt idx="462">
                  <c:v>0.9941605586292277</c:v>
                </c:pt>
                <c:pt idx="463">
                  <c:v>0.99434600016383912</c:v>
                </c:pt>
                <c:pt idx="464">
                  <c:v>0.99452555268260556</c:v>
                </c:pt>
                <c:pt idx="465">
                  <c:v>0.99469940320138439</c:v>
                </c:pt>
                <c:pt idx="466">
                  <c:v>0.99486773279702212</c:v>
                </c:pt>
                <c:pt idx="467">
                  <c:v>0.99503071679595734</c:v>
                </c:pt>
                <c:pt idx="468">
                  <c:v>0.99518852495683541</c:v>
                </c:pt>
                <c:pt idx="469">
                  <c:v>0.99534132164732292</c:v>
                </c:pt>
                <c:pt idx="470">
                  <c:v>0.99550729709841534</c:v>
                </c:pt>
                <c:pt idx="471">
                  <c:v>0.99566735931655204</c:v>
                </c:pt>
                <c:pt idx="472">
                  <c:v>0.99582171897339411</c:v>
                </c:pt>
                <c:pt idx="473">
                  <c:v>0.9959705792349709</c:v>
                </c:pt>
                <c:pt idx="474">
                  <c:v>0.99611413602908461</c:v>
                </c:pt>
                <c:pt idx="475">
                  <c:v>0.99625257830318703</c:v>
                </c:pt>
                <c:pt idx="476">
                  <c:v>0.9963860882730704</c:v>
                </c:pt>
                <c:pt idx="477">
                  <c:v>0.99651484166269666</c:v>
                </c:pt>
                <c:pt idx="478">
                  <c:v>0.99663900793548299</c:v>
                </c:pt>
                <c:pt idx="479">
                  <c:v>0.99675875051734764</c:v>
                </c:pt>
                <c:pt idx="480">
                  <c:v>0.99687422701180817</c:v>
                </c:pt>
                <c:pt idx="481">
                  <c:v>0.99698558940741755</c:v>
                </c:pt>
                <c:pt idx="482">
                  <c:v>0.9971027497040249</c:v>
                </c:pt>
                <c:pt idx="483">
                  <c:v>0.99721535636247327</c:v>
                </c:pt>
                <c:pt idx="484">
                  <c:v>0.9973235863678086</c:v>
                </c:pt>
                <c:pt idx="485">
                  <c:v>0.99742760982624623</c:v>
                </c:pt>
                <c:pt idx="486">
                  <c:v>0.99752759023252813</c:v>
                </c:pt>
                <c:pt idx="487">
                  <c:v>0.99762368472688945</c:v>
                </c:pt>
                <c:pt idx="488">
                  <c:v>0.99771604434203787</c:v>
                </c:pt>
                <c:pt idx="489">
                  <c:v>0.99780481424053247</c:v>
                </c:pt>
                <c:pt idx="490">
                  <c:v>0.99789013394293802</c:v>
                </c:pt>
                <c:pt idx="491">
                  <c:v>0.99797213754711045</c:v>
                </c:pt>
                <c:pt idx="492">
                  <c:v>0.9980509539389596</c:v>
                </c:pt>
                <c:pt idx="493">
                  <c:v>0.99812670699502126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92-4B03-AF33-FC2B18137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757792"/>
        <c:axId val="239756352"/>
      </c:areaChart>
      <c:lineChart>
        <c:grouping val="standard"/>
        <c:varyColors val="0"/>
        <c:ser>
          <c:idx val="3"/>
          <c:order val="3"/>
          <c:tx>
            <c:v>PFS KM</c:v>
          </c:tx>
          <c:spPr>
            <a:ln w="444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Engine!$K$9:$K$33</c:f>
              <c:numCache>
                <c:formatCode>0.00%</c:formatCode>
                <c:ptCount val="25"/>
                <c:pt idx="0">
                  <c:v>1</c:v>
                </c:pt>
                <c:pt idx="1">
                  <c:v>0.97399999999999998</c:v>
                </c:pt>
                <c:pt idx="2">
                  <c:v>0.93400000000000005</c:v>
                </c:pt>
                <c:pt idx="3">
                  <c:v>0.89200000000000002</c:v>
                </c:pt>
                <c:pt idx="4">
                  <c:v>0.86</c:v>
                </c:pt>
                <c:pt idx="5">
                  <c:v>0.83599999999999997</c:v>
                </c:pt>
                <c:pt idx="6">
                  <c:v>0.8</c:v>
                </c:pt>
                <c:pt idx="7">
                  <c:v>0.754</c:v>
                </c:pt>
                <c:pt idx="8">
                  <c:v>0.73</c:v>
                </c:pt>
                <c:pt idx="9">
                  <c:v>0.69399999999999995</c:v>
                </c:pt>
                <c:pt idx="10">
                  <c:v>0.65800000000000003</c:v>
                </c:pt>
                <c:pt idx="11">
                  <c:v>0.62</c:v>
                </c:pt>
                <c:pt idx="12">
                  <c:v>0.59399999999999997</c:v>
                </c:pt>
                <c:pt idx="13">
                  <c:v>0.56000000000000005</c:v>
                </c:pt>
                <c:pt idx="14">
                  <c:v>0.52600000000000002</c:v>
                </c:pt>
                <c:pt idx="15">
                  <c:v>0.50600000000000001</c:v>
                </c:pt>
                <c:pt idx="16">
                  <c:v>0.48799999999999999</c:v>
                </c:pt>
                <c:pt idx="17">
                  <c:v>0.47199999999999998</c:v>
                </c:pt>
                <c:pt idx="18">
                  <c:v>0.45600000000000002</c:v>
                </c:pt>
                <c:pt idx="19">
                  <c:v>0.432</c:v>
                </c:pt>
                <c:pt idx="20">
                  <c:v>0.40799999999999997</c:v>
                </c:pt>
                <c:pt idx="21">
                  <c:v>0.39400000000000002</c:v>
                </c:pt>
                <c:pt idx="22">
                  <c:v>0.378</c:v>
                </c:pt>
                <c:pt idx="23">
                  <c:v>0.35799999999999998</c:v>
                </c:pt>
                <c:pt idx="24">
                  <c:v>0.34399999999999997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92-4B03-AF33-FC2B18137AB4}"/>
            </c:ext>
          </c:extLst>
        </c:ser>
        <c:ser>
          <c:idx val="4"/>
          <c:order val="4"/>
          <c:tx>
            <c:v>OS KM</c:v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Engine!$R$9:$R$33</c:f>
              <c:numCache>
                <c:formatCode>0.00%</c:formatCode>
                <c:ptCount val="25"/>
                <c:pt idx="0">
                  <c:v>1</c:v>
                </c:pt>
                <c:pt idx="1">
                  <c:v>0.99199999999999999</c:v>
                </c:pt>
                <c:pt idx="2">
                  <c:v>0.96199999999999997</c:v>
                </c:pt>
                <c:pt idx="3">
                  <c:v>0.93400000000000005</c:v>
                </c:pt>
                <c:pt idx="4">
                  <c:v>0.91800000000000004</c:v>
                </c:pt>
                <c:pt idx="5">
                  <c:v>0.88400000000000001</c:v>
                </c:pt>
                <c:pt idx="6">
                  <c:v>0.85799999999999998</c:v>
                </c:pt>
                <c:pt idx="7">
                  <c:v>0.83399999999999996</c:v>
                </c:pt>
                <c:pt idx="8">
                  <c:v>0.82199999999999995</c:v>
                </c:pt>
                <c:pt idx="9">
                  <c:v>0.80800000000000005</c:v>
                </c:pt>
                <c:pt idx="10">
                  <c:v>0.79200000000000004</c:v>
                </c:pt>
                <c:pt idx="11">
                  <c:v>0.77200000000000002</c:v>
                </c:pt>
                <c:pt idx="12">
                  <c:v>0.76800000000000002</c:v>
                </c:pt>
                <c:pt idx="13">
                  <c:v>0.75600000000000001</c:v>
                </c:pt>
                <c:pt idx="14">
                  <c:v>0.74</c:v>
                </c:pt>
                <c:pt idx="15">
                  <c:v>0.73</c:v>
                </c:pt>
                <c:pt idx="16">
                  <c:v>0.71399999999999997</c:v>
                </c:pt>
                <c:pt idx="17">
                  <c:v>0.69199999999999995</c:v>
                </c:pt>
                <c:pt idx="18">
                  <c:v>0.68400000000000005</c:v>
                </c:pt>
                <c:pt idx="19">
                  <c:v>0.65800000000000003</c:v>
                </c:pt>
                <c:pt idx="20">
                  <c:v>0.64800000000000002</c:v>
                </c:pt>
                <c:pt idx="21">
                  <c:v>0.63800000000000001</c:v>
                </c:pt>
                <c:pt idx="22">
                  <c:v>0.624</c:v>
                </c:pt>
                <c:pt idx="23">
                  <c:v>0.60199999999999998</c:v>
                </c:pt>
                <c:pt idx="24">
                  <c:v>0.58799999999999997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92-4B03-AF33-FC2B18137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757792"/>
        <c:axId val="239756352"/>
      </c:lineChart>
      <c:catAx>
        <c:axId val="23975779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Medium" pitchFamily="50" charset="0"/>
                <a:ea typeface="+mn-ea"/>
                <a:cs typeface="+mn-cs"/>
              </a:defRPr>
            </a:pPr>
            <a:endParaRPr lang="en-US"/>
          </a:p>
        </c:txPr>
        <c:crossAx val="239756352"/>
        <c:crosses val="autoZero"/>
        <c:auto val="1"/>
        <c:lblAlgn val="ctr"/>
        <c:lblOffset val="100"/>
        <c:tickLblSkip val="24"/>
        <c:tickMarkSkip val="24"/>
        <c:noMultiLvlLbl val="0"/>
      </c:catAx>
      <c:valAx>
        <c:axId val="2397563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Medium" pitchFamily="50" charset="0"/>
                <a:ea typeface="+mn-ea"/>
                <a:cs typeface="+mn-cs"/>
              </a:defRPr>
            </a:pPr>
            <a:endParaRPr lang="en-US"/>
          </a:p>
        </c:txPr>
        <c:crossAx val="23975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binet Grotesk Medium" pitchFamily="50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 sz="1200">
          <a:latin typeface="Cabinet Grotesk Medium" pitchFamily="50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Extrabold" pitchFamily="50" charset="0"/>
                <a:ea typeface="+mn-ea"/>
                <a:cs typeface="+mn-cs"/>
              </a:defRPr>
            </a:pPr>
            <a:r>
              <a:rPr lang="en-GB" sz="1200">
                <a:latin typeface="Cabinet Grotesk Extrabold" pitchFamily="50" charset="0"/>
              </a:rPr>
              <a:t>Total LYs (Undiscounted)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binet Grotesk Extrabold" pitchFamily="50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Results!$S$4</c:f>
              <c:strCache>
                <c:ptCount val="1"/>
                <c:pt idx="0">
                  <c:v>Undiscounted LY PFS</c:v>
                </c:pt>
              </c:strCache>
            </c:strRef>
          </c:tx>
          <c:spPr>
            <a:solidFill>
              <a:srgbClr val="00C49A"/>
            </a:solidFill>
            <a:ln>
              <a:noFill/>
            </a:ln>
            <a:effectLst/>
          </c:spPr>
          <c:invertIfNegative val="0"/>
          <c:val>
            <c:numRef>
              <c:f>Results!$T$4</c:f>
              <c:numCache>
                <c:formatCode>General</c:formatCode>
                <c:ptCount val="1"/>
                <c:pt idx="0">
                  <c:v>3.3615916824229419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E-43FF-8D6F-E825D2289F8A}"/>
            </c:ext>
          </c:extLst>
        </c:ser>
        <c:ser>
          <c:idx val="1"/>
          <c:order val="1"/>
          <c:tx>
            <c:strRef>
              <c:f>Results!$S$5</c:f>
              <c:strCache>
                <c:ptCount val="1"/>
                <c:pt idx="0">
                  <c:v>Undiscounted LY PD</c:v>
                </c:pt>
              </c:strCache>
            </c:strRef>
          </c:tx>
          <c:spPr>
            <a:solidFill>
              <a:srgbClr val="FFBD59"/>
            </a:solidFill>
            <a:ln>
              <a:noFill/>
            </a:ln>
            <a:effectLst/>
          </c:spPr>
          <c:invertIfNegative val="0"/>
          <c:val>
            <c:numRef>
              <c:f>Results!$T$5</c:f>
              <c:numCache>
                <c:formatCode>General</c:formatCode>
                <c:ptCount val="1"/>
                <c:pt idx="0">
                  <c:v>4.0623218220750053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5E-43FF-8D6F-E825D2289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680464"/>
        <c:axId val="1910688144"/>
      </c:barChart>
      <c:catAx>
        <c:axId val="1910680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0688144"/>
        <c:crosses val="autoZero"/>
        <c:auto val="1"/>
        <c:lblAlgn val="ctr"/>
        <c:lblOffset val="100"/>
        <c:noMultiLvlLbl val="0"/>
      </c:catAx>
      <c:valAx>
        <c:axId val="191068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Medium" pitchFamily="50" charset="0"/>
                <a:ea typeface="+mn-ea"/>
                <a:cs typeface="+mn-cs"/>
              </a:defRPr>
            </a:pPr>
            <a:endParaRPr lang="en-US"/>
          </a:p>
        </c:txPr>
        <c:crossAx val="191068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binet Grotesk Medium" pitchFamily="50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binet Grotesk Medium" pitchFamily="50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Extrabold" pitchFamily="50" charset="0"/>
                <a:ea typeface="+mn-ea"/>
                <a:cs typeface="+mn-cs"/>
              </a:defRPr>
            </a:pPr>
            <a:r>
              <a:rPr lang="en-GB" sz="1200">
                <a:latin typeface="Cabinet Grotesk Extrabold" pitchFamily="50" charset="0"/>
              </a:rPr>
              <a:t>Total LYs (Discounted)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binet Grotesk Extrabold" pitchFamily="50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Results!$S$8</c:f>
              <c:strCache>
                <c:ptCount val="1"/>
                <c:pt idx="0">
                  <c:v>PFS LY (Discounted)</c:v>
                </c:pt>
              </c:strCache>
            </c:strRef>
          </c:tx>
          <c:spPr>
            <a:solidFill>
              <a:srgbClr val="00C49A"/>
            </a:solidFill>
            <a:ln>
              <a:noFill/>
            </a:ln>
            <a:effectLst/>
          </c:spPr>
          <c:invertIfNegative val="0"/>
          <c:val>
            <c:numRef>
              <c:f>Results!$T$8</c:f>
              <c:numCache>
                <c:formatCode>General</c:formatCode>
                <c:ptCount val="1"/>
                <c:pt idx="0">
                  <c:v>2.7899028374397217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1-4BA8-93B5-8255AF8C5D19}"/>
            </c:ext>
          </c:extLst>
        </c:ser>
        <c:ser>
          <c:idx val="1"/>
          <c:order val="1"/>
          <c:tx>
            <c:strRef>
              <c:f>Results!$S$9</c:f>
              <c:strCache>
                <c:ptCount val="1"/>
                <c:pt idx="0">
                  <c:v>PD LY (Discounted)</c:v>
                </c:pt>
              </c:strCache>
            </c:strRef>
          </c:tx>
          <c:spPr>
            <a:solidFill>
              <a:srgbClr val="FFBD59"/>
            </a:solidFill>
            <a:ln>
              <a:noFill/>
            </a:ln>
            <a:effectLst/>
          </c:spPr>
          <c:invertIfNegative val="0"/>
          <c:val>
            <c:numRef>
              <c:f>Results!$T$9</c:f>
              <c:numCache>
                <c:formatCode>General</c:formatCode>
                <c:ptCount val="1"/>
                <c:pt idx="0">
                  <c:v>2.7784993922078343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71-4BA8-93B5-8255AF8C5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680464"/>
        <c:axId val="1910688144"/>
      </c:barChart>
      <c:catAx>
        <c:axId val="1910680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0688144"/>
        <c:crosses val="autoZero"/>
        <c:auto val="1"/>
        <c:lblAlgn val="ctr"/>
        <c:lblOffset val="100"/>
        <c:noMultiLvlLbl val="0"/>
      </c:catAx>
      <c:valAx>
        <c:axId val="1910688144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Medium" pitchFamily="50" charset="0"/>
                <a:ea typeface="+mn-ea"/>
                <a:cs typeface="+mn-cs"/>
              </a:defRPr>
            </a:pPr>
            <a:endParaRPr lang="en-US"/>
          </a:p>
        </c:txPr>
        <c:crossAx val="191068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binet Grotesk Medium" pitchFamily="50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binet Grotesk Medium" pitchFamily="50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Extrabold" pitchFamily="50" charset="0"/>
                <a:ea typeface="+mn-ea"/>
                <a:cs typeface="+mn-cs"/>
              </a:defRPr>
            </a:pPr>
            <a:r>
              <a:rPr lang="en-GB" sz="1200">
                <a:latin typeface="Cabinet Grotesk Extrabold" pitchFamily="50" charset="0"/>
              </a:rPr>
              <a:t>Total QALYs (Undiscounted)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binet Grotesk Extrabold" pitchFamily="50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Results!$S$14</c:f>
              <c:strCache>
                <c:ptCount val="1"/>
                <c:pt idx="0">
                  <c:v>PFS QALYs</c:v>
                </c:pt>
              </c:strCache>
            </c:strRef>
          </c:tx>
          <c:spPr>
            <a:solidFill>
              <a:srgbClr val="00C49A"/>
            </a:solidFill>
            <a:ln>
              <a:noFill/>
            </a:ln>
            <a:effectLst/>
          </c:spPr>
          <c:invertIfNegative val="0"/>
          <c:val>
            <c:numRef>
              <c:f>Results!$T$14</c:f>
              <c:numCache>
                <c:formatCode>General</c:formatCode>
                <c:ptCount val="1"/>
                <c:pt idx="0">
                  <c:v>2.8573529300595006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B-47A3-A858-BF84B01329B3}"/>
            </c:ext>
          </c:extLst>
        </c:ser>
        <c:ser>
          <c:idx val="1"/>
          <c:order val="1"/>
          <c:tx>
            <c:strRef>
              <c:f>Results!$S$15</c:f>
              <c:strCache>
                <c:ptCount val="1"/>
                <c:pt idx="0">
                  <c:v>PD QALYs</c:v>
                </c:pt>
              </c:strCache>
            </c:strRef>
          </c:tx>
          <c:spPr>
            <a:solidFill>
              <a:srgbClr val="FFBD59"/>
            </a:solidFill>
            <a:ln>
              <a:noFill/>
            </a:ln>
            <a:effectLst/>
          </c:spPr>
          <c:invertIfNegative val="0"/>
          <c:val>
            <c:numRef>
              <c:f>Results!$T$15</c:f>
              <c:numCache>
                <c:formatCode>General</c:formatCode>
                <c:ptCount val="1"/>
                <c:pt idx="0">
                  <c:v>2.437393093245003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2B-47A3-A858-BF84B0132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680464"/>
        <c:axId val="1910688144"/>
      </c:barChart>
      <c:catAx>
        <c:axId val="1910680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0688144"/>
        <c:crosses val="autoZero"/>
        <c:auto val="1"/>
        <c:lblAlgn val="ctr"/>
        <c:lblOffset val="100"/>
        <c:noMultiLvlLbl val="0"/>
      </c:catAx>
      <c:valAx>
        <c:axId val="191068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Medium" pitchFamily="50" charset="0"/>
                <a:ea typeface="+mn-ea"/>
                <a:cs typeface="+mn-cs"/>
              </a:defRPr>
            </a:pPr>
            <a:endParaRPr lang="en-US"/>
          </a:p>
        </c:txPr>
        <c:crossAx val="1910680464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binet Grotesk Medium" pitchFamily="50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binet Grotesk Medium" pitchFamily="50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Extrabold" pitchFamily="50" charset="0"/>
                <a:ea typeface="+mn-ea"/>
                <a:cs typeface="+mn-cs"/>
              </a:defRPr>
            </a:pPr>
            <a:r>
              <a:rPr lang="en-GB" sz="1200">
                <a:latin typeface="Cabinet Grotesk Extrabold" pitchFamily="50" charset="0"/>
              </a:rPr>
              <a:t>Total</a:t>
            </a:r>
            <a:r>
              <a:rPr lang="en-GB" sz="1200" baseline="0">
                <a:latin typeface="Cabinet Grotesk Extrabold" pitchFamily="50" charset="0"/>
              </a:rPr>
              <a:t> QALYs</a:t>
            </a:r>
            <a:r>
              <a:rPr lang="en-GB" sz="1200">
                <a:latin typeface="Cabinet Grotesk Extrabold" pitchFamily="50" charset="0"/>
              </a:rPr>
              <a:t> (Discounted)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binet Grotesk Extrabold" pitchFamily="50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Results!$S$18</c:f>
              <c:strCache>
                <c:ptCount val="1"/>
                <c:pt idx="0">
                  <c:v>PFS QALYs (Discounted)</c:v>
                </c:pt>
              </c:strCache>
            </c:strRef>
          </c:tx>
          <c:spPr>
            <a:solidFill>
              <a:srgbClr val="00C49A"/>
            </a:solidFill>
            <a:ln>
              <a:noFill/>
            </a:ln>
            <a:effectLst/>
          </c:spPr>
          <c:invertIfNegative val="0"/>
          <c:val>
            <c:numRef>
              <c:f>Results!$T$18</c:f>
              <c:numCache>
                <c:formatCode>General</c:formatCode>
                <c:ptCount val="1"/>
                <c:pt idx="0">
                  <c:v>2.3714174118237632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3-4076-8998-EF7194721EA2}"/>
            </c:ext>
          </c:extLst>
        </c:ser>
        <c:ser>
          <c:idx val="1"/>
          <c:order val="1"/>
          <c:tx>
            <c:strRef>
              <c:f>Results!$S$19</c:f>
              <c:strCache>
                <c:ptCount val="1"/>
                <c:pt idx="0">
                  <c:v>PD QALYs (Discounted)</c:v>
                </c:pt>
              </c:strCache>
            </c:strRef>
          </c:tx>
          <c:spPr>
            <a:solidFill>
              <a:srgbClr val="FFBD59"/>
            </a:solidFill>
            <a:ln>
              <a:noFill/>
            </a:ln>
            <a:effectLst/>
          </c:spPr>
          <c:invertIfNegative val="0"/>
          <c:val>
            <c:numRef>
              <c:f>Results!$T$19</c:f>
              <c:numCache>
                <c:formatCode>General</c:formatCode>
                <c:ptCount val="1"/>
                <c:pt idx="0">
                  <c:v>1.6670996353247005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3-4076-8998-EF7194721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680464"/>
        <c:axId val="1910688144"/>
      </c:barChart>
      <c:catAx>
        <c:axId val="1910680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0688144"/>
        <c:crosses val="autoZero"/>
        <c:auto val="1"/>
        <c:lblAlgn val="ctr"/>
        <c:lblOffset val="100"/>
        <c:noMultiLvlLbl val="0"/>
      </c:catAx>
      <c:valAx>
        <c:axId val="1910688144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Medium" pitchFamily="50" charset="0"/>
                <a:ea typeface="+mn-ea"/>
                <a:cs typeface="+mn-cs"/>
              </a:defRPr>
            </a:pPr>
            <a:endParaRPr lang="en-US"/>
          </a:p>
        </c:txPr>
        <c:crossAx val="191068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binet Grotesk Medium" pitchFamily="50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binet Grotesk Medium" pitchFamily="50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Extrabold" pitchFamily="50" charset="0"/>
                <a:ea typeface="+mn-ea"/>
                <a:cs typeface="+mn-cs"/>
              </a:defRPr>
            </a:pPr>
            <a:r>
              <a:rPr lang="en-GB" sz="1200">
                <a:latin typeface="Cabinet Grotesk Extrabold" pitchFamily="50" charset="0"/>
              </a:rPr>
              <a:t>Total Costs (Undiscounted)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binet Grotesk Extrabold" pitchFamily="50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Results!$S$24</c:f>
              <c:strCache>
                <c:ptCount val="1"/>
                <c:pt idx="0">
                  <c:v>PFS Costs (Undiscounted)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Results!$T$24</c:f>
              <c:numCache>
                <c:formatCode>"£"#,##0</c:formatCode>
                <c:ptCount val="1"/>
                <c:pt idx="0">
                  <c:v>10084.775047268826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E-4B0E-A696-176A7CF20B15}"/>
            </c:ext>
          </c:extLst>
        </c:ser>
        <c:ser>
          <c:idx val="1"/>
          <c:order val="1"/>
          <c:tx>
            <c:strRef>
              <c:f>Results!$S$25</c:f>
              <c:strCache>
                <c:ptCount val="1"/>
                <c:pt idx="0">
                  <c:v>PD Costs (Undiscounted)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Results!$T$25</c:f>
              <c:numCache>
                <c:formatCode>"£"#,##0</c:formatCode>
                <c:ptCount val="1"/>
                <c:pt idx="0">
                  <c:v>30467.413665562541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6E-4B0E-A696-176A7CF20B15}"/>
            </c:ext>
          </c:extLst>
        </c:ser>
        <c:ser>
          <c:idx val="2"/>
          <c:order val="2"/>
          <c:tx>
            <c:strRef>
              <c:f>Results!$S$26</c:f>
              <c:strCache>
                <c:ptCount val="1"/>
                <c:pt idx="0">
                  <c:v>Drug Acquisition Costs (Undiscounted)</c:v>
                </c:pt>
              </c:strCache>
            </c:strRef>
          </c:tx>
          <c:spPr>
            <a:solidFill>
              <a:srgbClr val="5170FF"/>
            </a:solidFill>
            <a:ln>
              <a:noFill/>
            </a:ln>
            <a:effectLst/>
          </c:spPr>
          <c:invertIfNegative val="0"/>
          <c:val>
            <c:numRef>
              <c:f>Results!$T$26</c:f>
              <c:numCache>
                <c:formatCode>"£"#,##0</c:formatCode>
                <c:ptCount val="1"/>
                <c:pt idx="0">
                  <c:v>371195.67522489734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6E-4B0E-A696-176A7CF20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680464"/>
        <c:axId val="1910688144"/>
      </c:barChart>
      <c:catAx>
        <c:axId val="1910680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0688144"/>
        <c:crosses val="autoZero"/>
        <c:auto val="1"/>
        <c:lblAlgn val="ctr"/>
        <c:lblOffset val="100"/>
        <c:noMultiLvlLbl val="0"/>
      </c:catAx>
      <c:valAx>
        <c:axId val="1910688144"/>
        <c:scaling>
          <c:orientation val="minMax"/>
          <c:max val="6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Medium" pitchFamily="50" charset="0"/>
                <a:ea typeface="+mn-ea"/>
                <a:cs typeface="+mn-cs"/>
              </a:defRPr>
            </a:pPr>
            <a:endParaRPr lang="en-US"/>
          </a:p>
        </c:txPr>
        <c:crossAx val="191068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binet Grotesk Medium" pitchFamily="50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binet Grotesk Medium" pitchFamily="50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Extrabold" pitchFamily="50" charset="0"/>
                <a:ea typeface="+mn-ea"/>
                <a:cs typeface="+mn-cs"/>
              </a:defRPr>
            </a:pPr>
            <a:r>
              <a:rPr lang="en-GB" sz="1200">
                <a:latin typeface="Cabinet Grotesk Extrabold" pitchFamily="50" charset="0"/>
              </a:rPr>
              <a:t>Total Costs (Discounted)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binet Grotesk Extrabold" pitchFamily="50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Results!$S$31</c:f>
              <c:strCache>
                <c:ptCount val="1"/>
                <c:pt idx="0">
                  <c:v>PFS Costs (Discounted)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Results!$T$31</c:f>
              <c:numCache>
                <c:formatCode>"£"#,##0</c:formatCode>
                <c:ptCount val="1"/>
                <c:pt idx="0">
                  <c:v>8369.7085123191646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D-4712-977C-BB106B2011BB}"/>
            </c:ext>
          </c:extLst>
        </c:ser>
        <c:ser>
          <c:idx val="1"/>
          <c:order val="1"/>
          <c:tx>
            <c:strRef>
              <c:f>Results!$S$32</c:f>
              <c:strCache>
                <c:ptCount val="1"/>
                <c:pt idx="0">
                  <c:v>PD Costs (Discounted)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val>
            <c:numRef>
              <c:f>Results!$T$32</c:f>
              <c:numCache>
                <c:formatCode>"£"#,##0</c:formatCode>
                <c:ptCount val="1"/>
                <c:pt idx="0">
                  <c:v>20838.745441558756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DD-4712-977C-BB106B2011BB}"/>
            </c:ext>
          </c:extLst>
        </c:ser>
        <c:ser>
          <c:idx val="2"/>
          <c:order val="2"/>
          <c:tx>
            <c:strRef>
              <c:f>Results!$S$33</c:f>
              <c:strCache>
                <c:ptCount val="1"/>
                <c:pt idx="0">
                  <c:v>Drug Acquisition Costs (Discounted)</c:v>
                </c:pt>
              </c:strCache>
            </c:strRef>
          </c:tx>
          <c:spPr>
            <a:solidFill>
              <a:srgbClr val="5170FF"/>
            </a:solidFill>
            <a:ln>
              <a:noFill/>
            </a:ln>
            <a:effectLst/>
          </c:spPr>
          <c:invertIfNegative val="0"/>
          <c:val>
            <c:numRef>
              <c:f>Results!$T$33</c:f>
              <c:numCache>
                <c:formatCode>"£"#,##0</c:formatCode>
                <c:ptCount val="1"/>
                <c:pt idx="0">
                  <c:v>278420.1114823778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DD-4712-977C-BB106B201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0680464"/>
        <c:axId val="1910688144"/>
      </c:barChart>
      <c:catAx>
        <c:axId val="1910680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0688144"/>
        <c:crosses val="autoZero"/>
        <c:auto val="1"/>
        <c:lblAlgn val="ctr"/>
        <c:lblOffset val="100"/>
        <c:noMultiLvlLbl val="0"/>
      </c:catAx>
      <c:valAx>
        <c:axId val="1910688144"/>
        <c:scaling>
          <c:orientation val="minMax"/>
          <c:max val="6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Medium" pitchFamily="50" charset="0"/>
                <a:ea typeface="+mn-ea"/>
                <a:cs typeface="+mn-cs"/>
              </a:defRPr>
            </a:pPr>
            <a:endParaRPr lang="en-US"/>
          </a:p>
        </c:txPr>
        <c:crossAx val="191068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binet Grotesk Medium" pitchFamily="50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binet Grotesk Medium" pitchFamily="50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Extrabold" pitchFamily="50" charset="0"/>
                <a:ea typeface="+mn-ea"/>
                <a:cs typeface="+mn-cs"/>
              </a:defRPr>
            </a:pPr>
            <a:r>
              <a:rPr lang="en-GB" sz="1800">
                <a:latin typeface="Cabinet Grotesk Extrabold" pitchFamily="50" charset="0"/>
              </a:rPr>
              <a:t>Health State Occupancy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binet Grotesk Extrabold" pitchFamily="50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v>PFS</c:v>
          </c:tx>
          <c:spPr>
            <a:solidFill>
              <a:srgbClr val="00C49A"/>
            </a:solidFill>
            <a:ln>
              <a:noFill/>
            </a:ln>
            <a:effectLst/>
          </c:spPr>
          <c:val>
            <c:numRef>
              <c:f>Engine!$Y$9:$Y$609</c:f>
              <c:numCache>
                <c:formatCode>0.00%</c:formatCode>
                <c:ptCount val="601"/>
                <c:pt idx="0">
                  <c:v>1</c:v>
                </c:pt>
                <c:pt idx="1">
                  <c:v>0.98725106127536111</c:v>
                </c:pt>
                <c:pt idx="2">
                  <c:v>0.93426996897119663</c:v>
                </c:pt>
                <c:pt idx="3">
                  <c:v>0.87921561980587071</c:v>
                </c:pt>
                <c:pt idx="4">
                  <c:v>0.82866539729441224</c:v>
                </c:pt>
                <c:pt idx="5">
                  <c:v>0.78317567870341764</c:v>
                </c:pt>
                <c:pt idx="6">
                  <c:v>0.74230304986590578</c:v>
                </c:pt>
                <c:pt idx="7">
                  <c:v>0.70545571639203641</c:v>
                </c:pt>
                <c:pt idx="8">
                  <c:v>0.67208175432204886</c:v>
                </c:pt>
                <c:pt idx="9">
                  <c:v>0.64170670419126774</c:v>
                </c:pt>
                <c:pt idx="10">
                  <c:v>0.61393236075321456</c:v>
                </c:pt>
                <c:pt idx="11">
                  <c:v>0.58842626372698636</c:v>
                </c:pt>
                <c:pt idx="12">
                  <c:v>0.56491028780689101</c:v>
                </c:pt>
                <c:pt idx="13">
                  <c:v>0.54315060733585918</c:v>
                </c:pt>
                <c:pt idx="14">
                  <c:v>0.52294943822894879</c:v>
                </c:pt>
                <c:pt idx="15">
                  <c:v>0.5041384056062217</c:v>
                </c:pt>
                <c:pt idx="16">
                  <c:v>0.48657325755936776</c:v>
                </c:pt>
                <c:pt idx="17">
                  <c:v>0.47012965213451197</c:v>
                </c:pt>
                <c:pt idx="18">
                  <c:v>0.45469978763057162</c:v>
                </c:pt>
                <c:pt idx="19">
                  <c:v>0.44018969296236521</c:v>
                </c:pt>
                <c:pt idx="20">
                  <c:v>0.42651703533037022</c:v>
                </c:pt>
                <c:pt idx="21">
                  <c:v>0.41360933493831653</c:v>
                </c:pt>
                <c:pt idx="22">
                  <c:v>0.4014025017294609</c:v>
                </c:pt>
                <c:pt idx="23">
                  <c:v>0.38983962842191122</c:v>
                </c:pt>
                <c:pt idx="24">
                  <c:v>0.37886998883013945</c:v>
                </c:pt>
                <c:pt idx="25">
                  <c:v>0.36844820166225101</c:v>
                </c:pt>
                <c:pt idx="26">
                  <c:v>0.35853352854039544</c:v>
                </c:pt>
                <c:pt idx="27">
                  <c:v>0.34908928155838548</c:v>
                </c:pt>
                <c:pt idx="28">
                  <c:v>0.34008232075633349</c:v>
                </c:pt>
                <c:pt idx="29">
                  <c:v>0.33148262582261945</c:v>
                </c:pt>
                <c:pt idx="30">
                  <c:v>0.32326292940145762</c:v>
                </c:pt>
                <c:pt idx="31">
                  <c:v>0.31539840179347611</c:v>
                </c:pt>
                <c:pt idx="32">
                  <c:v>0.30786637873980949</c:v>
                </c:pt>
                <c:pt idx="33">
                  <c:v>0.30064612549234759</c:v>
                </c:pt>
                <c:pt idx="34">
                  <c:v>0.29371863158110212</c:v>
                </c:pt>
                <c:pt idx="35">
                  <c:v>0.28706643166052004</c:v>
                </c:pt>
                <c:pt idx="36">
                  <c:v>0.28067344860078258</c:v>
                </c:pt>
                <c:pt idx="37">
                  <c:v>0.2745248556268105</c:v>
                </c:pt>
                <c:pt idx="38">
                  <c:v>0.26860695482713504</c:v>
                </c:pt>
                <c:pt idx="39">
                  <c:v>0.26290706978058798</c:v>
                </c:pt>
                <c:pt idx="40">
                  <c:v>0.25741345039936392</c:v>
                </c:pt>
                <c:pt idx="41">
                  <c:v>0.25211518837696067</c:v>
                </c:pt>
                <c:pt idx="42">
                  <c:v>0.24700214187028924</c:v>
                </c:pt>
                <c:pt idx="43">
                  <c:v>0.24206486824600493</c:v>
                </c:pt>
                <c:pt idx="44">
                  <c:v>0.23729456388914882</c:v>
                </c:pt>
                <c:pt idx="45">
                  <c:v>0.23268301021333948</c:v>
                </c:pt>
                <c:pt idx="46">
                  <c:v>0.22822252513076968</c:v>
                </c:pt>
                <c:pt idx="47">
                  <c:v>0.22390591934091852</c:v>
                </c:pt>
                <c:pt idx="48">
                  <c:v>0.21972645688233627</c:v>
                </c:pt>
                <c:pt idx="49">
                  <c:v>0.21567781946459386</c:v>
                </c:pt>
                <c:pt idx="50">
                  <c:v>0.21175407415960157</c:v>
                </c:pt>
                <c:pt idx="51">
                  <c:v>0.20794964408471284</c:v>
                </c:pt>
                <c:pt idx="52">
                  <c:v>0.20425928175570907</c:v>
                </c:pt>
                <c:pt idx="53">
                  <c:v>0.2006780448271247</c:v>
                </c:pt>
                <c:pt idx="54">
                  <c:v>0.19720127397134379</c:v>
                </c:pt>
                <c:pt idx="55">
                  <c:v>0.19382457267731934</c:v>
                </c:pt>
                <c:pt idx="56">
                  <c:v>0.19054378877528955</c:v>
                </c:pt>
                <c:pt idx="57">
                  <c:v>0.18735499751607132</c:v>
                </c:pt>
                <c:pt idx="58">
                  <c:v>0.18425448605287165</c:v>
                </c:pt>
                <c:pt idx="59">
                  <c:v>0.18123873919046496</c:v>
                </c:pt>
                <c:pt idx="60">
                  <c:v>0.17830442628140497</c:v>
                </c:pt>
                <c:pt idx="61">
                  <c:v>0.17544838916192984</c:v>
                </c:pt>
                <c:pt idx="62">
                  <c:v>0.17266763103164662</c:v>
                </c:pt>
                <c:pt idx="63">
                  <c:v>0.16995930619115029</c:v>
                </c:pt>
                <c:pt idx="64">
                  <c:v>0.16732071056061293</c:v>
                </c:pt>
                <c:pt idx="65">
                  <c:v>0.16474927291023733</c:v>
                </c:pt>
                <c:pt idx="66">
                  <c:v>0.16224254674042671</c:v>
                </c:pt>
                <c:pt idx="67">
                  <c:v>0.15979820275569789</c:v>
                </c:pt>
                <c:pt idx="68">
                  <c:v>0.15741402188184939</c:v>
                </c:pt>
                <c:pt idx="69">
                  <c:v>0.15508788878078872</c:v>
                </c:pt>
                <c:pt idx="70">
                  <c:v>0.15281778582177241</c:v>
                </c:pt>
                <c:pt idx="71">
                  <c:v>0.15060178747170827</c:v>
                </c:pt>
                <c:pt idx="72">
                  <c:v>0.148438055070646</c:v>
                </c:pt>
                <c:pt idx="73">
                  <c:v>0.14632483196169954</c:v>
                </c:pt>
                <c:pt idx="74">
                  <c:v>0.14426043894744278</c:v>
                </c:pt>
                <c:pt idx="75">
                  <c:v>0.14224327004732829</c:v>
                </c:pt>
                <c:pt idx="76">
                  <c:v>0.14027178853293765</c:v>
                </c:pt>
                <c:pt idx="77">
                  <c:v>0.13834452321990809</c:v>
                </c:pt>
                <c:pt idx="78">
                  <c:v>0.13646006499721341</c:v>
                </c:pt>
                <c:pt idx="79">
                  <c:v>0.13461706357613201</c:v>
                </c:pt>
                <c:pt idx="80">
                  <c:v>0.13281422444273427</c:v>
                </c:pt>
                <c:pt idx="81">
                  <c:v>0.1310503059990733</c:v>
                </c:pt>
                <c:pt idx="82">
                  <c:v>0.12932411687949719</c:v>
                </c:pt>
                <c:pt idx="83">
                  <c:v>0.12763451342960541</c:v>
                </c:pt>
                <c:pt idx="84">
                  <c:v>0.12598039733639266</c:v>
                </c:pt>
                <c:pt idx="85">
                  <c:v>0.12436071339903687</c:v>
                </c:pt>
                <c:pt idx="86">
                  <c:v>0.12277444743062771</c:v>
                </c:pt>
                <c:pt idx="87">
                  <c:v>0.12122062428189495</c:v>
                </c:pt>
                <c:pt idx="88">
                  <c:v>0.11969830597868825</c:v>
                </c:pt>
                <c:pt idx="89">
                  <c:v>0.11820658996559863</c:v>
                </c:pt>
                <c:pt idx="90">
                  <c:v>0.11674460744868909</c:v>
                </c:pt>
                <c:pt idx="91">
                  <c:v>0.11531152183083471</c:v>
                </c:pt>
                <c:pt idx="92">
                  <c:v>0.11390652723365347</c:v>
                </c:pt>
                <c:pt idx="93">
                  <c:v>0.1125288471004614</c:v>
                </c:pt>
                <c:pt idx="94">
                  <c:v>0.1111777328750867</c:v>
                </c:pt>
                <c:pt idx="95">
                  <c:v>0.10985246275175686</c:v>
                </c:pt>
                <c:pt idx="96">
                  <c:v>0.10855234049161311</c:v>
                </c:pt>
                <c:pt idx="97">
                  <c:v>0.10727669430172793</c:v>
                </c:pt>
                <c:pt idx="98">
                  <c:v>0.10602487577278541</c:v>
                </c:pt>
                <c:pt idx="99">
                  <c:v>0.10479625887186073</c:v>
                </c:pt>
                <c:pt idx="100">
                  <c:v>0.10359023898697495</c:v>
                </c:pt>
                <c:pt idx="101">
                  <c:v>0.1024062320203325</c:v>
                </c:pt>
                <c:pt idx="102">
                  <c:v>0.10124367352736108</c:v>
                </c:pt>
                <c:pt idx="103">
                  <c:v>0.10010201789886264</c:v>
                </c:pt>
                <c:pt idx="104">
                  <c:v>9.898073758376924E-2</c:v>
                </c:pt>
                <c:pt idx="105">
                  <c:v>9.7879322350160169E-2</c:v>
                </c:pt>
                <c:pt idx="106">
                  <c:v>9.679727858235343E-2</c:v>
                </c:pt>
                <c:pt idx="107">
                  <c:v>9.5734128612023683E-2</c:v>
                </c:pt>
                <c:pt idx="108">
                  <c:v>9.4689410081434611E-2</c:v>
                </c:pt>
                <c:pt idx="109">
                  <c:v>9.3662675336993129E-2</c:v>
                </c:pt>
                <c:pt idx="110">
                  <c:v>9.2653490851450249E-2</c:v>
                </c:pt>
                <c:pt idx="111">
                  <c:v>9.1661436673172947E-2</c:v>
                </c:pt>
                <c:pt idx="112">
                  <c:v>9.0686105901018776E-2</c:v>
                </c:pt>
                <c:pt idx="113">
                  <c:v>8.9727104183424777E-2</c:v>
                </c:pt>
                <c:pt idx="114">
                  <c:v>8.8784049240419605E-2</c:v>
                </c:pt>
                <c:pt idx="115">
                  <c:v>8.7856570407336521E-2</c:v>
                </c:pt>
                <c:pt idx="116">
                  <c:v>8.6944308199083831E-2</c:v>
                </c:pt>
                <c:pt idx="117">
                  <c:v>8.6046913893897847E-2</c:v>
                </c:pt>
                <c:pt idx="118">
                  <c:v>8.5164049135567299E-2</c:v>
                </c:pt>
                <c:pt idx="119">
                  <c:v>8.4295385553174174E-2</c:v>
                </c:pt>
                <c:pt idx="120">
                  <c:v>8.3440604397459595E-2</c:v>
                </c:pt>
                <c:pt idx="121">
                  <c:v>8.2599396192966745E-2</c:v>
                </c:pt>
                <c:pt idx="122">
                  <c:v>8.1771460405168805E-2</c:v>
                </c:pt>
                <c:pt idx="123">
                  <c:v>8.0956505121831168E-2</c:v>
                </c:pt>
                <c:pt idx="124">
                  <c:v>8.0154246747900837E-2</c:v>
                </c:pt>
                <c:pt idx="125">
                  <c:v>7.9364409713257311E-2</c:v>
                </c:pt>
                <c:pt idx="126">
                  <c:v>7.8586726192694689E-2</c:v>
                </c:pt>
                <c:pt idx="127">
                  <c:v>7.7820935837541239E-2</c:v>
                </c:pt>
                <c:pt idx="128">
                  <c:v>7.7066785518354441E-2</c:v>
                </c:pt>
                <c:pt idx="129">
                  <c:v>7.6324029078161493E-2</c:v>
                </c:pt>
                <c:pt idx="130">
                  <c:v>7.5592427095742876E-2</c:v>
                </c:pt>
                <c:pt idx="131">
                  <c:v>7.4871746658485505E-2</c:v>
                </c:pt>
                <c:pt idx="132">
                  <c:v>7.4161761144355798E-2</c:v>
                </c:pt>
                <c:pt idx="133">
                  <c:v>7.346225001256701E-2</c:v>
                </c:pt>
                <c:pt idx="134">
                  <c:v>7.2772998602540162E-2</c:v>
                </c:pt>
                <c:pt idx="135">
                  <c:v>7.209379794077575E-2</c:v>
                </c:pt>
                <c:pt idx="136">
                  <c:v>7.1424444555275191E-2</c:v>
                </c:pt>
                <c:pt idx="137">
                  <c:v>7.0764740297170392E-2</c:v>
                </c:pt>
                <c:pt idx="138">
                  <c:v>7.0114492169235598E-2</c:v>
                </c:pt>
                <c:pt idx="139">
                  <c:v>6.9473512160973749E-2</c:v>
                </c:pt>
                <c:pt idx="140">
                  <c:v>6.8841617089984375E-2</c:v>
                </c:pt>
                <c:pt idx="141">
                  <c:v>6.8218628449337237E-2</c:v>
                </c:pt>
                <c:pt idx="142">
                  <c:v>6.7604372260685275E-2</c:v>
                </c:pt>
                <c:pt idx="143">
                  <c:v>6.6998678932867595E-2</c:v>
                </c:pt>
                <c:pt idx="144">
                  <c:v>6.6401383125766156E-2</c:v>
                </c:pt>
                <c:pt idx="145">
                  <c:v>6.5812323619185986E-2</c:v>
                </c:pt>
                <c:pt idx="146">
                  <c:v>6.5231343186547885E-2</c:v>
                </c:pt>
                <c:pt idx="147">
                  <c:v>6.4658288473185999E-2</c:v>
                </c:pt>
                <c:pt idx="148">
                  <c:v>6.4093009879055973E-2</c:v>
                </c:pt>
                <c:pt idx="149">
                  <c:v>6.3535361445669514E-2</c:v>
                </c:pt>
                <c:pt idx="150">
                  <c:v>6.2985200747077696E-2</c:v>
                </c:pt>
                <c:pt idx="151">
                  <c:v>6.2442388784734848E-2</c:v>
                </c:pt>
                <c:pt idx="152">
                  <c:v>6.1906789886082114E-2</c:v>
                </c:pt>
                <c:pt idx="153">
                  <c:v>6.1378271606701507E-2</c:v>
                </c:pt>
                <c:pt idx="154">
                  <c:v>6.0856704635889325E-2</c:v>
                </c:pt>
                <c:pt idx="155">
                  <c:v>6.0341962705514285E-2</c:v>
                </c:pt>
                <c:pt idx="156">
                  <c:v>5.9833922502028014E-2</c:v>
                </c:pt>
                <c:pt idx="157">
                  <c:v>5.933246358149713E-2</c:v>
                </c:pt>
                <c:pt idx="158">
                  <c:v>5.8837468287542882E-2</c:v>
                </c:pt>
                <c:pt idx="159">
                  <c:v>5.8348821672068008E-2</c:v>
                </c:pt>
                <c:pt idx="160">
                  <c:v>5.7866411418662778E-2</c:v>
                </c:pt>
                <c:pt idx="161">
                  <c:v>5.7390127768585986E-2</c:v>
                </c:pt>
                <c:pt idx="162">
                  <c:v>5.6919863449219399E-2</c:v>
                </c:pt>
                <c:pt idx="163">
                  <c:v>5.6455513604900198E-2</c:v>
                </c:pt>
                <c:pt idx="164">
                  <c:v>5.5996975730039811E-2</c:v>
                </c:pt>
                <c:pt idx="165">
                  <c:v>5.5544149604441873E-2</c:v>
                </c:pt>
                <c:pt idx="166">
                  <c:v>5.5096937230734944E-2</c:v>
                </c:pt>
                <c:pt idx="167">
                  <c:v>5.4655242773839707E-2</c:v>
                </c:pt>
                <c:pt idx="168">
                  <c:v>5.4218972502394935E-2</c:v>
                </c:pt>
                <c:pt idx="169">
                  <c:v>5.3788034732067613E-2</c:v>
                </c:pt>
                <c:pt idx="170">
                  <c:v>5.336233977067828E-2</c:v>
                </c:pt>
                <c:pt idx="171">
                  <c:v>5.2941799865071748E-2</c:v>
                </c:pt>
                <c:pt idx="172">
                  <c:v>5.2526329149673145E-2</c:v>
                </c:pt>
                <c:pt idx="173">
                  <c:v>5.2115843596662104E-2</c:v>
                </c:pt>
                <c:pt idx="174">
                  <c:v>5.1710260967710475E-2</c:v>
                </c:pt>
                <c:pt idx="175">
                  <c:v>5.1309500767224403E-2</c:v>
                </c:pt>
                <c:pt idx="176">
                  <c:v>5.0913484197036563E-2</c:v>
                </c:pt>
                <c:pt idx="177">
                  <c:v>5.0522134112498174E-2</c:v>
                </c:pt>
                <c:pt idx="178">
                  <c:v>5.0135374979917713E-2</c:v>
                </c:pt>
                <c:pt idx="179">
                  <c:v>4.9753132835301361E-2</c:v>
                </c:pt>
                <c:pt idx="180">
                  <c:v>4.9375335244347562E-2</c:v>
                </c:pt>
                <c:pt idx="181">
                  <c:v>4.9001911263651721E-2</c:v>
                </c:pt>
                <c:pt idx="182">
                  <c:v>4.8632791403078302E-2</c:v>
                </c:pt>
                <c:pt idx="183">
                  <c:v>4.8267907589260806E-2</c:v>
                </c:pt>
                <c:pt idx="184">
                  <c:v>4.790719313018954E-2</c:v>
                </c:pt>
                <c:pt idx="185">
                  <c:v>4.7550582680849107E-2</c:v>
                </c:pt>
                <c:pt idx="186">
                  <c:v>4.7198012209870965E-2</c:v>
                </c:pt>
                <c:pt idx="187">
                  <c:v>4.6849418967165768E-2</c:v>
                </c:pt>
                <c:pt idx="188">
                  <c:v>4.6504741452501164E-2</c:v>
                </c:pt>
                <c:pt idx="189">
                  <c:v>4.6163919384994312E-2</c:v>
                </c:pt>
                <c:pt idx="190">
                  <c:v>4.5826893673488134E-2</c:v>
                </c:pt>
                <c:pt idx="191">
                  <c:v>4.5493606387781216E-2</c:v>
                </c:pt>
                <c:pt idx="192">
                  <c:v>4.5164000730682718E-2</c:v>
                </c:pt>
                <c:pt idx="193">
                  <c:v>4.4838021010865425E-2</c:v>
                </c:pt>
                <c:pt idx="194">
                  <c:v>4.4515612616490285E-2</c:v>
                </c:pt>
                <c:pt idx="195">
                  <c:v>4.4196721989577581E-2</c:v>
                </c:pt>
                <c:pt idx="196">
                  <c:v>4.3881296601098518E-2</c:v>
                </c:pt>
                <c:pt idx="197">
                  <c:v>4.3569284926766483E-2</c:v>
                </c:pt>
                <c:pt idx="198">
                  <c:v>4.326063642350253E-2</c:v>
                </c:pt>
                <c:pt idx="199">
                  <c:v>4.2955301506555577E-2</c:v>
                </c:pt>
                <c:pt idx="200">
                  <c:v>4.265323152725442E-2</c:v>
                </c:pt>
                <c:pt idx="201">
                  <c:v>4.2354378751372823E-2</c:v>
                </c:pt>
                <c:pt idx="202">
                  <c:v>4.2058696338086787E-2</c:v>
                </c:pt>
                <c:pt idx="203">
                  <c:v>4.1766138319506596E-2</c:v>
                </c:pt>
                <c:pt idx="204">
                  <c:v>4.1476659580764297E-2</c:v>
                </c:pt>
                <c:pt idx="205">
                  <c:v>4.1190215840640088E-2</c:v>
                </c:pt>
                <c:pt idx="206">
                  <c:v>4.0906763632709842E-2</c:v>
                </c:pt>
                <c:pt idx="207">
                  <c:v>4.0626260286998117E-2</c:v>
                </c:pt>
                <c:pt idx="208">
                  <c:v>4.0348663912121108E-2</c:v>
                </c:pt>
                <c:pt idx="209">
                  <c:v>4.0073933377904325E-2</c:v>
                </c:pt>
                <c:pt idx="210">
                  <c:v>3.9802028298459025E-2</c:v>
                </c:pt>
                <c:pt idx="211">
                  <c:v>3.9532909015705942E-2</c:v>
                </c:pt>
                <c:pt idx="212">
                  <c:v>3.9266536583330458E-2</c:v>
                </c:pt>
                <c:pt idx="213">
                  <c:v>3.9002872751157436E-2</c:v>
                </c:pt>
                <c:pt idx="214">
                  <c:v>3.8741879949931834E-2</c:v>
                </c:pt>
                <c:pt idx="215">
                  <c:v>3.8483521276494237E-2</c:v>
                </c:pt>
                <c:pt idx="216">
                  <c:v>3.8227760479338291E-2</c:v>
                </c:pt>
                <c:pt idx="217">
                  <c:v>3.7974561944539853E-2</c:v>
                </c:pt>
                <c:pt idx="218">
                  <c:v>3.7723890682044736E-2</c:v>
                </c:pt>
                <c:pt idx="219">
                  <c:v>3.7475712312307952E-2</c:v>
                </c:pt>
                <c:pt idx="220">
                  <c:v>3.722999305326935E-2</c:v>
                </c:pt>
                <c:pt idx="221">
                  <c:v>3.6986699707660442E-2</c:v>
                </c:pt>
                <c:pt idx="222">
                  <c:v>3.6745799650630184E-2</c:v>
                </c:pt>
                <c:pt idx="223">
                  <c:v>3.6507260817679521E-2</c:v>
                </c:pt>
                <c:pt idx="224">
                  <c:v>3.627105169289957E-2</c:v>
                </c:pt>
                <c:pt idx="225">
                  <c:v>3.6037141297499686E-2</c:v>
                </c:pt>
                <c:pt idx="226">
                  <c:v>3.5805499178621636E-2</c:v>
                </c:pt>
                <c:pt idx="227">
                  <c:v>3.5576095398428098E-2</c:v>
                </c:pt>
                <c:pt idx="228">
                  <c:v>3.5348900523460847E-2</c:v>
                </c:pt>
                <c:pt idx="229">
                  <c:v>3.5123885614257166E-2</c:v>
                </c:pt>
                <c:pt idx="230">
                  <c:v>3.4901022215221955E-2</c:v>
                </c:pt>
                <c:pt idx="231">
                  <c:v>3.4680282344743518E-2</c:v>
                </c:pt>
                <c:pt idx="232">
                  <c:v>3.4461638485549284E-2</c:v>
                </c:pt>
                <c:pt idx="233">
                  <c:v>3.4245063575293999E-2</c:v>
                </c:pt>
                <c:pt idx="234">
                  <c:v>3.4030530997373631E-2</c:v>
                </c:pt>
                <c:pt idx="235">
                  <c:v>3.3818014571958765E-2</c:v>
                </c:pt>
                <c:pt idx="236">
                  <c:v>3.3607488547240938E-2</c:v>
                </c:pt>
                <c:pt idx="237">
                  <c:v>3.3398927590888361E-2</c:v>
                </c:pt>
                <c:pt idx="238">
                  <c:v>3.3192306781701597E-2</c:v>
                </c:pt>
                <c:pt idx="239">
                  <c:v>3.2987601601466521E-2</c:v>
                </c:pt>
                <c:pt idx="240">
                  <c:v>3.2784787926998682E-2</c:v>
                </c:pt>
                <c:pt idx="241">
                  <c:v>3.2583842022372966E-2</c:v>
                </c:pt>
                <c:pt idx="242">
                  <c:v>3.2384740531334666E-2</c:v>
                </c:pt>
                <c:pt idx="243">
                  <c:v>3.2187460469885854E-2</c:v>
                </c:pt>
                <c:pt idx="244">
                  <c:v>3.199197921904362E-2</c:v>
                </c:pt>
                <c:pt idx="245">
                  <c:v>3.1798274517764735E-2</c:v>
                </c:pt>
                <c:pt idx="246">
                  <c:v>3.1606324456033286E-2</c:v>
                </c:pt>
                <c:pt idx="247">
                  <c:v>3.1416107468104526E-2</c:v>
                </c:pt>
                <c:pt idx="248">
                  <c:v>3.1227602325904824E-2</c:v>
                </c:pt>
                <c:pt idx="249">
                  <c:v>3.1040788132579489E-2</c:v>
                </c:pt>
                <c:pt idx="250">
                  <c:v>3.0855644316187592E-2</c:v>
                </c:pt>
                <c:pt idx="251">
                  <c:v>3.0672150623537897E-2</c:v>
                </c:pt>
                <c:pt idx="252">
                  <c:v>3.0490287114163794E-2</c:v>
                </c:pt>
                <c:pt idx="253">
                  <c:v>3.0310034154433008E-2</c:v>
                </c:pt>
                <c:pt idx="254">
                  <c:v>3.0131372411787538E-2</c:v>
                </c:pt>
                <c:pt idx="255">
                  <c:v>2.9954282849112723E-2</c:v>
                </c:pt>
                <c:pt idx="256">
                  <c:v>2.977874671923042E-2</c:v>
                </c:pt>
                <c:pt idx="257">
                  <c:v>2.9604745559512979E-2</c:v>
                </c:pt>
                <c:pt idx="258">
                  <c:v>2.943226118661646E-2</c:v>
                </c:pt>
                <c:pt idx="259">
                  <c:v>2.9261275691328748E-2</c:v>
                </c:pt>
                <c:pt idx="260">
                  <c:v>2.9091771433529812E-2</c:v>
                </c:pt>
                <c:pt idx="261">
                  <c:v>2.8923731037261979E-2</c:v>
                </c:pt>
                <c:pt idx="262">
                  <c:v>2.8757137385906573E-2</c:v>
                </c:pt>
                <c:pt idx="263">
                  <c:v>2.8591973617464905E-2</c:v>
                </c:pt>
                <c:pt idx="264">
                  <c:v>2.8428223119940865E-2</c:v>
                </c:pt>
                <c:pt idx="265">
                  <c:v>2.8265869526822529E-2</c:v>
                </c:pt>
                <c:pt idx="266">
                  <c:v>2.8104896712659921E-2</c:v>
                </c:pt>
                <c:pt idx="267">
                  <c:v>2.7945288788737255E-2</c:v>
                </c:pt>
                <c:pt idx="268">
                  <c:v>2.7787030098837207E-2</c:v>
                </c:pt>
                <c:pt idx="269">
                  <c:v>2.7630105215094347E-2</c:v>
                </c:pt>
                <c:pt idx="270">
                  <c:v>2.7474498933936498E-2</c:v>
                </c:pt>
                <c:pt idx="271">
                  <c:v>2.7320196272110797E-2</c:v>
                </c:pt>
                <c:pt idx="272">
                  <c:v>2.7167182462793482E-2</c:v>
                </c:pt>
                <c:pt idx="273">
                  <c:v>2.7015442951780155E-2</c:v>
                </c:pt>
                <c:pt idx="274">
                  <c:v>2.6864963393756436E-2</c:v>
                </c:pt>
                <c:pt idx="275">
                  <c:v>2.6715729648644992E-2</c:v>
                </c:pt>
                <c:pt idx="276">
                  <c:v>2.6567727778028294E-2</c:v>
                </c:pt>
                <c:pt idx="277">
                  <c:v>2.6420944041644967E-2</c:v>
                </c:pt>
                <c:pt idx="278">
                  <c:v>2.6266054080371987E-2</c:v>
                </c:pt>
                <c:pt idx="279">
                  <c:v>2.611207214494643E-2</c:v>
                </c:pt>
                <c:pt idx="280">
                  <c:v>2.5958992912163793E-2</c:v>
                </c:pt>
                <c:pt idx="281">
                  <c:v>2.5806811090026287E-2</c:v>
                </c:pt>
                <c:pt idx="282">
                  <c:v>2.5655521417559897E-2</c:v>
                </c:pt>
                <c:pt idx="283">
                  <c:v>2.5505118664632506E-2</c:v>
                </c:pt>
                <c:pt idx="284">
                  <c:v>2.5355597631773086E-2</c:v>
                </c:pt>
                <c:pt idx="285">
                  <c:v>2.5206953149991954E-2</c:v>
                </c:pt>
                <c:pt idx="286">
                  <c:v>2.5059180080602077E-2</c:v>
                </c:pt>
                <c:pt idx="287">
                  <c:v>2.4912273315041426E-2</c:v>
                </c:pt>
                <c:pt idx="288">
                  <c:v>2.4766227774696364E-2</c:v>
                </c:pt>
                <c:pt idx="289">
                  <c:v>2.4621038410726093E-2</c:v>
                </c:pt>
                <c:pt idx="290">
                  <c:v>2.4458197823759645E-2</c:v>
                </c:pt>
                <c:pt idx="291">
                  <c:v>2.4296434244851152E-2</c:v>
                </c:pt>
                <c:pt idx="292">
                  <c:v>2.4135740550798847E-2</c:v>
                </c:pt>
                <c:pt idx="293">
                  <c:v>2.3976109665512963E-2</c:v>
                </c:pt>
                <c:pt idx="294">
                  <c:v>2.3817534559704139E-2</c:v>
                </c:pt>
                <c:pt idx="295">
                  <c:v>2.3660008250573884E-2</c:v>
                </c:pt>
                <c:pt idx="296">
                  <c:v>2.3503523801507106E-2</c:v>
                </c:pt>
                <c:pt idx="297">
                  <c:v>2.3348074321766644E-2</c:v>
                </c:pt>
                <c:pt idx="298">
                  <c:v>2.3193652966189846E-2</c:v>
                </c:pt>
                <c:pt idx="299">
                  <c:v>2.3040252934887141E-2</c:v>
                </c:pt>
                <c:pt idx="300">
                  <c:v>2.2887867472942615E-2</c:v>
                </c:pt>
                <c:pt idx="301">
                  <c:v>2.2736489870116547E-2</c:v>
                </c:pt>
                <c:pt idx="302">
                  <c:v>2.2567110474843492E-2</c:v>
                </c:pt>
                <c:pt idx="303">
                  <c:v>2.2398992900533432E-2</c:v>
                </c:pt>
                <c:pt idx="304">
                  <c:v>2.2232127747033887E-2</c:v>
                </c:pt>
                <c:pt idx="305">
                  <c:v>2.206650568422043E-2</c:v>
                </c:pt>
                <c:pt idx="306">
                  <c:v>2.1902117451475005E-2</c:v>
                </c:pt>
                <c:pt idx="307">
                  <c:v>2.173895385716812E-2</c:v>
                </c:pt>
                <c:pt idx="308">
                  <c:v>2.1577005778144913E-2</c:v>
                </c:pt>
                <c:pt idx="309">
                  <c:v>2.1416264159215031E-2</c:v>
                </c:pt>
                <c:pt idx="310">
                  <c:v>2.1256720012646321E-2</c:v>
                </c:pt>
                <c:pt idx="311">
                  <c:v>2.1098364417662292E-2</c:v>
                </c:pt>
                <c:pt idx="312">
                  <c:v>2.0941188519943307E-2</c:v>
                </c:pt>
                <c:pt idx="313">
                  <c:v>2.0785183531131509E-2</c:v>
                </c:pt>
                <c:pt idx="314">
                  <c:v>2.0609443985800367E-2</c:v>
                </c:pt>
                <c:pt idx="315">
                  <c:v>2.0435190325246089E-2</c:v>
                </c:pt>
                <c:pt idx="316">
                  <c:v>2.0262409986254365E-2</c:v>
                </c:pt>
                <c:pt idx="317">
                  <c:v>2.0091090511833363E-2</c:v>
                </c:pt>
                <c:pt idx="318">
                  <c:v>1.9921219550315603E-2</c:v>
                </c:pt>
                <c:pt idx="319">
                  <c:v>1.9752784854467444E-2</c:v>
                </c:pt>
                <c:pt idx="320">
                  <c:v>1.9585774280606084E-2</c:v>
                </c:pt>
                <c:pt idx="321">
                  <c:v>1.942017578772404E-2</c:v>
                </c:pt>
                <c:pt idx="322">
                  <c:v>1.9255977436621021E-2</c:v>
                </c:pt>
                <c:pt idx="323">
                  <c:v>1.9093167389043143E-2</c:v>
                </c:pt>
                <c:pt idx="324">
                  <c:v>1.8931733906829423E-2</c:v>
                </c:pt>
                <c:pt idx="325">
                  <c:v>1.8771665351065499E-2</c:v>
                </c:pt>
                <c:pt idx="326">
                  <c:v>1.8591963672400215E-2</c:v>
                </c:pt>
                <c:pt idx="327">
                  <c:v>1.8413982282942689E-2</c:v>
                </c:pt>
                <c:pt idx="328">
                  <c:v>1.823770471431611E-2</c:v>
                </c:pt>
                <c:pt idx="329">
                  <c:v>1.8063114655795895E-2</c:v>
                </c:pt>
                <c:pt idx="330">
                  <c:v>1.7890195952800489E-2</c:v>
                </c:pt>
                <c:pt idx="331">
                  <c:v>1.7718932605396597E-2</c:v>
                </c:pt>
                <c:pt idx="332">
                  <c:v>1.7549308766818733E-2</c:v>
                </c:pt>
                <c:pt idx="333">
                  <c:v>1.7381308742002943E-2</c:v>
                </c:pt>
                <c:pt idx="334">
                  <c:v>1.7214916986134556E-2</c:v>
                </c:pt>
                <c:pt idx="335">
                  <c:v>1.7050118103209853E-2</c:v>
                </c:pt>
                <c:pt idx="336">
                  <c:v>1.688689684461149E-2</c:v>
                </c:pt>
                <c:pt idx="337">
                  <c:v>1.6725238107697563E-2</c:v>
                </c:pt>
                <c:pt idx="338">
                  <c:v>1.6542096915009161E-2</c:v>
                </c:pt>
                <c:pt idx="339">
                  <c:v>1.6360961116578428E-2</c:v>
                </c:pt>
                <c:pt idx="340">
                  <c:v>1.6181808753357979E-2</c:v>
                </c:pt>
                <c:pt idx="341">
                  <c:v>1.6004618106751779E-2</c:v>
                </c:pt>
                <c:pt idx="342">
                  <c:v>1.5829367695982206E-2</c:v>
                </c:pt>
                <c:pt idx="343">
                  <c:v>1.5656036275485945E-2</c:v>
                </c:pt>
                <c:pt idx="344">
                  <c:v>1.5484602832338384E-2</c:v>
                </c:pt>
                <c:pt idx="345">
                  <c:v>1.5315046583706235E-2</c:v>
                </c:pt>
                <c:pt idx="346">
                  <c:v>1.5147346974328027E-2</c:v>
                </c:pt>
                <c:pt idx="347">
                  <c:v>1.4981483674022201E-2</c:v>
                </c:pt>
                <c:pt idx="348">
                  <c:v>1.4817436575222484E-2</c:v>
                </c:pt>
                <c:pt idx="349">
                  <c:v>1.4655185790540258E-2</c:v>
                </c:pt>
                <c:pt idx="350">
                  <c:v>1.4475248280183385E-2</c:v>
                </c:pt>
                <c:pt idx="351">
                  <c:v>1.4297520056566112E-2</c:v>
                </c:pt>
                <c:pt idx="352">
                  <c:v>1.4121973993894112E-2</c:v>
                </c:pt>
                <c:pt idx="353">
                  <c:v>1.3948583299425671E-2</c:v>
                </c:pt>
                <c:pt idx="354">
                  <c:v>1.3777321509382434E-2</c:v>
                </c:pt>
                <c:pt idx="355">
                  <c:v>1.3608162484910381E-2</c:v>
                </c:pt>
                <c:pt idx="356">
                  <c:v>1.344108040809037E-2</c:v>
                </c:pt>
                <c:pt idx="357">
                  <c:v>1.3276049777997678E-2</c:v>
                </c:pt>
                <c:pt idx="358">
                  <c:v>1.3113045406809918E-2</c:v>
                </c:pt>
                <c:pt idx="359">
                  <c:v>1.2952042415962742E-2</c:v>
                </c:pt>
                <c:pt idx="360">
                  <c:v>1.2793016232352752E-2</c:v>
                </c:pt>
                <c:pt idx="361">
                  <c:v>1.2635942584587024E-2</c:v>
                </c:pt>
                <c:pt idx="362">
                  <c:v>1.2458653296264372E-2</c:v>
                </c:pt>
                <c:pt idx="363">
                  <c:v>1.2283851475065249E-2</c:v>
                </c:pt>
                <c:pt idx="364">
                  <c:v>1.2111502220445188E-2</c:v>
                </c:pt>
                <c:pt idx="365">
                  <c:v>1.1941571121533733E-2</c:v>
                </c:pt>
                <c:pt idx="366">
                  <c:v>1.177402425026404E-2</c:v>
                </c:pt>
                <c:pt idx="367">
                  <c:v>1.1608828154598877E-2</c:v>
                </c:pt>
                <c:pt idx="368">
                  <c:v>1.1445949851851663E-2</c:v>
                </c:pt>
                <c:pt idx="369">
                  <c:v>1.1285356822101215E-2</c:v>
                </c:pt>
                <c:pt idx="370">
                  <c:v>1.1127017001698897E-2</c:v>
                </c:pt>
                <c:pt idx="371">
                  <c:v>1.0970898776866862E-2</c:v>
                </c:pt>
                <c:pt idx="372">
                  <c:v>1.0816970977386113E-2</c:v>
                </c:pt>
                <c:pt idx="373">
                  <c:v>1.0665202870373126E-2</c:v>
                </c:pt>
                <c:pt idx="374">
                  <c:v>1.0497485772213044E-2</c:v>
                </c:pt>
                <c:pt idx="375">
                  <c:v>1.0332406132088887E-2</c:v>
                </c:pt>
                <c:pt idx="376">
                  <c:v>1.0169922474295628E-2</c:v>
                </c:pt>
                <c:pt idx="377">
                  <c:v>1.0009993975360081E-2</c:v>
                </c:pt>
                <c:pt idx="378">
                  <c:v>9.8525804537841367E-3</c:v>
                </c:pt>
                <c:pt idx="379">
                  <c:v>9.6976423599493024E-3</c:v>
                </c:pt>
                <c:pt idx="380">
                  <c:v>9.5451407661799863E-3</c:v>
                </c:pt>
                <c:pt idx="381">
                  <c:v>9.3950373569630548E-3</c:v>
                </c:pt>
                <c:pt idx="382">
                  <c:v>9.2472944193211868E-3</c:v>
                </c:pt>
                <c:pt idx="383">
                  <c:v>9.1018748333376136E-3</c:v>
                </c:pt>
                <c:pt idx="384">
                  <c:v>8.9587420628298685E-3</c:v>
                </c:pt>
                <c:pt idx="385">
                  <c:v>8.8178601461701873E-3</c:v>
                </c:pt>
                <c:pt idx="386">
                  <c:v>8.6608596353085071E-3</c:v>
                </c:pt>
                <c:pt idx="387">
                  <c:v>8.5066544920305975E-3</c:v>
                </c:pt>
                <c:pt idx="388">
                  <c:v>8.3551949452886735E-3</c:v>
                </c:pt>
                <c:pt idx="389">
                  <c:v>8.2064321102000518E-3</c:v>
                </c:pt>
                <c:pt idx="390">
                  <c:v>8.0603179722691289E-3</c:v>
                </c:pt>
                <c:pt idx="391">
                  <c:v>7.9168053718902884E-3</c:v>
                </c:pt>
                <c:pt idx="392">
                  <c:v>7.7758479891267265E-3</c:v>
                </c:pt>
                <c:pt idx="393">
                  <c:v>7.6374003287602949E-3</c:v>
                </c:pt>
                <c:pt idx="394">
                  <c:v>7.5014177056075201E-3</c:v>
                </c:pt>
                <c:pt idx="395">
                  <c:v>7.3678562300970758E-3</c:v>
                </c:pt>
                <c:pt idx="396">
                  <c:v>7.2366727941040408E-3</c:v>
                </c:pt>
                <c:pt idx="397">
                  <c:v>7.1078250570363781E-3</c:v>
                </c:pt>
                <c:pt idx="398">
                  <c:v>6.9671569908868808E-3</c:v>
                </c:pt>
                <c:pt idx="399">
                  <c:v>6.8292728290506519E-3</c:v>
                </c:pt>
                <c:pt idx="400">
                  <c:v>6.6941174764130881E-3</c:v>
                </c:pt>
                <c:pt idx="401">
                  <c:v>6.5616369282245251E-3</c:v>
                </c:pt>
                <c:pt idx="402">
                  <c:v>6.4317782485212678E-3</c:v>
                </c:pt>
                <c:pt idx="403">
                  <c:v>6.3044895489736841E-3</c:v>
                </c:pt>
                <c:pt idx="404">
                  <c:v>6.179719968152907E-3</c:v>
                </c:pt>
                <c:pt idx="405">
                  <c:v>6.057419651207859E-3</c:v>
                </c:pt>
                <c:pt idx="406">
                  <c:v>5.9375397299444828E-3</c:v>
                </c:pt>
                <c:pt idx="407">
                  <c:v>5.8200323032992149E-3</c:v>
                </c:pt>
                <c:pt idx="408">
                  <c:v>5.7048504181989E-3</c:v>
                </c:pt>
                <c:pt idx="409">
                  <c:v>5.5919480507994994E-3</c:v>
                </c:pt>
                <c:pt idx="410">
                  <c:v>5.4681999244511632E-3</c:v>
                </c:pt>
                <c:pt idx="411">
                  <c:v>5.3471903068721518E-3</c:v>
                </c:pt>
                <c:pt idx="412">
                  <c:v>5.2288585956881024E-3</c:v>
                </c:pt>
                <c:pt idx="413">
                  <c:v>5.1131455296369466E-3</c:v>
                </c:pt>
                <c:pt idx="414">
                  <c:v>4.9999931588904983E-3</c:v>
                </c:pt>
                <c:pt idx="415">
                  <c:v>4.889344816032818E-3</c:v>
                </c:pt>
                <c:pt idx="416">
                  <c:v>4.7811450876808163E-3</c:v>
                </c:pt>
                <c:pt idx="417">
                  <c:v>4.6753397867328825E-3</c:v>
                </c:pt>
                <c:pt idx="418">
                  <c:v>4.5718759252316469E-3</c:v>
                </c:pt>
                <c:pt idx="419">
                  <c:v>4.4707016878272792E-3</c:v>
                </c:pt>
                <c:pt idx="420">
                  <c:v>4.3717664058280353E-3</c:v>
                </c:pt>
                <c:pt idx="421">
                  <c:v>4.2750205318250623E-3</c:v>
                </c:pt>
                <c:pt idx="422">
                  <c:v>4.1711353516287108E-3</c:v>
                </c:pt>
                <c:pt idx="423">
                  <c:v>4.0697746343171777E-3</c:v>
                </c:pt>
                <c:pt idx="424">
                  <c:v>3.9708770341542882E-3</c:v>
                </c:pt>
                <c:pt idx="425">
                  <c:v>3.8743826961365564E-3</c:v>
                </c:pt>
                <c:pt idx="426">
                  <c:v>3.7802332197676225E-3</c:v>
                </c:pt>
                <c:pt idx="427">
                  <c:v>3.688371623712986E-3</c:v>
                </c:pt>
                <c:pt idx="428">
                  <c:v>3.5987423113136483E-3</c:v>
                </c:pt>
                <c:pt idx="429">
                  <c:v>3.5112910369377924E-3</c:v>
                </c:pt>
                <c:pt idx="430">
                  <c:v>3.4259648731501322E-3</c:v>
                </c:pt>
                <c:pt idx="431">
                  <c:v>3.3427121786790649E-3</c:v>
                </c:pt>
                <c:pt idx="432">
                  <c:v>3.2614825671622369E-3</c:v>
                </c:pt>
                <c:pt idx="433">
                  <c:v>3.1822268766516092E-3</c:v>
                </c:pt>
                <c:pt idx="434">
                  <c:v>3.0970446275014061E-3</c:v>
                </c:pt>
                <c:pt idx="435">
                  <c:v>3.0141425475068108E-3</c:v>
                </c:pt>
                <c:pt idx="436">
                  <c:v>2.9334596008131699E-3</c:v>
                </c:pt>
                <c:pt idx="437">
                  <c:v>2.8549363853812614E-3</c:v>
                </c:pt>
                <c:pt idx="438">
                  <c:v>2.7785150892531188E-3</c:v>
                </c:pt>
                <c:pt idx="439">
                  <c:v>2.7041394479885347E-3</c:v>
                </c:pt>
                <c:pt idx="440">
                  <c:v>2.6317547032409117E-3</c:v>
                </c:pt>
                <c:pt idx="441">
                  <c:v>2.5613075624419594E-3</c:v>
                </c:pt>
                <c:pt idx="442">
                  <c:v>2.4927461595655558E-3</c:v>
                </c:pt>
                <c:pt idx="443">
                  <c:v>2.4260200169418876E-3</c:v>
                </c:pt>
                <c:pt idx="444">
                  <c:v>2.3610800080937542E-3</c:v>
                </c:pt>
                <c:pt idx="445">
                  <c:v>2.2978783215676728E-3</c:v>
                </c:pt>
                <c:pt idx="446">
                  <c:v>2.2290974461949089E-3</c:v>
                </c:pt>
                <c:pt idx="447">
                  <c:v>2.1623753433744775E-3</c:v>
                </c:pt>
                <c:pt idx="448">
                  <c:v>2.0976503892262046E-3</c:v>
                </c:pt>
                <c:pt idx="449">
                  <c:v>2.0348628044168544E-3</c:v>
                </c:pt>
                <c:pt idx="450">
                  <c:v>1.9739545989485227E-3</c:v>
                </c:pt>
                <c:pt idx="451">
                  <c:v>1.9148695185996439E-3</c:v>
                </c:pt>
                <c:pt idx="452">
                  <c:v>1.8575529929691428E-3</c:v>
                </c:pt>
                <c:pt idx="453">
                  <c:v>1.8019520850757469E-3</c:v>
                </c:pt>
                <c:pt idx="454">
                  <c:v>1.7480154424659102E-3</c:v>
                </c:pt>
                <c:pt idx="455">
                  <c:v>1.6956932497851896E-3</c:v>
                </c:pt>
                <c:pt idx="456">
                  <c:v>1.6449371827692723E-3</c:v>
                </c:pt>
                <c:pt idx="457">
                  <c:v>1.5957003636121589E-3</c:v>
                </c:pt>
                <c:pt idx="458">
                  <c:v>1.5450261457512747E-3</c:v>
                </c:pt>
                <c:pt idx="459">
                  <c:v>1.4959611750989326E-3</c:v>
                </c:pt>
                <c:pt idx="460">
                  <c:v>1.4484543472338407E-3</c:v>
                </c:pt>
                <c:pt idx="461">
                  <c:v>1.4024561806437676E-3</c:v>
                </c:pt>
                <c:pt idx="462">
                  <c:v>1.3579187651872658E-3</c:v>
                </c:pt>
                <c:pt idx="463">
                  <c:v>1.3147957121920812E-3</c:v>
                </c:pt>
                <c:pt idx="464">
                  <c:v>1.2730421061382747E-3</c:v>
                </c:pt>
                <c:pt idx="465">
                  <c:v>1.2326144578757284E-3</c:v>
                </c:pt>
                <c:pt idx="466">
                  <c:v>1.1934706593273114E-3</c:v>
                </c:pt>
                <c:pt idx="467">
                  <c:v>1.1555699396305246E-3</c:v>
                </c:pt>
                <c:pt idx="468">
                  <c:v>1.1188728226719435E-3</c:v>
                </c:pt>
                <c:pt idx="469">
                  <c:v>1.0833410859702271E-3</c:v>
                </c:pt>
                <c:pt idx="470">
                  <c:v>1.0447447262692897E-3</c:v>
                </c:pt>
                <c:pt idx="471">
                  <c:v>1.0075234450191341E-3</c:v>
                </c:pt>
                <c:pt idx="472">
                  <c:v>9.7162825208803652E-4</c:v>
                </c:pt>
                <c:pt idx="473">
                  <c:v>9.3701190272324042E-4</c:v>
                </c:pt>
                <c:pt idx="474">
                  <c:v>9.0362883536807144E-4</c:v>
                </c:pt>
                <c:pt idx="475">
                  <c:v>8.7143511169445115E-4</c:v>
                </c:pt>
                <c:pt idx="476">
                  <c:v>8.4038835877188185E-4</c:v>
                </c:pt>
                <c:pt idx="477">
                  <c:v>8.1044771329678595E-4</c:v>
                </c:pt>
                <c:pt idx="478">
                  <c:v>7.8157376780879531E-4</c:v>
                </c:pt>
                <c:pt idx="479">
                  <c:v>7.5372851882320093E-4</c:v>
                </c:pt>
                <c:pt idx="480">
                  <c:v>7.2687531681129593E-4</c:v>
                </c:pt>
                <c:pt idx="481">
                  <c:v>7.0097881796277661E-4</c:v>
                </c:pt>
                <c:pt idx="482">
                  <c:v>6.7373406025457233E-4</c:v>
                </c:pt>
                <c:pt idx="483">
                  <c:v>6.4754821731462882E-4</c:v>
                </c:pt>
                <c:pt idx="484">
                  <c:v>6.2238013258363847E-4</c:v>
                </c:pt>
                <c:pt idx="485">
                  <c:v>5.9819024912336296E-4</c:v>
                </c:pt>
                <c:pt idx="486">
                  <c:v>5.7494054744458589E-4</c:v>
                </c:pt>
                <c:pt idx="487">
                  <c:v>5.5259448575148938E-4</c:v>
                </c:pt>
                <c:pt idx="488">
                  <c:v>5.3111694250853713E-4</c:v>
                </c:pt>
                <c:pt idx="489">
                  <c:v>5.1047416123959483E-4</c:v>
                </c:pt>
                <c:pt idx="490">
                  <c:v>4.9063369747252839E-4</c:v>
                </c:pt>
                <c:pt idx="491">
                  <c:v>4.7156436774589282E-4</c:v>
                </c:pt>
                <c:pt idx="492">
                  <c:v>4.5323620059756453E-4</c:v>
                </c:pt>
                <c:pt idx="493">
                  <c:v>4.3562038945828496E-4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5-4C66-8F4E-DF00DF4CDA8E}"/>
            </c:ext>
          </c:extLst>
        </c:ser>
        <c:ser>
          <c:idx val="1"/>
          <c:order val="1"/>
          <c:tx>
            <c:v>PD</c:v>
          </c:tx>
          <c:spPr>
            <a:solidFill>
              <a:srgbClr val="FFBD59"/>
            </a:solidFill>
            <a:ln>
              <a:noFill/>
            </a:ln>
            <a:effectLst/>
          </c:spPr>
          <c:val>
            <c:numRef>
              <c:f>Engine!$Z$9:$Z$609</c:f>
              <c:numCache>
                <c:formatCode>0.00%</c:formatCode>
                <c:ptCount val="601"/>
                <c:pt idx="0">
                  <c:v>0</c:v>
                </c:pt>
                <c:pt idx="1">
                  <c:v>6.2175774218357072E-3</c:v>
                </c:pt>
                <c:pt idx="2">
                  <c:v>3.3141045355953413E-2</c:v>
                </c:pt>
                <c:pt idx="3">
                  <c:v>5.9897767491904341E-2</c:v>
                </c:pt>
                <c:pt idx="4">
                  <c:v>8.3141687988452784E-2</c:v>
                </c:pt>
                <c:pt idx="5">
                  <c:v>0.10291870875766307</c:v>
                </c:pt>
                <c:pt idx="6">
                  <c:v>0.11972509215016558</c:v>
                </c:pt>
                <c:pt idx="7">
                  <c:v>0.13405770178347098</c:v>
                </c:pt>
                <c:pt idx="8">
                  <c:v>0.14633665282224839</c:v>
                </c:pt>
                <c:pt idx="9">
                  <c:v>0.15690304268323263</c:v>
                </c:pt>
                <c:pt idx="10">
                  <c:v>0.16603156782831197</c:v>
                </c:pt>
                <c:pt idx="11">
                  <c:v>0.17394404266186048</c:v>
                </c:pt>
                <c:pt idx="12">
                  <c:v>0.18082076364661825</c:v>
                </c:pt>
                <c:pt idx="13">
                  <c:v>0.18680944038860914</c:v>
                </c:pt>
                <c:pt idx="14">
                  <c:v>0.19203206960532926</c:v>
                </c:pt>
                <c:pt idx="15">
                  <c:v>0.19659020582207432</c:v>
                </c:pt>
                <c:pt idx="16">
                  <c:v>0.20056901658565873</c:v>
                </c:pt>
                <c:pt idx="17">
                  <c:v>0.20404042311673887</c:v>
                </c:pt>
                <c:pt idx="18">
                  <c:v>0.20706555198201992</c:v>
                </c:pt>
                <c:pt idx="19">
                  <c:v>0.2096966649674985</c:v>
                </c:pt>
                <c:pt idx="20">
                  <c:v>0.21197869091043842</c:v>
                </c:pt>
                <c:pt idx="21">
                  <c:v>0.21395045145345681</c:v>
                </c:pt>
                <c:pt idx="22">
                  <c:v>0.21564564948836862</c:v>
                </c:pt>
                <c:pt idx="23">
                  <c:v>0.21709367209732422</c:v>
                </c:pt>
                <c:pt idx="24">
                  <c:v>0.21832024733305244</c:v>
                </c:pt>
                <c:pt idx="25">
                  <c:v>0.21934798495553065</c:v>
                </c:pt>
                <c:pt idx="26">
                  <c:v>0.22019682436488597</c:v>
                </c:pt>
                <c:pt idx="27">
                  <c:v>0.2208844078025094</c:v>
                </c:pt>
                <c:pt idx="28">
                  <c:v>0.22142639297867961</c:v>
                </c:pt>
                <c:pt idx="29">
                  <c:v>0.22183671629814428</c:v>
                </c:pt>
                <c:pt idx="30">
                  <c:v>0.2221278155584917</c:v>
                </c:pt>
                <c:pt idx="31">
                  <c:v>0.22231081921739537</c:v>
                </c:pt>
                <c:pt idx="32">
                  <c:v>0.22239570793759766</c:v>
                </c:pt>
                <c:pt idx="33">
                  <c:v>0.22239145302938601</c:v>
                </c:pt>
                <c:pt idx="34">
                  <c:v>0.22230613554980549</c:v>
                </c:pt>
                <c:pt idx="35">
                  <c:v>0.22214704913382444</c:v>
                </c:pt>
                <c:pt idx="36">
                  <c:v>0.22192078908576829</c:v>
                </c:pt>
                <c:pt idx="37">
                  <c:v>0.22163332981965722</c:v>
                </c:pt>
                <c:pt idx="38">
                  <c:v>0.22129009238172848</c:v>
                </c:pt>
                <c:pt idx="39">
                  <c:v>0.22089600349977667</c:v>
                </c:pt>
                <c:pt idx="40">
                  <c:v>0.22045554736836537</c:v>
                </c:pt>
                <c:pt idx="41">
                  <c:v>0.21997281118578271</c:v>
                </c:pt>
                <c:pt idx="42">
                  <c:v>0.21945152529954104</c:v>
                </c:pt>
                <c:pt idx="43">
                  <c:v>0.21889509868565082</c:v>
                </c:pt>
                <c:pt idx="44">
                  <c:v>0.21830665037766028</c:v>
                </c:pt>
                <c:pt idx="45">
                  <c:v>0.21768903737039635</c:v>
                </c:pt>
                <c:pt idx="46">
                  <c:v>0.21704487944716067</c:v>
                </c:pt>
                <c:pt idx="47">
                  <c:v>0.21637658131517723</c:v>
                </c:pt>
                <c:pt idx="48">
                  <c:v>0.21568635238021039</c:v>
                </c:pt>
                <c:pt idx="49">
                  <c:v>0.21497622444572428</c:v>
                </c:pt>
                <c:pt idx="50">
                  <c:v>0.21424806758335713</c:v>
                </c:pt>
                <c:pt idx="51">
                  <c:v>0.21350360438863658</c:v>
                </c:pt>
                <c:pt idx="52">
                  <c:v>0.21274442280786998</c:v>
                </c:pt>
                <c:pt idx="53">
                  <c:v>0.2119719876981877</c:v>
                </c:pt>
                <c:pt idx="54">
                  <c:v>0.21118765126218109</c:v>
                </c:pt>
                <c:pt idx="55">
                  <c:v>0.21039266248091659</c:v>
                </c:pt>
                <c:pt idx="56">
                  <c:v>0.20958817565388832</c:v>
                </c:pt>
                <c:pt idx="57">
                  <c:v>0.20877525814131803</c:v>
                </c:pt>
                <c:pt idx="58">
                  <c:v>0.2079548973928218</c:v>
                </c:pt>
                <c:pt idx="59">
                  <c:v>0.20712800733657522</c:v>
                </c:pt>
                <c:pt idx="60">
                  <c:v>0.20629543419451057</c:v>
                </c:pt>
                <c:pt idx="61">
                  <c:v>0.20545796178157727</c:v>
                </c:pt>
                <c:pt idx="62">
                  <c:v>0.20461631634055255</c:v>
                </c:pt>
                <c:pt idx="63">
                  <c:v>0.20377117095815089</c:v>
                </c:pt>
                <c:pt idx="64">
                  <c:v>0.20292314960315838</c:v>
                </c:pt>
                <c:pt idx="65">
                  <c:v>0.20207283082289784</c:v>
                </c:pt>
                <c:pt idx="66">
                  <c:v>0.20122075113044402</c:v>
                </c:pt>
                <c:pt idx="67">
                  <c:v>0.20036740811158049</c:v>
                </c:pt>
                <c:pt idx="68">
                  <c:v>0.19951326327746011</c:v>
                </c:pt>
                <c:pt idx="69">
                  <c:v>0.19865874468625688</c:v>
                </c:pt>
                <c:pt idx="70">
                  <c:v>0.19780424935471852</c:v>
                </c:pt>
                <c:pt idx="71">
                  <c:v>0.19695014547842415</c:v>
                </c:pt>
                <c:pt idx="72">
                  <c:v>0.19609677447768403</c:v>
                </c:pt>
                <c:pt idx="73">
                  <c:v>0.19524445288434245</c:v>
                </c:pt>
                <c:pt idx="74">
                  <c:v>0.19439347408327035</c:v>
                </c:pt>
                <c:pt idx="75">
                  <c:v>0.19354410992099536</c:v>
                </c:pt>
                <c:pt idx="76">
                  <c:v>0.19269661219274659</c:v>
                </c:pt>
                <c:pt idx="77">
                  <c:v>0.19185121401811611</c:v>
                </c:pt>
                <c:pt idx="78">
                  <c:v>0.1910081311145968</c:v>
                </c:pt>
                <c:pt idx="79">
                  <c:v>0.19016756297740234</c:v>
                </c:pt>
                <c:pt idx="80">
                  <c:v>0.18932969397320398</c:v>
                </c:pt>
                <c:pt idx="81">
                  <c:v>0.18849469435473387</c:v>
                </c:pt>
                <c:pt idx="82">
                  <c:v>0.18766272120258221</c:v>
                </c:pt>
                <c:pt idx="83">
                  <c:v>0.1868339192999533</c:v>
                </c:pt>
                <c:pt idx="84">
                  <c:v>0.18600842194564449</c:v>
                </c:pt>
                <c:pt idx="85">
                  <c:v>0.18518635171005315</c:v>
                </c:pt>
                <c:pt idx="86">
                  <c:v>0.18436782113859984</c:v>
                </c:pt>
                <c:pt idx="87">
                  <c:v>0.18355293340659251</c:v>
                </c:pt>
                <c:pt idx="88">
                  <c:v>0.18274178292920362</c:v>
                </c:pt>
                <c:pt idx="89">
                  <c:v>0.18193445592993895</c:v>
                </c:pt>
                <c:pt idx="90">
                  <c:v>0.18113103097068339</c:v>
                </c:pt>
                <c:pt idx="91">
                  <c:v>0.1803315794461684</c:v>
                </c:pt>
                <c:pt idx="92">
                  <c:v>0.1795361660454653</c:v>
                </c:pt>
                <c:pt idx="93">
                  <c:v>0.17874484918290101</c:v>
                </c:pt>
                <c:pt idx="94">
                  <c:v>0.17795768140060542</c:v>
                </c:pt>
                <c:pt idx="95">
                  <c:v>0.17717470974471639</c:v>
                </c:pt>
                <c:pt idx="96">
                  <c:v>0.17639597611711766</c:v>
                </c:pt>
                <c:pt idx="97">
                  <c:v>0.17562151760443057</c:v>
                </c:pt>
                <c:pt idx="98">
                  <c:v>0.17485136678585511</c:v>
                </c:pt>
                <c:pt idx="99">
                  <c:v>0.17408555202132725</c:v>
                </c:pt>
                <c:pt idx="100">
                  <c:v>0.17332409772135005</c:v>
                </c:pt>
                <c:pt idx="101">
                  <c:v>0.17256702459975692</c:v>
                </c:pt>
                <c:pt idx="102">
                  <c:v>0.17181434991056288</c:v>
                </c:pt>
                <c:pt idx="103">
                  <c:v>0.17106608766998266</c:v>
                </c:pt>
                <c:pt idx="104">
                  <c:v>0.17032224886461111</c:v>
                </c:pt>
                <c:pt idx="105">
                  <c:v>0.16958284164668469</c:v>
                </c:pt>
                <c:pt idx="106">
                  <c:v>0.16884787151728275</c:v>
                </c:pt>
                <c:pt idx="107">
                  <c:v>0.1681173414982623</c:v>
                </c:pt>
                <c:pt idx="108">
                  <c:v>0.16739125229366059</c:v>
                </c:pt>
                <c:pt idx="109">
                  <c:v>0.16666960244125228</c:v>
                </c:pt>
                <c:pt idx="110">
                  <c:v>0.16595238845489635</c:v>
                </c:pt>
                <c:pt idx="111">
                  <c:v>0.1652396049582634</c:v>
                </c:pt>
                <c:pt idx="112">
                  <c:v>0.16453124481049486</c:v>
                </c:pt>
                <c:pt idx="113">
                  <c:v>0.16382729922430539</c:v>
                </c:pt>
                <c:pt idx="114">
                  <c:v>0.16312775787700495</c:v>
                </c:pt>
                <c:pt idx="115">
                  <c:v>0.1624326090148861</c:v>
                </c:pt>
                <c:pt idx="116">
                  <c:v>0.16174183955138943</c:v>
                </c:pt>
                <c:pt idx="117">
                  <c:v>0.16105543515943432</c:v>
                </c:pt>
                <c:pt idx="118">
                  <c:v>0.16037338035827464</c:v>
                </c:pt>
                <c:pt idx="119">
                  <c:v>0.15969565859521484</c:v>
                </c:pt>
                <c:pt idx="120">
                  <c:v>0.15902225232250422</c:v>
                </c:pt>
                <c:pt idx="121">
                  <c:v>0.15835314306969828</c:v>
                </c:pt>
                <c:pt idx="122">
                  <c:v>0.15768831151176355</c:v>
                </c:pt>
                <c:pt idx="123">
                  <c:v>0.15702773753318333</c:v>
                </c:pt>
                <c:pt idx="124">
                  <c:v>0.15637140028830199</c:v>
                </c:pt>
                <c:pt idx="125">
                  <c:v>0.15571927825813348</c:v>
                </c:pt>
                <c:pt idx="126">
                  <c:v>0.15507134930384425</c:v>
                </c:pt>
                <c:pt idx="127">
                  <c:v>0.15442759071710788</c:v>
                </c:pt>
                <c:pt idx="128">
                  <c:v>0.15378797926751298</c:v>
                </c:pt>
                <c:pt idx="129">
                  <c:v>0.15315249124720165</c:v>
                </c:pt>
                <c:pt idx="130">
                  <c:v>0.15252110251289619</c:v>
                </c:pt>
                <c:pt idx="131">
                  <c:v>0.15189378852546931</c:v>
                </c:pt>
                <c:pt idx="132">
                  <c:v>0.15127052438719635</c:v>
                </c:pt>
                <c:pt idx="133">
                  <c:v>0.15065128487682977</c:v>
                </c:pt>
                <c:pt idx="134">
                  <c:v>0.15003604448261332</c:v>
                </c:pt>
                <c:pt idx="135">
                  <c:v>0.1494247774333608</c:v>
                </c:pt>
                <c:pt idx="136">
                  <c:v>0.14881745772770638</c:v>
                </c:pt>
                <c:pt idx="137">
                  <c:v>0.14821405916163199</c:v>
                </c:pt>
                <c:pt idx="138">
                  <c:v>0.14761455535436874</c:v>
                </c:pt>
                <c:pt idx="139">
                  <c:v>0.14701891977276538</c:v>
                </c:pt>
                <c:pt idx="140">
                  <c:v>0.14642712575421057</c:v>
                </c:pt>
                <c:pt idx="141">
                  <c:v>0.14583914652818797</c:v>
                </c:pt>
                <c:pt idx="142">
                  <c:v>0.14525495523654508</c:v>
                </c:pt>
                <c:pt idx="143">
                  <c:v>0.14467452495254296</c:v>
                </c:pt>
                <c:pt idx="144">
                  <c:v>0.14409782869875976</c:v>
                </c:pt>
                <c:pt idx="145">
                  <c:v>0.14352483946390804</c:v>
                </c:pt>
                <c:pt idx="146">
                  <c:v>0.14295553021862828</c:v>
                </c:pt>
                <c:pt idx="147">
                  <c:v>0.14238987393031466</c:v>
                </c:pt>
                <c:pt idx="148">
                  <c:v>0.14182784357702782</c:v>
                </c:pt>
                <c:pt idx="149">
                  <c:v>0.14126941216054356</c:v>
                </c:pt>
                <c:pt idx="150">
                  <c:v>0.14071455271858513</c:v>
                </c:pt>
                <c:pt idx="151">
                  <c:v>0.14016323833628619</c:v>
                </c:pt>
                <c:pt idx="152">
                  <c:v>0.13961544215692445</c:v>
                </c:pt>
                <c:pt idx="153">
                  <c:v>0.13907113739196675</c:v>
                </c:pt>
                <c:pt idx="154">
                  <c:v>0.13853029733046385</c:v>
                </c:pt>
                <c:pt idx="155">
                  <c:v>0.13799289534783044</c:v>
                </c:pt>
                <c:pt idx="156">
                  <c:v>0.13745890491404278</c:v>
                </c:pt>
                <c:pt idx="157">
                  <c:v>0.13692829960128872</c:v>
                </c:pt>
                <c:pt idx="158">
                  <c:v>0.13640105309109651</c:v>
                </c:pt>
                <c:pt idx="159">
                  <c:v>0.13587713918097255</c:v>
                </c:pt>
                <c:pt idx="160">
                  <c:v>0.13535653179057716</c:v>
                </c:pt>
                <c:pt idx="161">
                  <c:v>0.13483920496745827</c:v>
                </c:pt>
                <c:pt idx="162">
                  <c:v>0.13432513289237291</c:v>
                </c:pt>
                <c:pt idx="163">
                  <c:v>0.13381428988421495</c:v>
                </c:pt>
                <c:pt idx="164">
                  <c:v>0.13330665040457279</c:v>
                </c:pt>
                <c:pt idx="165">
                  <c:v>0.13280218906193619</c:v>
                </c:pt>
                <c:pt idx="166">
                  <c:v>0.1323008806155721</c:v>
                </c:pt>
                <c:pt idx="167">
                  <c:v>0.13180269997908745</c:v>
                </c:pt>
                <c:pt idx="168">
                  <c:v>0.13130762222369619</c:v>
                </c:pt>
                <c:pt idx="169">
                  <c:v>0.1308156225812056</c:v>
                </c:pt>
                <c:pt idx="170">
                  <c:v>0.13032667644673934</c:v>
                </c:pt>
                <c:pt idx="171">
                  <c:v>0.12984075938121131</c:v>
                </c:pt>
                <c:pt idx="172">
                  <c:v>0.12935784711356235</c:v>
                </c:pt>
                <c:pt idx="173">
                  <c:v>0.12887791554277472</c:v>
                </c:pt>
                <c:pt idx="174">
                  <c:v>0.12840094073967656</c:v>
                </c:pt>
                <c:pt idx="175">
                  <c:v>0.12792689894854692</c:v>
                </c:pt>
                <c:pt idx="176">
                  <c:v>0.12745576658853375</c:v>
                </c:pt>
                <c:pt idx="177">
                  <c:v>0.12698752025489501</c:v>
                </c:pt>
                <c:pt idx="178">
                  <c:v>0.12652213672007173</c:v>
                </c:pt>
                <c:pt idx="179">
                  <c:v>0.12605959293460511</c:v>
                </c:pt>
                <c:pt idx="180">
                  <c:v>0.12559986602790219</c:v>
                </c:pt>
                <c:pt idx="181">
                  <c:v>0.12514293330886495</c:v>
                </c:pt>
                <c:pt idx="182">
                  <c:v>0.12468877226638464</c:v>
                </c:pt>
                <c:pt idx="183">
                  <c:v>0.12423736056971169</c:v>
                </c:pt>
                <c:pt idx="184">
                  <c:v>0.1237886760687098</c:v>
                </c:pt>
                <c:pt idx="185">
                  <c:v>0.12334269679399901</c:v>
                </c:pt>
                <c:pt idx="186">
                  <c:v>0.12289940095699337</c:v>
                </c:pt>
                <c:pt idx="187">
                  <c:v>0.12245876694984292</c:v>
                </c:pt>
                <c:pt idx="188">
                  <c:v>0.12202077334528305</c:v>
                </c:pt>
                <c:pt idx="189">
                  <c:v>0.12158539889639641</c:v>
                </c:pt>
                <c:pt idx="190">
                  <c:v>0.12115262253629544</c:v>
                </c:pt>
                <c:pt idx="191">
                  <c:v>0.12072242337772643</c:v>
                </c:pt>
                <c:pt idx="192">
                  <c:v>0.12029478071260502</c:v>
                </c:pt>
                <c:pt idx="193">
                  <c:v>0.11986967401148174</c:v>
                </c:pt>
                <c:pt idx="194">
                  <c:v>0.1194470829229477</c:v>
                </c:pt>
                <c:pt idx="195">
                  <c:v>0.119026987272978</c:v>
                </c:pt>
                <c:pt idx="196">
                  <c:v>0.11860936706422454</c:v>
                </c:pt>
                <c:pt idx="197">
                  <c:v>0.11819420247525325</c:v>
                </c:pt>
                <c:pt idx="198">
                  <c:v>0.11778147385973703</c:v>
                </c:pt>
                <c:pt idx="199">
                  <c:v>0.11737116174560158</c:v>
                </c:pt>
                <c:pt idx="200">
                  <c:v>0.11696324683413117</c:v>
                </c:pt>
                <c:pt idx="201">
                  <c:v>0.11655770999903503</c:v>
                </c:pt>
                <c:pt idx="202">
                  <c:v>0.11615453228547767</c:v>
                </c:pt>
                <c:pt idx="203">
                  <c:v>0.11575369490907783</c:v>
                </c:pt>
                <c:pt idx="204">
                  <c:v>0.11535517925487393</c:v>
                </c:pt>
                <c:pt idx="205">
                  <c:v>0.1149589668762635</c:v>
                </c:pt>
                <c:pt idx="206">
                  <c:v>0.1145650394939145</c:v>
                </c:pt>
                <c:pt idx="207">
                  <c:v>0.11417337899465518</c:v>
                </c:pt>
                <c:pt idx="208">
                  <c:v>0.11378396743033892</c:v>
                </c:pt>
                <c:pt idx="209">
                  <c:v>0.11339678701669142</c:v>
                </c:pt>
                <c:pt idx="210">
                  <c:v>0.11301182013213806</c:v>
                </c:pt>
                <c:pt idx="211">
                  <c:v>0.11262904931661544</c:v>
                </c:pt>
                <c:pt idx="212">
                  <c:v>0.11224845727036792</c:v>
                </c:pt>
                <c:pt idx="213">
                  <c:v>0.11187002685273006</c:v>
                </c:pt>
                <c:pt idx="214">
                  <c:v>0.11149374108089749</c:v>
                </c:pt>
                <c:pt idx="215">
                  <c:v>0.11111958312868708</c:v>
                </c:pt>
                <c:pt idx="216">
                  <c:v>0.110747536325288</c:v>
                </c:pt>
                <c:pt idx="217">
                  <c:v>0.11037758415400412</c:v>
                </c:pt>
                <c:pt idx="218">
                  <c:v>0.11000971025098982</c:v>
                </c:pt>
                <c:pt idx="219">
                  <c:v>0.10964389840397892</c:v>
                </c:pt>
                <c:pt idx="220">
                  <c:v>0.10928013255101121</c:v>
                </c:pt>
                <c:pt idx="221">
                  <c:v>0.10891839677915249</c:v>
                </c:pt>
                <c:pt idx="222">
                  <c:v>0.10855867532321173</c:v>
                </c:pt>
                <c:pt idx="223">
                  <c:v>0.10820095256445939</c:v>
                </c:pt>
                <c:pt idx="224">
                  <c:v>0.10784521302933914</c:v>
                </c:pt>
                <c:pt idx="225">
                  <c:v>0.10749144138818478</c:v>
                </c:pt>
                <c:pt idx="226">
                  <c:v>0.10713962245393271</c:v>
                </c:pt>
                <c:pt idx="227">
                  <c:v>0.10678974118083817</c:v>
                </c:pt>
                <c:pt idx="228">
                  <c:v>0.1064417826631916</c:v>
                </c:pt>
                <c:pt idx="229">
                  <c:v>0.10609573213403789</c:v>
                </c:pt>
                <c:pt idx="230">
                  <c:v>0.10575157496389831</c:v>
                </c:pt>
                <c:pt idx="231">
                  <c:v>0.1054092966594945</c:v>
                </c:pt>
                <c:pt idx="232">
                  <c:v>0.10506888286247895</c:v>
                </c:pt>
                <c:pt idx="233">
                  <c:v>0.10473031934816623</c:v>
                </c:pt>
                <c:pt idx="234">
                  <c:v>0.10439359202427223</c:v>
                </c:pt>
                <c:pt idx="235">
                  <c:v>0.10405868692965514</c:v>
                </c:pt>
                <c:pt idx="236">
                  <c:v>0.10372559023306616</c:v>
                </c:pt>
                <c:pt idx="237">
                  <c:v>0.10339428823190122</c:v>
                </c:pt>
                <c:pt idx="238">
                  <c:v>0.10306476735096304</c:v>
                </c:pt>
                <c:pt idx="239">
                  <c:v>0.10273701414122693</c:v>
                </c:pt>
                <c:pt idx="240">
                  <c:v>0.10241101527861551</c:v>
                </c:pt>
                <c:pt idx="241">
                  <c:v>0.10208675756277819</c:v>
                </c:pt>
                <c:pt idx="242">
                  <c:v>0.10172483284730988</c:v>
                </c:pt>
                <c:pt idx="243">
                  <c:v>0.10136342388947303</c:v>
                </c:pt>
                <c:pt idx="244">
                  <c:v>0.10100254357172836</c:v>
                </c:pt>
                <c:pt idx="245">
                  <c:v>0.10064220445915845</c:v>
                </c:pt>
                <c:pt idx="246">
                  <c:v>0.10028241880621105</c:v>
                </c:pt>
                <c:pt idx="247">
                  <c:v>9.9923198563287102E-2</c:v>
                </c:pt>
                <c:pt idx="248">
                  <c:v>9.9564555383173076E-2</c:v>
                </c:pt>
                <c:pt idx="249">
                  <c:v>9.9206500627326305E-2</c:v>
                </c:pt>
                <c:pt idx="250">
                  <c:v>9.8849045372014083E-2</c:v>
                </c:pt>
                <c:pt idx="251">
                  <c:v>9.8492200414312142E-2</c:v>
                </c:pt>
                <c:pt idx="252">
                  <c:v>9.8135976277964942E-2</c:v>
                </c:pt>
                <c:pt idx="253">
                  <c:v>9.7780383219111866E-2</c:v>
                </c:pt>
                <c:pt idx="254">
                  <c:v>9.7361479915804683E-2</c:v>
                </c:pt>
                <c:pt idx="255">
                  <c:v>9.6943792181926586E-2</c:v>
                </c:pt>
                <c:pt idx="256">
                  <c:v>9.652732575929876E-2</c:v>
                </c:pt>
                <c:pt idx="257">
                  <c:v>9.611208616586428E-2</c:v>
                </c:pt>
                <c:pt idx="258">
                  <c:v>9.5698078700671818E-2</c:v>
                </c:pt>
                <c:pt idx="259">
                  <c:v>9.5285308448745748E-2</c:v>
                </c:pt>
                <c:pt idx="260">
                  <c:v>9.4873780285845574E-2</c:v>
                </c:pt>
                <c:pt idx="261">
                  <c:v>9.446349888311649E-2</c:v>
                </c:pt>
                <c:pt idx="262">
                  <c:v>9.4054468711634934E-2</c:v>
                </c:pt>
                <c:pt idx="263">
                  <c:v>9.3646694046851123E-2</c:v>
                </c:pt>
                <c:pt idx="264">
                  <c:v>9.3240178972931215E-2</c:v>
                </c:pt>
                <c:pt idx="265">
                  <c:v>9.2834927387001789E-2</c:v>
                </c:pt>
                <c:pt idx="266">
                  <c:v>9.2353914058172268E-2</c:v>
                </c:pt>
                <c:pt idx="267">
                  <c:v>9.1874939171023795E-2</c:v>
                </c:pt>
                <c:pt idx="268">
                  <c:v>9.1398000339845076E-2</c:v>
                </c:pt>
                <c:pt idx="269">
                  <c:v>9.0923095046217789E-2</c:v>
                </c:pt>
                <c:pt idx="270">
                  <c:v>9.0450220642568149E-2</c:v>
                </c:pt>
                <c:pt idx="271">
                  <c:v>8.9979374355636549E-2</c:v>
                </c:pt>
                <c:pt idx="272">
                  <c:v>8.9510553289866068E-2</c:v>
                </c:pt>
                <c:pt idx="273">
                  <c:v>8.9043754430713204E-2</c:v>
                </c:pt>
                <c:pt idx="274">
                  <c:v>8.8578974647880823E-2</c:v>
                </c:pt>
                <c:pt idx="275">
                  <c:v>8.8116210698477415E-2</c:v>
                </c:pt>
                <c:pt idx="276">
                  <c:v>8.7655459230103205E-2</c:v>
                </c:pt>
                <c:pt idx="277">
                  <c:v>8.7196716783865286E-2</c:v>
                </c:pt>
                <c:pt idx="278">
                  <c:v>8.6685535348996964E-2</c:v>
                </c:pt>
                <c:pt idx="279">
                  <c:v>8.6177350660669005E-2</c:v>
                </c:pt>
                <c:pt idx="280">
                  <c:v>8.567214515077505E-2</c:v>
                </c:pt>
                <c:pt idx="281">
                  <c:v>8.5169901354199842E-2</c:v>
                </c:pt>
                <c:pt idx="282">
                  <c:v>8.4670601908215543E-2</c:v>
                </c:pt>
                <c:pt idx="283">
                  <c:v>8.4174229551881419E-2</c:v>
                </c:pt>
                <c:pt idx="284">
                  <c:v>8.368076712544717E-2</c:v>
                </c:pt>
                <c:pt idx="285">
                  <c:v>8.3190197569759677E-2</c:v>
                </c:pt>
                <c:pt idx="286">
                  <c:v>8.2702503925673312E-2</c:v>
                </c:pt>
                <c:pt idx="287">
                  <c:v>8.2217669333463625E-2</c:v>
                </c:pt>
                <c:pt idx="288">
                  <c:v>8.1735677032244478E-2</c:v>
                </c:pt>
                <c:pt idx="289">
                  <c:v>8.1256510359388648E-2</c:v>
                </c:pt>
                <c:pt idx="290">
                  <c:v>8.0719089572294483E-2</c:v>
                </c:pt>
                <c:pt idx="291">
                  <c:v>8.018522322165253E-2</c:v>
                </c:pt>
                <c:pt idx="292">
                  <c:v>7.9654887798847551E-2</c:v>
                </c:pt>
                <c:pt idx="293">
                  <c:v>7.9128059950747537E-2</c:v>
                </c:pt>
                <c:pt idx="294">
                  <c:v>7.8604716478675174E-2</c:v>
                </c:pt>
                <c:pt idx="295">
                  <c:v>7.8084834337386527E-2</c:v>
                </c:pt>
                <c:pt idx="296">
                  <c:v>7.7568390634056017E-2</c:v>
                </c:pt>
                <c:pt idx="297">
                  <c:v>7.7055362627268559E-2</c:v>
                </c:pt>
                <c:pt idx="298">
                  <c:v>7.6545727726017976E-2</c:v>
                </c:pt>
                <c:pt idx="299">
                  <c:v>7.6039463488712364E-2</c:v>
                </c:pt>
                <c:pt idx="300">
                  <c:v>7.5536547622185729E-2</c:v>
                </c:pt>
                <c:pt idx="301">
                  <c:v>7.5036957980716468E-2</c:v>
                </c:pt>
                <c:pt idx="302">
                  <c:v>7.447795724496048E-2</c:v>
                </c:pt>
                <c:pt idx="303">
                  <c:v>7.3923120881415019E-2</c:v>
                </c:pt>
                <c:pt idx="304">
                  <c:v>7.3372417866872403E-2</c:v>
                </c:pt>
                <c:pt idx="305">
                  <c:v>7.2825817409237686E-2</c:v>
                </c:pt>
                <c:pt idx="306">
                  <c:v>7.2283288945806948E-2</c:v>
                </c:pt>
                <c:pt idx="307">
                  <c:v>7.1744802141558414E-2</c:v>
                </c:pt>
                <c:pt idx="308">
                  <c:v>7.1210326887456238E-2</c:v>
                </c:pt>
                <c:pt idx="309">
                  <c:v>7.0679833298767022E-2</c:v>
                </c:pt>
                <c:pt idx="310">
                  <c:v>7.0153291713388868E-2</c:v>
                </c:pt>
                <c:pt idx="311">
                  <c:v>6.9630672690192782E-2</c:v>
                </c:pt>
                <c:pt idx="312">
                  <c:v>6.9111947007376523E-2</c:v>
                </c:pt>
                <c:pt idx="313">
                  <c:v>6.8597085660830739E-2</c:v>
                </c:pt>
                <c:pt idx="314">
                  <c:v>6.8017094600034023E-2</c:v>
                </c:pt>
                <c:pt idx="315">
                  <c:v>6.7442007386497901E-2</c:v>
                </c:pt>
                <c:pt idx="316">
                  <c:v>6.6871782558000692E-2</c:v>
                </c:pt>
                <c:pt idx="317">
                  <c:v>6.6306379002885385E-2</c:v>
                </c:pt>
                <c:pt idx="318">
                  <c:v>6.5745755957095656E-2</c:v>
                </c:pt>
                <c:pt idx="319">
                  <c:v>6.5189873001236909E-2</c:v>
                </c:pt>
                <c:pt idx="320">
                  <c:v>6.4638690057662068E-2</c:v>
                </c:pt>
                <c:pt idx="321">
                  <c:v>6.4092167387582194E-2</c:v>
                </c:pt>
                <c:pt idx="322">
                  <c:v>6.3550265588201343E-2</c:v>
                </c:pt>
                <c:pt idx="323">
                  <c:v>6.3012945589875802E-2</c:v>
                </c:pt>
                <c:pt idx="324">
                  <c:v>6.2480168653297169E-2</c:v>
                </c:pt>
                <c:pt idx="325">
                  <c:v>6.1951896366699483E-2</c:v>
                </c:pt>
                <c:pt idx="326">
                  <c:v>6.1358829125973201E-2</c:v>
                </c:pt>
                <c:pt idx="327">
                  <c:v>6.0771439334568897E-2</c:v>
                </c:pt>
                <c:pt idx="328">
                  <c:v>6.0189672642105049E-2</c:v>
                </c:pt>
                <c:pt idx="329">
                  <c:v>5.9613475218497872E-2</c:v>
                </c:pt>
                <c:pt idx="330">
                  <c:v>5.9042793748980443E-2</c:v>
                </c:pt>
                <c:pt idx="331">
                  <c:v>5.8477575429169634E-2</c:v>
                </c:pt>
                <c:pt idx="332">
                  <c:v>5.7917767960180153E-2</c:v>
                </c:pt>
                <c:pt idx="333">
                  <c:v>5.7363319543785374E-2</c:v>
                </c:pt>
                <c:pt idx="334">
                  <c:v>5.6814178877624591E-2</c:v>
                </c:pt>
                <c:pt idx="335">
                  <c:v>5.6270295150456014E-2</c:v>
                </c:pt>
                <c:pt idx="336">
                  <c:v>5.5731618037455272E-2</c:v>
                </c:pt>
                <c:pt idx="337">
                  <c:v>5.5198097695558987E-2</c:v>
                </c:pt>
                <c:pt idx="338">
                  <c:v>5.4593679068989903E-2</c:v>
                </c:pt>
                <c:pt idx="339">
                  <c:v>5.3995878820433739E-2</c:v>
                </c:pt>
                <c:pt idx="340">
                  <c:v>5.3404624478716384E-2</c:v>
                </c:pt>
                <c:pt idx="341">
                  <c:v>5.2819844366222383E-2</c:v>
                </c:pt>
                <c:pt idx="342">
                  <c:v>5.2241467590205447E-2</c:v>
                </c:pt>
                <c:pt idx="343">
                  <c:v>5.166942403419416E-2</c:v>
                </c:pt>
                <c:pt idx="344">
                  <c:v>5.1103644349491793E-2</c:v>
                </c:pt>
                <c:pt idx="345">
                  <c:v>5.0544059946769151E-2</c:v>
                </c:pt>
                <c:pt idx="346">
                  <c:v>4.999060298774953E-2</c:v>
                </c:pt>
                <c:pt idx="347">
                  <c:v>4.9443206376984669E-2</c:v>
                </c:pt>
                <c:pt idx="348">
                  <c:v>4.8901803753720829E-2</c:v>
                </c:pt>
                <c:pt idx="349">
                  <c:v>4.8366329483853859E-2</c:v>
                </c:pt>
                <c:pt idx="350">
                  <c:v>4.7772483930695296E-2</c:v>
                </c:pt>
                <c:pt idx="351">
                  <c:v>4.7185929659400987E-2</c:v>
                </c:pt>
                <c:pt idx="352">
                  <c:v>4.6606577147045414E-2</c:v>
                </c:pt>
                <c:pt idx="353">
                  <c:v>4.6034337969872503E-2</c:v>
                </c:pt>
                <c:pt idx="354">
                  <c:v>4.5469124789799927E-2</c:v>
                </c:pt>
                <c:pt idx="355">
                  <c:v>4.491085134108911E-2</c:v>
                </c:pt>
                <c:pt idx="356">
                  <c:v>4.4359432417178948E-2</c:v>
                </c:pt>
                <c:pt idx="357">
                  <c:v>4.3814783857681089E-2</c:v>
                </c:pt>
                <c:pt idx="358">
                  <c:v>4.3276822535534998E-2</c:v>
                </c:pt>
                <c:pt idx="359">
                  <c:v>4.274546634432063E-2</c:v>
                </c:pt>
                <c:pt idx="360">
                  <c:v>4.2220634185726955E-2</c:v>
                </c:pt>
                <c:pt idx="361">
                  <c:v>4.1702245957174318E-2</c:v>
                </c:pt>
                <c:pt idx="362">
                  <c:v>4.1117140298636279E-2</c:v>
                </c:pt>
                <c:pt idx="363">
                  <c:v>4.0540243997263442E-2</c:v>
                </c:pt>
                <c:pt idx="364">
                  <c:v>3.9971441871217983E-2</c:v>
                </c:pt>
                <c:pt idx="365">
                  <c:v>3.9410620354727206E-2</c:v>
                </c:pt>
                <c:pt idx="366">
                  <c:v>3.8857667475409252E-2</c:v>
                </c:pt>
                <c:pt idx="367">
                  <c:v>3.8312472831916917E-2</c:v>
                </c:pt>
                <c:pt idx="368">
                  <c:v>3.7774927571895191E-2</c:v>
                </c:pt>
                <c:pt idx="369">
                  <c:v>3.7244924370248012E-2</c:v>
                </c:pt>
                <c:pt idx="370">
                  <c:v>3.6722357407710016E-2</c:v>
                </c:pt>
                <c:pt idx="371">
                  <c:v>3.6207122349718832E-2</c:v>
                </c:pt>
                <c:pt idx="372">
                  <c:v>3.5699116325583945E-2</c:v>
                </c:pt>
                <c:pt idx="373">
                  <c:v>3.5198237907947703E-2</c:v>
                </c:pt>
                <c:pt idx="374">
                  <c:v>3.4644723230916281E-2</c:v>
                </c:pt>
                <c:pt idx="375">
                  <c:v>3.4099912924214146E-2</c:v>
                </c:pt>
                <c:pt idx="376">
                  <c:v>3.3563670106081932E-2</c:v>
                </c:pt>
                <c:pt idx="377">
                  <c:v>3.3035860047312987E-2</c:v>
                </c:pt>
                <c:pt idx="378">
                  <c:v>3.251635013740313E-2</c:v>
                </c:pt>
                <c:pt idx="379">
                  <c:v>3.2005009851232682E-2</c:v>
                </c:pt>
                <c:pt idx="380">
                  <c:v>3.1501710716272509E-2</c:v>
                </c:pt>
                <c:pt idx="381">
                  <c:v>3.1006326280305686E-2</c:v>
                </c:pt>
                <c:pt idx="382">
                  <c:v>3.0518732079656823E-2</c:v>
                </c:pt>
                <c:pt idx="383">
                  <c:v>3.003880560792099E-2</c:v>
                </c:pt>
                <c:pt idx="384">
                  <c:v>2.9566426285184386E-2</c:v>
                </c:pt>
                <c:pt idx="385">
                  <c:v>2.9101475427729052E-2</c:v>
                </c:pt>
                <c:pt idx="386">
                  <c:v>2.8583328572001646E-2</c:v>
                </c:pt>
                <c:pt idx="387">
                  <c:v>2.8074407233542834E-2</c:v>
                </c:pt>
                <c:pt idx="388">
                  <c:v>2.7574547153575536E-2</c:v>
                </c:pt>
                <c:pt idx="389">
                  <c:v>2.7083586997922453E-2</c:v>
                </c:pt>
                <c:pt idx="390">
                  <c:v>2.6601368304934064E-2</c:v>
                </c:pt>
                <c:pt idx="391">
                  <c:v>2.6127735434343768E-2</c:v>
                </c:pt>
                <c:pt idx="392">
                  <c:v>2.5662535517033624E-2</c:v>
                </c:pt>
                <c:pt idx="393">
                  <c:v>2.5205618405694522E-2</c:v>
                </c:pt>
                <c:pt idx="394">
                  <c:v>2.4756836626364832E-2</c:v>
                </c:pt>
                <c:pt idx="395">
                  <c:v>2.4316045330831915E-2</c:v>
                </c:pt>
                <c:pt idx="396">
                  <c:v>2.3883102249881091E-2</c:v>
                </c:pt>
                <c:pt idx="397">
                  <c:v>2.3457867647377034E-2</c:v>
                </c:pt>
                <c:pt idx="398">
                  <c:v>2.2993622558131234E-2</c:v>
                </c:pt>
                <c:pt idx="399">
                  <c:v>2.2538565154063332E-2</c:v>
                </c:pt>
                <c:pt idx="400">
                  <c:v>2.2092513605443977E-2</c:v>
                </c:pt>
                <c:pt idx="401">
                  <c:v>2.1655289681061823E-2</c:v>
                </c:pt>
                <c:pt idx="402">
                  <c:v>2.1226718677006713E-2</c:v>
                </c:pt>
                <c:pt idx="403">
                  <c:v>2.0806629346862324E-2</c:v>
                </c:pt>
                <c:pt idx="404">
                  <c:v>2.0394853833280276E-2</c:v>
                </c:pt>
                <c:pt idx="405">
                  <c:v>1.9991227600908511E-2</c:v>
                </c:pt>
                <c:pt idx="406">
                  <c:v>1.9595589370647006E-2</c:v>
                </c:pt>
                <c:pt idx="407">
                  <c:v>1.9207781055204605E-2</c:v>
                </c:pt>
                <c:pt idx="408">
                  <c:v>1.8827647695931246E-2</c:v>
                </c:pt>
                <c:pt idx="409">
                  <c:v>1.84550374009003E-2</c:v>
                </c:pt>
                <c:pt idx="410">
                  <c:v>1.8046632980955206E-2</c:v>
                </c:pt>
                <c:pt idx="411">
                  <c:v>1.7647266427832452E-2</c:v>
                </c:pt>
                <c:pt idx="412">
                  <c:v>1.7256737736261015E-2</c:v>
                </c:pt>
                <c:pt idx="413">
                  <c:v>1.6874851327026291E-2</c:v>
                </c:pt>
                <c:pt idx="414">
                  <c:v>1.6501415949022793E-2</c:v>
                </c:pt>
                <c:pt idx="415">
                  <c:v>1.6136244583474402E-2</c:v>
                </c:pt>
                <c:pt idx="416">
                  <c:v>1.5779154350274195E-2</c:v>
                </c:pt>
                <c:pt idx="417">
                  <c:v>1.5429966416396936E-2</c:v>
                </c:pt>
                <c:pt idx="418">
                  <c:v>1.5088505906338392E-2</c:v>
                </c:pt>
                <c:pt idx="419">
                  <c:v>1.4754601814536569E-2</c:v>
                </c:pt>
                <c:pt idx="420">
                  <c:v>1.442808691973106E-2</c:v>
                </c:pt>
                <c:pt idx="421">
                  <c:v>1.4108797701217595E-2</c:v>
                </c:pt>
                <c:pt idx="422">
                  <c:v>1.3765946718249537E-2</c:v>
                </c:pt>
                <c:pt idx="423">
                  <c:v>1.3431427189102809E-2</c:v>
                </c:pt>
                <c:pt idx="424">
                  <c:v>1.3105036655198535E-2</c:v>
                </c:pt>
                <c:pt idx="425">
                  <c:v>1.278657757780461E-2</c:v>
                </c:pt>
                <c:pt idx="426">
                  <c:v>1.2475857218480917E-2</c:v>
                </c:pt>
                <c:pt idx="427">
                  <c:v>1.2172687522429764E-2</c:v>
                </c:pt>
                <c:pt idx="428">
                  <c:v>1.1876885004681006E-2</c:v>
                </c:pt>
                <c:pt idx="429">
                  <c:v>1.1588270639042886E-2</c:v>
                </c:pt>
                <c:pt idx="430">
                  <c:v>1.1306669749751457E-2</c:v>
                </c:pt>
                <c:pt idx="431">
                  <c:v>1.1031911905752961E-2</c:v>
                </c:pt>
                <c:pt idx="432">
                  <c:v>1.0763830817555203E-2</c:v>
                </c:pt>
                <c:pt idx="433">
                  <c:v>1.05022642365855E-2</c:v>
                </c:pt>
                <c:pt idx="434">
                  <c:v>1.0221138307002688E-2</c:v>
                </c:pt>
                <c:pt idx="435">
                  <c:v>9.9475375916502004E-3</c:v>
                </c:pt>
                <c:pt idx="436">
                  <c:v>9.6812606546473438E-3</c:v>
                </c:pt>
                <c:pt idx="437">
                  <c:v>9.422111452174399E-3</c:v>
                </c:pt>
                <c:pt idx="438">
                  <c:v>9.1698991881372701E-3</c:v>
                </c:pt>
                <c:pt idx="439">
                  <c:v>8.9244381736956931E-3</c:v>
                </c:pt>
                <c:pt idx="440">
                  <c:v>8.6855476905516281E-3</c:v>
                </c:pt>
                <c:pt idx="441">
                  <c:v>8.4530518578971609E-3</c:v>
                </c:pt>
                <c:pt idx="442">
                  <c:v>8.2267795029239577E-3</c:v>
                </c:pt>
                <c:pt idx="443">
                  <c:v>8.006564034798937E-3</c:v>
                </c:pt>
                <c:pt idx="444">
                  <c:v>7.792243322013389E-3</c:v>
                </c:pt>
                <c:pt idx="445">
                  <c:v>7.5836595730152112E-3</c:v>
                </c:pt>
                <c:pt idx="446">
                  <c:v>7.3566628956606116E-3</c:v>
                </c:pt>
                <c:pt idx="447">
                  <c:v>7.1364607600485457E-3</c:v>
                </c:pt>
                <c:pt idx="448">
                  <c:v>6.9228497896449224E-3</c:v>
                </c:pt>
                <c:pt idx="449">
                  <c:v>6.7156326954512305E-3</c:v>
                </c:pt>
                <c:pt idx="450">
                  <c:v>6.5146180937903538E-3</c:v>
                </c:pt>
                <c:pt idx="451">
                  <c:v>6.3196203295464871E-3</c:v>
                </c:pt>
                <c:pt idx="452">
                  <c:v>6.1304593046958844E-3</c:v>
                </c:pt>
                <c:pt idx="453">
                  <c:v>5.9469603119700985E-3</c:v>
                </c:pt>
                <c:pt idx="454">
                  <c:v>5.7689538734980502E-3</c:v>
                </c:pt>
                <c:pt idx="455">
                  <c:v>5.5962755842779363E-3</c:v>
                </c:pt>
                <c:pt idx="456">
                  <c:v>5.4287659603343748E-3</c:v>
                </c:pt>
                <c:pt idx="457">
                  <c:v>5.2662702914205743E-3</c:v>
                </c:pt>
                <c:pt idx="458">
                  <c:v>5.0990307932370603E-3</c:v>
                </c:pt>
                <c:pt idx="459">
                  <c:v>4.9371022738307346E-3</c:v>
                </c:pt>
                <c:pt idx="460">
                  <c:v>4.7803160739083202E-3</c:v>
                </c:pt>
                <c:pt idx="461">
                  <c:v>4.6285088902433581E-3</c:v>
                </c:pt>
                <c:pt idx="462">
                  <c:v>4.4815226055850707E-3</c:v>
                </c:pt>
                <c:pt idx="463">
                  <c:v>4.3392041239687495E-3</c:v>
                </c:pt>
                <c:pt idx="464">
                  <c:v>4.2014052112561602E-3</c:v>
                </c:pt>
                <c:pt idx="465">
                  <c:v>4.0679823407398534E-3</c:v>
                </c:pt>
                <c:pt idx="466">
                  <c:v>3.938796543650579E-3</c:v>
                </c:pt>
                <c:pt idx="467">
                  <c:v>3.8137132644120971E-3</c:v>
                </c:pt>
                <c:pt idx="468">
                  <c:v>3.6926022204926169E-3</c:v>
                </c:pt>
                <c:pt idx="469">
                  <c:v>3.5753372667069027E-3</c:v>
                </c:pt>
                <c:pt idx="470">
                  <c:v>3.4479581753153864E-3</c:v>
                </c:pt>
                <c:pt idx="471">
                  <c:v>3.3251172384288503E-3</c:v>
                </c:pt>
                <c:pt idx="472">
                  <c:v>3.2066527745178829E-3</c:v>
                </c:pt>
                <c:pt idx="473">
                  <c:v>3.0924088623058218E-3</c:v>
                </c:pt>
                <c:pt idx="474">
                  <c:v>2.9822351355473387E-3</c:v>
                </c:pt>
                <c:pt idx="475">
                  <c:v>2.8759865851184833E-3</c:v>
                </c:pt>
                <c:pt idx="476">
                  <c:v>2.7735233681576944E-3</c:v>
                </c:pt>
                <c:pt idx="477">
                  <c:v>2.6747106240065772E-3</c:v>
                </c:pt>
                <c:pt idx="478">
                  <c:v>2.5794182967081797E-3</c:v>
                </c:pt>
                <c:pt idx="479">
                  <c:v>2.4875209638291567E-3</c:v>
                </c:pt>
                <c:pt idx="480">
                  <c:v>2.3988976713805112E-3</c:v>
                </c:pt>
                <c:pt idx="481">
                  <c:v>2.3134317746196383E-3</c:v>
                </c:pt>
                <c:pt idx="482">
                  <c:v>2.2235162357205442E-3</c:v>
                </c:pt>
                <c:pt idx="483">
                  <c:v>2.1370954202121336E-3</c:v>
                </c:pt>
                <c:pt idx="484">
                  <c:v>2.0540334996077304E-3</c:v>
                </c:pt>
                <c:pt idx="485">
                  <c:v>1.9741999246304064E-3</c:v>
                </c:pt>
                <c:pt idx="486">
                  <c:v>1.897469220027337E-3</c:v>
                </c:pt>
                <c:pt idx="487">
                  <c:v>1.8237207873590547E-3</c:v>
                </c:pt>
                <c:pt idx="488">
                  <c:v>1.7528387154536361E-3</c:v>
                </c:pt>
                <c:pt idx="489">
                  <c:v>1.6847115982279197E-3</c:v>
                </c:pt>
                <c:pt idx="490">
                  <c:v>1.6192323595894155E-3</c:v>
                </c:pt>
                <c:pt idx="491">
                  <c:v>1.5562980851437072E-3</c:v>
                </c:pt>
                <c:pt idx="492">
                  <c:v>1.4958098604428375E-3</c:v>
                </c:pt>
                <c:pt idx="493">
                  <c:v>1.4376726155204496E-3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E5-4C66-8F4E-DF00DF4CDA8E}"/>
            </c:ext>
          </c:extLst>
        </c:ser>
        <c:ser>
          <c:idx val="2"/>
          <c:order val="2"/>
          <c:tx>
            <c:v>Dead</c:v>
          </c:tx>
          <c:spPr>
            <a:solidFill>
              <a:srgbClr val="D64550"/>
            </a:solidFill>
            <a:ln>
              <a:noFill/>
            </a:ln>
            <a:effectLst/>
          </c:spPr>
          <c:val>
            <c:numRef>
              <c:f>Engine!$AA$9:$AA$609</c:f>
              <c:numCache>
                <c:formatCode>0.00%</c:formatCode>
                <c:ptCount val="601"/>
                <c:pt idx="0">
                  <c:v>0</c:v>
                </c:pt>
                <c:pt idx="1">
                  <c:v>6.5313613028031847E-3</c:v>
                </c:pt>
                <c:pt idx="2">
                  <c:v>3.2588985672849957E-2</c:v>
                </c:pt>
                <c:pt idx="3">
                  <c:v>6.0886612702224951E-2</c:v>
                </c:pt>
                <c:pt idx="4">
                  <c:v>8.8192914717134974E-2</c:v>
                </c:pt>
                <c:pt idx="5">
                  <c:v>0.11390561253891929</c:v>
                </c:pt>
                <c:pt idx="6">
                  <c:v>0.13797185798392864</c:v>
                </c:pt>
                <c:pt idx="7">
                  <c:v>0.1604865818244926</c:v>
                </c:pt>
                <c:pt idx="8">
                  <c:v>0.18158159285570274</c:v>
                </c:pt>
                <c:pt idx="9">
                  <c:v>0.20139025312549963</c:v>
                </c:pt>
                <c:pt idx="10">
                  <c:v>0.22003607141847348</c:v>
                </c:pt>
                <c:pt idx="11">
                  <c:v>0.23762969361115316</c:v>
                </c:pt>
                <c:pt idx="12">
                  <c:v>0.25426894854649074</c:v>
                </c:pt>
                <c:pt idx="13">
                  <c:v>0.27003995227553168</c:v>
                </c:pt>
                <c:pt idx="14">
                  <c:v>0.28501849216572195</c:v>
                </c:pt>
                <c:pt idx="15">
                  <c:v>0.29927138857170399</c:v>
                </c:pt>
                <c:pt idx="16">
                  <c:v>0.31285772585497351</c:v>
                </c:pt>
                <c:pt idx="17">
                  <c:v>0.32582992474874917</c:v>
                </c:pt>
                <c:pt idx="18">
                  <c:v>0.33823466038740846</c:v>
                </c:pt>
                <c:pt idx="19">
                  <c:v>0.35011364207013629</c:v>
                </c:pt>
                <c:pt idx="20">
                  <c:v>0.36150427375919136</c:v>
                </c:pt>
                <c:pt idx="21">
                  <c:v>0.37244021360822666</c:v>
                </c:pt>
                <c:pt idx="22">
                  <c:v>0.38295184878217048</c:v>
                </c:pt>
                <c:pt idx="23">
                  <c:v>0.39306669948076456</c:v>
                </c:pt>
                <c:pt idx="24">
                  <c:v>0.40280976383680811</c:v>
                </c:pt>
                <c:pt idx="25">
                  <c:v>0.41220381338221834</c:v>
                </c:pt>
                <c:pt idx="26">
                  <c:v>0.42126964709471859</c:v>
                </c:pt>
                <c:pt idx="27">
                  <c:v>0.43002631063910512</c:v>
                </c:pt>
                <c:pt idx="28">
                  <c:v>0.4384912862649869</c:v>
                </c:pt>
                <c:pt idx="29">
                  <c:v>0.44668065787923628</c:v>
                </c:pt>
                <c:pt idx="30">
                  <c:v>0.45460925504005067</c:v>
                </c:pt>
                <c:pt idx="31">
                  <c:v>0.46229077898912851</c:v>
                </c:pt>
                <c:pt idx="32">
                  <c:v>0.46973791332259285</c:v>
                </c:pt>
                <c:pt idx="33">
                  <c:v>0.4769624214782664</c:v>
                </c:pt>
                <c:pt idx="34">
                  <c:v>0.48397523286909239</c:v>
                </c:pt>
                <c:pt idx="35">
                  <c:v>0.49078651920565552</c:v>
                </c:pt>
                <c:pt idx="36">
                  <c:v>0.49740576231344913</c:v>
                </c:pt>
                <c:pt idx="37">
                  <c:v>0.50384181455353227</c:v>
                </c:pt>
                <c:pt idx="38">
                  <c:v>0.51010295279113649</c:v>
                </c:pt>
                <c:pt idx="39">
                  <c:v>0.51619692671963535</c:v>
                </c:pt>
                <c:pt idx="40">
                  <c:v>0.52213100223227071</c:v>
                </c:pt>
                <c:pt idx="41">
                  <c:v>0.52791200043725661</c:v>
                </c:pt>
                <c:pt idx="42">
                  <c:v>0.53354633283016972</c:v>
                </c:pt>
                <c:pt idx="43">
                  <c:v>0.53904003306834425</c:v>
                </c:pt>
                <c:pt idx="44">
                  <c:v>0.54439878573319089</c:v>
                </c:pt>
                <c:pt idx="45">
                  <c:v>0.54962795241626416</c:v>
                </c:pt>
                <c:pt idx="46">
                  <c:v>0.55473259542206965</c:v>
                </c:pt>
                <c:pt idx="47">
                  <c:v>0.55971749934390425</c:v>
                </c:pt>
                <c:pt idx="48">
                  <c:v>0.56458719073745334</c:v>
                </c:pt>
                <c:pt idx="49">
                  <c:v>0.56934595608968186</c:v>
                </c:pt>
                <c:pt idx="50">
                  <c:v>0.5739978582570413</c:v>
                </c:pt>
                <c:pt idx="51">
                  <c:v>0.57854675152665058</c:v>
                </c:pt>
                <c:pt idx="52">
                  <c:v>0.58299629543642095</c:v>
                </c:pt>
                <c:pt idx="53">
                  <c:v>0.5873499674746876</c:v>
                </c:pt>
                <c:pt idx="54">
                  <c:v>0.59161107476647512</c:v>
                </c:pt>
                <c:pt idx="55">
                  <c:v>0.59578276484176407</c:v>
                </c:pt>
                <c:pt idx="56">
                  <c:v>0.59986803557082213</c:v>
                </c:pt>
                <c:pt idx="57">
                  <c:v>0.60386974434261065</c:v>
                </c:pt>
                <c:pt idx="58">
                  <c:v>0.60779061655430655</c:v>
                </c:pt>
                <c:pt idx="59">
                  <c:v>0.61163325347295983</c:v>
                </c:pt>
                <c:pt idx="60">
                  <c:v>0.61540013952408446</c:v>
                </c:pt>
                <c:pt idx="61">
                  <c:v>0.61909364905649289</c:v>
                </c:pt>
                <c:pt idx="62">
                  <c:v>0.62271605262780083</c:v>
                </c:pt>
                <c:pt idx="63">
                  <c:v>0.62626952285069881</c:v>
                </c:pt>
                <c:pt idx="64">
                  <c:v>0.62975613983622869</c:v>
                </c:pt>
                <c:pt idx="65">
                  <c:v>0.63317789626686483</c:v>
                </c:pt>
                <c:pt idx="66">
                  <c:v>0.63653670212912927</c:v>
                </c:pt>
                <c:pt idx="67">
                  <c:v>0.63983438913272161</c:v>
                </c:pt>
                <c:pt idx="68">
                  <c:v>0.64307271484069051</c:v>
                </c:pt>
                <c:pt idx="69">
                  <c:v>0.6462533665329544</c:v>
                </c:pt>
                <c:pt idx="70">
                  <c:v>0.64937796482350907</c:v>
                </c:pt>
                <c:pt idx="71">
                  <c:v>0.65244806704986757</c:v>
                </c:pt>
                <c:pt idx="72">
                  <c:v>0.65546517045166997</c:v>
                </c:pt>
                <c:pt idx="73">
                  <c:v>0.65843071515395801</c:v>
                </c:pt>
                <c:pt idx="74">
                  <c:v>0.66134608696928687</c:v>
                </c:pt>
                <c:pt idx="75">
                  <c:v>0.66421262003167636</c:v>
                </c:pt>
                <c:pt idx="76">
                  <c:v>0.66703159927431577</c:v>
                </c:pt>
                <c:pt idx="77">
                  <c:v>0.6698042627619758</c:v>
                </c:pt>
                <c:pt idx="78">
                  <c:v>0.67253180388818978</c:v>
                </c:pt>
                <c:pt idx="79">
                  <c:v>0.67521537344646565</c:v>
                </c:pt>
                <c:pt idx="80">
                  <c:v>0.67785608158406174</c:v>
                </c:pt>
                <c:pt idx="81">
                  <c:v>0.68045499964619283</c:v>
                </c:pt>
                <c:pt idx="82">
                  <c:v>0.68301316191792061</c:v>
                </c:pt>
                <c:pt idx="83">
                  <c:v>0.68553156727044129</c:v>
                </c:pt>
                <c:pt idx="84">
                  <c:v>0.68801118071796286</c:v>
                </c:pt>
                <c:pt idx="85">
                  <c:v>0.69045293489090998</c:v>
                </c:pt>
                <c:pt idx="86">
                  <c:v>0.69285773143077245</c:v>
                </c:pt>
                <c:pt idx="87">
                  <c:v>0.69522644231151254</c:v>
                </c:pt>
                <c:pt idx="88">
                  <c:v>0.69755991109210813</c:v>
                </c:pt>
                <c:pt idx="89">
                  <c:v>0.69985895410446242</c:v>
                </c:pt>
                <c:pt idx="90">
                  <c:v>0.70212436158062752</c:v>
                </c:pt>
                <c:pt idx="91">
                  <c:v>0.70435689872299689</c:v>
                </c:pt>
                <c:pt idx="92">
                  <c:v>0.70655730672088124</c:v>
                </c:pt>
                <c:pt idx="93">
                  <c:v>0.70872630371663758</c:v>
                </c:pt>
                <c:pt idx="94">
                  <c:v>0.71086458572430788</c:v>
                </c:pt>
                <c:pt idx="95">
                  <c:v>0.71297282750352675</c:v>
                </c:pt>
                <c:pt idx="96">
                  <c:v>0.71505168339126923</c:v>
                </c:pt>
                <c:pt idx="97">
                  <c:v>0.71710178809384151</c:v>
                </c:pt>
                <c:pt idx="98">
                  <c:v>0.71912375744135948</c:v>
                </c:pt>
                <c:pt idx="99">
                  <c:v>0.72111818910681202</c:v>
                </c:pt>
                <c:pt idx="100">
                  <c:v>0.72308566329167501</c:v>
                </c:pt>
                <c:pt idx="101">
                  <c:v>0.72502674337991058</c:v>
                </c:pt>
                <c:pt idx="102">
                  <c:v>0.72694197656207604</c:v>
                </c:pt>
                <c:pt idx="103">
                  <c:v>0.7288318944311547</c:v>
                </c:pt>
                <c:pt idx="104">
                  <c:v>0.73069701355161965</c:v>
                </c:pt>
                <c:pt idx="105">
                  <c:v>0.73253783600315514</c:v>
                </c:pt>
                <c:pt idx="106">
                  <c:v>0.73435484990036382</c:v>
                </c:pt>
                <c:pt idx="107">
                  <c:v>0.73614852988971402</c:v>
                </c:pt>
                <c:pt idx="108">
                  <c:v>0.7379193376249048</c:v>
                </c:pt>
                <c:pt idx="109">
                  <c:v>0.73966772222175459</c:v>
                </c:pt>
                <c:pt idx="110">
                  <c:v>0.7413941206936534</c:v>
                </c:pt>
                <c:pt idx="111">
                  <c:v>0.74309895836856366</c:v>
                </c:pt>
                <c:pt idx="112">
                  <c:v>0.74478264928848636</c:v>
                </c:pt>
                <c:pt idx="113">
                  <c:v>0.74644559659226983</c:v>
                </c:pt>
                <c:pt idx="114">
                  <c:v>0.74808819288257544</c:v>
                </c:pt>
                <c:pt idx="115">
                  <c:v>0.74971082057777738</c:v>
                </c:pt>
                <c:pt idx="116">
                  <c:v>0.75131385224952674</c:v>
                </c:pt>
                <c:pt idx="117">
                  <c:v>0.75289765094666783</c:v>
                </c:pt>
                <c:pt idx="118">
                  <c:v>0.75446257050615806</c:v>
                </c:pt>
                <c:pt idx="119">
                  <c:v>0.75600895585161099</c:v>
                </c:pt>
                <c:pt idx="120">
                  <c:v>0.75753714328003618</c:v>
                </c:pt>
                <c:pt idx="121">
                  <c:v>0.75904746073733498</c:v>
                </c:pt>
                <c:pt idx="122">
                  <c:v>0.76054022808306765</c:v>
                </c:pt>
                <c:pt idx="123">
                  <c:v>0.7620157573449855</c:v>
                </c:pt>
                <c:pt idx="124">
                  <c:v>0.76347435296379718</c:v>
                </c:pt>
                <c:pt idx="125">
                  <c:v>0.76491631202860921</c:v>
                </c:pt>
                <c:pt idx="126">
                  <c:v>0.76634192450346106</c:v>
                </c:pt>
                <c:pt idx="127">
                  <c:v>0.76775147344535088</c:v>
                </c:pt>
                <c:pt idx="128">
                  <c:v>0.76914523521413258</c:v>
                </c:pt>
                <c:pt idx="129">
                  <c:v>0.77052347967463686</c:v>
                </c:pt>
                <c:pt idx="130">
                  <c:v>0.77188647039136093</c:v>
                </c:pt>
                <c:pt idx="131">
                  <c:v>0.77323446481604519</c:v>
                </c:pt>
                <c:pt idx="132">
                  <c:v>0.77456771446844785</c:v>
                </c:pt>
                <c:pt idx="133">
                  <c:v>0.77588646511060322</c:v>
                </c:pt>
                <c:pt idx="134">
                  <c:v>0.77719095691484652</c:v>
                </c:pt>
                <c:pt idx="135">
                  <c:v>0.77848142462586345</c:v>
                </c:pt>
                <c:pt idx="136">
                  <c:v>0.77975809771701843</c:v>
                </c:pt>
                <c:pt idx="137">
                  <c:v>0.78102120054119761</c:v>
                </c:pt>
                <c:pt idx="138">
                  <c:v>0.78227095247639566</c:v>
                </c:pt>
                <c:pt idx="139">
                  <c:v>0.78350756806626087</c:v>
                </c:pt>
                <c:pt idx="140">
                  <c:v>0.78473125715580505</c:v>
                </c:pt>
                <c:pt idx="141">
                  <c:v>0.78594222502247479</c:v>
                </c:pt>
                <c:pt idx="142">
                  <c:v>0.78714067250276964</c:v>
                </c:pt>
                <c:pt idx="143">
                  <c:v>0.78832679611458945</c:v>
                </c:pt>
                <c:pt idx="144">
                  <c:v>0.78950078817547409</c:v>
                </c:pt>
                <c:pt idx="145">
                  <c:v>0.79066283691690598</c:v>
                </c:pt>
                <c:pt idx="146">
                  <c:v>0.79181312659482384</c:v>
                </c:pt>
                <c:pt idx="147">
                  <c:v>0.79295183759649934</c:v>
                </c:pt>
                <c:pt idx="148">
                  <c:v>0.7940791465439162</c:v>
                </c:pt>
                <c:pt idx="149">
                  <c:v>0.79519522639378692</c:v>
                </c:pt>
                <c:pt idx="150">
                  <c:v>0.79630024653433717</c:v>
                </c:pt>
                <c:pt idx="151">
                  <c:v>0.79739437287897896</c:v>
                </c:pt>
                <c:pt idx="152">
                  <c:v>0.79847776795699343</c:v>
                </c:pt>
                <c:pt idx="153">
                  <c:v>0.79955059100133175</c:v>
                </c:pt>
                <c:pt idx="154">
                  <c:v>0.80061299803364683</c:v>
                </c:pt>
                <c:pt idx="155">
                  <c:v>0.80166514194665528</c:v>
                </c:pt>
                <c:pt idx="156">
                  <c:v>0.80270717258392921</c:v>
                </c:pt>
                <c:pt idx="157">
                  <c:v>0.80373923681721415</c:v>
                </c:pt>
                <c:pt idx="158">
                  <c:v>0.8047614786213606</c:v>
                </c:pt>
                <c:pt idx="159">
                  <c:v>0.80577403914695944</c:v>
                </c:pt>
                <c:pt idx="160">
                  <c:v>0.80677705679076006</c:v>
                </c:pt>
                <c:pt idx="161">
                  <c:v>0.80777066726395574</c:v>
                </c:pt>
                <c:pt idx="162">
                  <c:v>0.80875500365840769</c:v>
                </c:pt>
                <c:pt idx="163">
                  <c:v>0.80973019651088485</c:v>
                </c:pt>
                <c:pt idx="164">
                  <c:v>0.8106963738653874</c:v>
                </c:pt>
                <c:pt idx="165">
                  <c:v>0.81165366133362193</c:v>
                </c:pt>
                <c:pt idx="166">
                  <c:v>0.81260218215369295</c:v>
                </c:pt>
                <c:pt idx="167">
                  <c:v>0.81354205724707285</c:v>
                </c:pt>
                <c:pt idx="168">
                  <c:v>0.81447340527390888</c:v>
                </c:pt>
                <c:pt idx="169">
                  <c:v>0.81539634268672678</c:v>
                </c:pt>
                <c:pt idx="170">
                  <c:v>0.81631098378258238</c:v>
                </c:pt>
                <c:pt idx="171">
                  <c:v>0.81721744075371694</c:v>
                </c:pt>
                <c:pt idx="172">
                  <c:v>0.8181158237367645</c:v>
                </c:pt>
                <c:pt idx="173">
                  <c:v>0.81900624086056317</c:v>
                </c:pt>
                <c:pt idx="174">
                  <c:v>0.81988879829261296</c:v>
                </c:pt>
                <c:pt idx="175">
                  <c:v>0.82076360028422868</c:v>
                </c:pt>
                <c:pt idx="176">
                  <c:v>0.82163074921442969</c:v>
                </c:pt>
                <c:pt idx="177">
                  <c:v>0.82249034563260681</c:v>
                </c:pt>
                <c:pt idx="178">
                  <c:v>0.82334248830001056</c:v>
                </c:pt>
                <c:pt idx="179">
                  <c:v>0.82418727423009353</c:v>
                </c:pt>
                <c:pt idx="180">
                  <c:v>0.82502479872775025</c:v>
                </c:pt>
                <c:pt idx="181">
                  <c:v>0.82585515542748333</c:v>
                </c:pt>
                <c:pt idx="182">
                  <c:v>0.82667843633053706</c:v>
                </c:pt>
                <c:pt idx="183">
                  <c:v>0.82749473184102751</c:v>
                </c:pt>
                <c:pt idx="184">
                  <c:v>0.82830413080110066</c:v>
                </c:pt>
                <c:pt idx="185">
                  <c:v>0.82910672052515189</c:v>
                </c:pt>
                <c:pt idx="186">
                  <c:v>0.82990258683313567</c:v>
                </c:pt>
                <c:pt idx="187">
                  <c:v>0.83069181408299131</c:v>
                </c:pt>
                <c:pt idx="188">
                  <c:v>0.83147448520221579</c:v>
                </c:pt>
                <c:pt idx="189">
                  <c:v>0.83225068171860928</c:v>
                </c:pt>
                <c:pt idx="190">
                  <c:v>0.83302048379021643</c:v>
                </c:pt>
                <c:pt idx="191">
                  <c:v>0.83378397023449236</c:v>
                </c:pt>
                <c:pt idx="192">
                  <c:v>0.83454121855671226</c:v>
                </c:pt>
                <c:pt idx="193">
                  <c:v>0.83529230497765283</c:v>
                </c:pt>
                <c:pt idx="194">
                  <c:v>0.83603730446056201</c:v>
                </c:pt>
                <c:pt idx="195">
                  <c:v>0.83677629073744442</c:v>
                </c:pt>
                <c:pt idx="196">
                  <c:v>0.83750933633467695</c:v>
                </c:pt>
                <c:pt idx="197">
                  <c:v>0.83823651259798027</c:v>
                </c:pt>
                <c:pt idx="198">
                  <c:v>0.83895788971676044</c:v>
                </c:pt>
                <c:pt idx="199">
                  <c:v>0.83967353674784284</c:v>
                </c:pt>
                <c:pt idx="200">
                  <c:v>0.84038352163861441</c:v>
                </c:pt>
                <c:pt idx="201">
                  <c:v>0.84108791124959215</c:v>
                </c:pt>
                <c:pt idx="202">
                  <c:v>0.84178677137643554</c:v>
                </c:pt>
                <c:pt idx="203">
                  <c:v>0.84248016677141557</c:v>
                </c:pt>
                <c:pt idx="204">
                  <c:v>0.84316816116436177</c:v>
                </c:pt>
                <c:pt idx="205">
                  <c:v>0.84385081728309641</c:v>
                </c:pt>
                <c:pt idx="206">
                  <c:v>0.84452819687337566</c:v>
                </c:pt>
                <c:pt idx="207">
                  <c:v>0.8452003607183467</c:v>
                </c:pt>
                <c:pt idx="208">
                  <c:v>0.84586736865753998</c:v>
                </c:pt>
                <c:pt idx="209">
                  <c:v>0.84652927960540425</c:v>
                </c:pt>
                <c:pt idx="210">
                  <c:v>0.84718615156940291</c:v>
                </c:pt>
                <c:pt idx="211">
                  <c:v>0.84783804166767862</c:v>
                </c:pt>
                <c:pt idx="212">
                  <c:v>0.84848500614630162</c:v>
                </c:pt>
                <c:pt idx="213">
                  <c:v>0.8491271003961125</c:v>
                </c:pt>
                <c:pt idx="214">
                  <c:v>0.84976437896917068</c:v>
                </c:pt>
                <c:pt idx="215">
                  <c:v>0.85039689559481868</c:v>
                </c:pt>
                <c:pt idx="216">
                  <c:v>0.85102470319537371</c:v>
                </c:pt>
                <c:pt idx="217">
                  <c:v>0.85164785390145603</c:v>
                </c:pt>
                <c:pt idx="218">
                  <c:v>0.85226639906696544</c:v>
                </c:pt>
                <c:pt idx="219">
                  <c:v>0.85288038928371313</c:v>
                </c:pt>
                <c:pt idx="220">
                  <c:v>0.85348987439571944</c:v>
                </c:pt>
                <c:pt idx="221">
                  <c:v>0.85409490351318706</c:v>
                </c:pt>
                <c:pt idx="222">
                  <c:v>0.85469552502615809</c:v>
                </c:pt>
                <c:pt idx="223">
                  <c:v>0.85529178661786109</c:v>
                </c:pt>
                <c:pt idx="224">
                  <c:v>0.85588373527776129</c:v>
                </c:pt>
                <c:pt idx="225">
                  <c:v>0.85647141731431553</c:v>
                </c:pt>
                <c:pt idx="226">
                  <c:v>0.85705487836744565</c:v>
                </c:pt>
                <c:pt idx="227">
                  <c:v>0.85763416342073373</c:v>
                </c:pt>
                <c:pt idx="228">
                  <c:v>0.85820931681334756</c:v>
                </c:pt>
                <c:pt idx="229">
                  <c:v>0.85878038225170494</c:v>
                </c:pt>
                <c:pt idx="230">
                  <c:v>0.85934740282087974</c:v>
                </c:pt>
                <c:pt idx="231">
                  <c:v>0.85991042099576198</c:v>
                </c:pt>
                <c:pt idx="232">
                  <c:v>0.86046947865197176</c:v>
                </c:pt>
                <c:pt idx="233">
                  <c:v>0.86102461707653977</c:v>
                </c:pt>
                <c:pt idx="234">
                  <c:v>0.86157587697835414</c:v>
                </c:pt>
                <c:pt idx="235">
                  <c:v>0.86212329849838609</c:v>
                </c:pt>
                <c:pt idx="236">
                  <c:v>0.86266692121969291</c:v>
                </c:pt>
                <c:pt idx="237">
                  <c:v>0.86320678417721042</c:v>
                </c:pt>
                <c:pt idx="238">
                  <c:v>0.86374292586733536</c:v>
                </c:pt>
                <c:pt idx="239">
                  <c:v>0.86427538425730654</c:v>
                </c:pt>
                <c:pt idx="240">
                  <c:v>0.8648041967943858</c:v>
                </c:pt>
                <c:pt idx="241">
                  <c:v>0.86532940041484885</c:v>
                </c:pt>
                <c:pt idx="242">
                  <c:v>0.8658904266213554</c:v>
                </c:pt>
                <c:pt idx="243">
                  <c:v>0.86644911564064109</c:v>
                </c:pt>
                <c:pt idx="244">
                  <c:v>0.86700547720922805</c:v>
                </c:pt>
                <c:pt idx="245">
                  <c:v>0.86755952102307687</c:v>
                </c:pt>
                <c:pt idx="246">
                  <c:v>0.86811125673775569</c:v>
                </c:pt>
                <c:pt idx="247">
                  <c:v>0.86866069396860834</c:v>
                </c:pt>
                <c:pt idx="248">
                  <c:v>0.86920784229092207</c:v>
                </c:pt>
                <c:pt idx="249">
                  <c:v>0.86975271124009423</c:v>
                </c:pt>
                <c:pt idx="250">
                  <c:v>0.8702953103117983</c:v>
                </c:pt>
                <c:pt idx="251">
                  <c:v>0.87083564896214993</c:v>
                </c:pt>
                <c:pt idx="252">
                  <c:v>0.87137373660787132</c:v>
                </c:pt>
                <c:pt idx="253">
                  <c:v>0.87190958262645513</c:v>
                </c:pt>
                <c:pt idx="254">
                  <c:v>0.87250714767240778</c:v>
                </c:pt>
                <c:pt idx="255">
                  <c:v>0.87310192496896066</c:v>
                </c:pt>
                <c:pt idx="256">
                  <c:v>0.87369392752147079</c:v>
                </c:pt>
                <c:pt idx="257">
                  <c:v>0.87428316827462271</c:v>
                </c:pt>
                <c:pt idx="258">
                  <c:v>0.87486966011271172</c:v>
                </c:pt>
                <c:pt idx="259">
                  <c:v>0.87545341585992553</c:v>
                </c:pt>
                <c:pt idx="260">
                  <c:v>0.8760344482806246</c:v>
                </c:pt>
                <c:pt idx="261">
                  <c:v>0.87661277007962157</c:v>
                </c:pt>
                <c:pt idx="262">
                  <c:v>0.87718839390245851</c:v>
                </c:pt>
                <c:pt idx="263">
                  <c:v>0.87776133233568399</c:v>
                </c:pt>
                <c:pt idx="264">
                  <c:v>0.87833159790712789</c:v>
                </c:pt>
                <c:pt idx="265">
                  <c:v>0.87889920308617564</c:v>
                </c:pt>
                <c:pt idx="266">
                  <c:v>0.8795411892291678</c:v>
                </c:pt>
                <c:pt idx="267">
                  <c:v>0.88017977204023889</c:v>
                </c:pt>
                <c:pt idx="268">
                  <c:v>0.88081496956131766</c:v>
                </c:pt>
                <c:pt idx="269">
                  <c:v>0.88144679973868789</c:v>
                </c:pt>
                <c:pt idx="270">
                  <c:v>0.88207528042349537</c:v>
                </c:pt>
                <c:pt idx="271">
                  <c:v>0.88270042937225268</c:v>
                </c:pt>
                <c:pt idx="272">
                  <c:v>0.88332226424734039</c:v>
                </c:pt>
                <c:pt idx="273">
                  <c:v>0.88394080261750663</c:v>
                </c:pt>
                <c:pt idx="274">
                  <c:v>0.88455606195836278</c:v>
                </c:pt>
                <c:pt idx="275">
                  <c:v>0.88516805965287759</c:v>
                </c:pt>
                <c:pt idx="276">
                  <c:v>0.8857768129918685</c:v>
                </c:pt>
                <c:pt idx="277">
                  <c:v>0.88638233917448972</c:v>
                </c:pt>
                <c:pt idx="278">
                  <c:v>0.88704841057063111</c:v>
                </c:pt>
                <c:pt idx="279">
                  <c:v>0.88771057719438451</c:v>
                </c:pt>
                <c:pt idx="280">
                  <c:v>0.88836886193706111</c:v>
                </c:pt>
                <c:pt idx="281">
                  <c:v>0.88902328755577387</c:v>
                </c:pt>
                <c:pt idx="282">
                  <c:v>0.8896738766742246</c:v>
                </c:pt>
                <c:pt idx="283">
                  <c:v>0.89032065178348607</c:v>
                </c:pt>
                <c:pt idx="284">
                  <c:v>0.89096363524277977</c:v>
                </c:pt>
                <c:pt idx="285">
                  <c:v>0.89160284928024836</c:v>
                </c:pt>
                <c:pt idx="286">
                  <c:v>0.89223831599372461</c:v>
                </c:pt>
                <c:pt idx="287">
                  <c:v>0.89287005735149494</c:v>
                </c:pt>
                <c:pt idx="288">
                  <c:v>0.89349809519305912</c:v>
                </c:pt>
                <c:pt idx="289">
                  <c:v>0.89412245122988532</c:v>
                </c:pt>
                <c:pt idx="290">
                  <c:v>0.89482271260394586</c:v>
                </c:pt>
                <c:pt idx="291">
                  <c:v>0.89551834253349627</c:v>
                </c:pt>
                <c:pt idx="292">
                  <c:v>0.89620937165035364</c:v>
                </c:pt>
                <c:pt idx="293">
                  <c:v>0.89689583038373955</c:v>
                </c:pt>
                <c:pt idx="294">
                  <c:v>0.89757774896162068</c:v>
                </c:pt>
                <c:pt idx="295">
                  <c:v>0.89825515741203965</c:v>
                </c:pt>
                <c:pt idx="296">
                  <c:v>0.89892808556443682</c:v>
                </c:pt>
                <c:pt idx="297">
                  <c:v>0.8995965630509648</c:v>
                </c:pt>
                <c:pt idx="298">
                  <c:v>0.90026061930779222</c:v>
                </c:pt>
                <c:pt idx="299">
                  <c:v>0.90092028357640053</c:v>
                </c:pt>
                <c:pt idx="300">
                  <c:v>0.90157558490487166</c:v>
                </c:pt>
                <c:pt idx="301">
                  <c:v>0.90222655214916703</c:v>
                </c:pt>
                <c:pt idx="302">
                  <c:v>0.90295493228019597</c:v>
                </c:pt>
                <c:pt idx="303">
                  <c:v>0.90367788621805156</c:v>
                </c:pt>
                <c:pt idx="304">
                  <c:v>0.9043954543860937</c:v>
                </c:pt>
                <c:pt idx="305">
                  <c:v>0.90510767690654192</c:v>
                </c:pt>
                <c:pt idx="306">
                  <c:v>0.90581459360271799</c:v>
                </c:pt>
                <c:pt idx="307">
                  <c:v>0.90651624400127351</c:v>
                </c:pt>
                <c:pt idx="308">
                  <c:v>0.90721266733439887</c:v>
                </c:pt>
                <c:pt idx="309">
                  <c:v>0.90790390254201792</c:v>
                </c:pt>
                <c:pt idx="310">
                  <c:v>0.90858998827396475</c:v>
                </c:pt>
                <c:pt idx="311">
                  <c:v>0.90927096289214493</c:v>
                </c:pt>
                <c:pt idx="312">
                  <c:v>0.90994686447268014</c:v>
                </c:pt>
                <c:pt idx="313">
                  <c:v>0.91061773080803776</c:v>
                </c:pt>
                <c:pt idx="314">
                  <c:v>0.91137346141416564</c:v>
                </c:pt>
                <c:pt idx="315">
                  <c:v>0.91212280228825604</c:v>
                </c:pt>
                <c:pt idx="316">
                  <c:v>0.91286580745574497</c:v>
                </c:pt>
                <c:pt idx="317">
                  <c:v>0.91360253048528128</c:v>
                </c:pt>
                <c:pt idx="318">
                  <c:v>0.91433302449258869</c:v>
                </c:pt>
                <c:pt idx="319">
                  <c:v>0.91505734214429568</c:v>
                </c:pt>
                <c:pt idx="320">
                  <c:v>0.91577553566173187</c:v>
                </c:pt>
                <c:pt idx="321">
                  <c:v>0.9164876568246938</c:v>
                </c:pt>
                <c:pt idx="322">
                  <c:v>0.91719375697517758</c:v>
                </c:pt>
                <c:pt idx="323">
                  <c:v>0.9178938870210811</c:v>
                </c:pt>
                <c:pt idx="324">
                  <c:v>0.91858809743987346</c:v>
                </c:pt>
                <c:pt idx="325">
                  <c:v>0.91927643828223504</c:v>
                </c:pt>
                <c:pt idx="326">
                  <c:v>0.92004920720162664</c:v>
                </c:pt>
                <c:pt idx="327">
                  <c:v>0.92081457838248837</c:v>
                </c:pt>
                <c:pt idx="328">
                  <c:v>0.92157262264357886</c:v>
                </c:pt>
                <c:pt idx="329">
                  <c:v>0.92232341012570629</c:v>
                </c:pt>
                <c:pt idx="330">
                  <c:v>0.92306701029821903</c:v>
                </c:pt>
                <c:pt idx="331">
                  <c:v>0.92380349196543377</c:v>
                </c:pt>
                <c:pt idx="332">
                  <c:v>0.92453292327300107</c:v>
                </c:pt>
                <c:pt idx="333">
                  <c:v>0.92525537171421168</c:v>
                </c:pt>
                <c:pt idx="334">
                  <c:v>0.92597090413624084</c:v>
                </c:pt>
                <c:pt idx="335">
                  <c:v>0.92667958674633411</c:v>
                </c:pt>
                <c:pt idx="336">
                  <c:v>0.92738148511793328</c:v>
                </c:pt>
                <c:pt idx="337">
                  <c:v>0.92807666419674351</c:v>
                </c:pt>
                <c:pt idx="338">
                  <c:v>0.92886422401600099</c:v>
                </c:pt>
                <c:pt idx="339">
                  <c:v>0.92964316006298786</c:v>
                </c:pt>
                <c:pt idx="340">
                  <c:v>0.93041356676792564</c:v>
                </c:pt>
                <c:pt idx="341">
                  <c:v>0.93117553752702587</c:v>
                </c:pt>
                <c:pt idx="342">
                  <c:v>0.93192916471381237</c:v>
                </c:pt>
                <c:pt idx="343">
                  <c:v>0.93267453969031988</c:v>
                </c:pt>
                <c:pt idx="344">
                  <c:v>0.93341175281816979</c:v>
                </c:pt>
                <c:pt idx="345">
                  <c:v>0.93414089346952456</c:v>
                </c:pt>
                <c:pt idx="346">
                  <c:v>0.93486205003792244</c:v>
                </c:pt>
                <c:pt idx="347">
                  <c:v>0.93557530994899318</c:v>
                </c:pt>
                <c:pt idx="348">
                  <c:v>0.93628075967105673</c:v>
                </c:pt>
                <c:pt idx="349">
                  <c:v>0.93697848472560585</c:v>
                </c:pt>
                <c:pt idx="350">
                  <c:v>0.93775226778912135</c:v>
                </c:pt>
                <c:pt idx="351">
                  <c:v>0.93851655028403291</c:v>
                </c:pt>
                <c:pt idx="352">
                  <c:v>0.93927144885906044</c:v>
                </c:pt>
                <c:pt idx="353">
                  <c:v>0.94001707873070184</c:v>
                </c:pt>
                <c:pt idx="354">
                  <c:v>0.94075355370081759</c:v>
                </c:pt>
                <c:pt idx="355">
                  <c:v>0.94148098617400056</c:v>
                </c:pt>
                <c:pt idx="356">
                  <c:v>0.94219948717473068</c:v>
                </c:pt>
                <c:pt idx="357">
                  <c:v>0.94290916636432121</c:v>
                </c:pt>
                <c:pt idx="358">
                  <c:v>0.94361013205765509</c:v>
                </c:pt>
                <c:pt idx="359">
                  <c:v>0.94430249123971666</c:v>
                </c:pt>
                <c:pt idx="360">
                  <c:v>0.94498634958192029</c:v>
                </c:pt>
                <c:pt idx="361">
                  <c:v>0.94566181145823869</c:v>
                </c:pt>
                <c:pt idx="362">
                  <c:v>0.94642420640509939</c:v>
                </c:pt>
                <c:pt idx="363">
                  <c:v>0.94717590452767131</c:v>
                </c:pt>
                <c:pt idx="364">
                  <c:v>0.94791705590833686</c:v>
                </c:pt>
                <c:pt idx="365">
                  <c:v>0.94864780852373909</c:v>
                </c:pt>
                <c:pt idx="366">
                  <c:v>0.94936830827432672</c:v>
                </c:pt>
                <c:pt idx="367">
                  <c:v>0.95007869901348418</c:v>
                </c:pt>
                <c:pt idx="368">
                  <c:v>0.95077912257625319</c:v>
                </c:pt>
                <c:pt idx="369">
                  <c:v>0.95146971880765074</c:v>
                </c:pt>
                <c:pt idx="370">
                  <c:v>0.95215062559059105</c:v>
                </c:pt>
                <c:pt idx="371">
                  <c:v>0.95282197887341435</c:v>
                </c:pt>
                <c:pt idx="372">
                  <c:v>0.95348391269702992</c:v>
                </c:pt>
                <c:pt idx="373">
                  <c:v>0.95413655922167917</c:v>
                </c:pt>
                <c:pt idx="374">
                  <c:v>0.95485779099687063</c:v>
                </c:pt>
                <c:pt idx="375">
                  <c:v>0.95556768094369693</c:v>
                </c:pt>
                <c:pt idx="376">
                  <c:v>0.95626640741962243</c:v>
                </c:pt>
                <c:pt idx="377">
                  <c:v>0.95695414597732698</c:v>
                </c:pt>
                <c:pt idx="378">
                  <c:v>0.95763106940881271</c:v>
                </c:pt>
                <c:pt idx="379">
                  <c:v>0.95829734778881803</c:v>
                </c:pt>
                <c:pt idx="380">
                  <c:v>0.95895314851754754</c:v>
                </c:pt>
                <c:pt idx="381">
                  <c:v>0.95959863636273124</c:v>
                </c:pt>
                <c:pt idx="382">
                  <c:v>0.96023397350102202</c:v>
                </c:pt>
                <c:pt idx="383">
                  <c:v>0.96085931955874138</c:v>
                </c:pt>
                <c:pt idx="384">
                  <c:v>0.96147483165198577</c:v>
                </c:pt>
                <c:pt idx="385">
                  <c:v>0.96208066442610074</c:v>
                </c:pt>
                <c:pt idx="386">
                  <c:v>0.96275581179268988</c:v>
                </c:pt>
                <c:pt idx="387">
                  <c:v>0.9634189382744266</c:v>
                </c:pt>
                <c:pt idx="388">
                  <c:v>0.96407025790113576</c:v>
                </c:pt>
                <c:pt idx="389">
                  <c:v>0.96470998089187754</c:v>
                </c:pt>
                <c:pt idx="390">
                  <c:v>0.96533831372279677</c:v>
                </c:pt>
                <c:pt idx="391">
                  <c:v>0.96595545919376591</c:v>
                </c:pt>
                <c:pt idx="392">
                  <c:v>0.96656161649383965</c:v>
                </c:pt>
                <c:pt idx="393">
                  <c:v>0.96715698126554517</c:v>
                </c:pt>
                <c:pt idx="394">
                  <c:v>0.96774174566802762</c:v>
                </c:pt>
                <c:pt idx="395">
                  <c:v>0.96831609843907096</c:v>
                </c:pt>
                <c:pt idx="396">
                  <c:v>0.96888022495601489</c:v>
                </c:pt>
                <c:pt idx="397">
                  <c:v>0.96943430729558655</c:v>
                </c:pt>
                <c:pt idx="398">
                  <c:v>0.9700392204509819</c:v>
                </c:pt>
                <c:pt idx="399">
                  <c:v>0.97063216201688607</c:v>
                </c:pt>
                <c:pt idx="400">
                  <c:v>0.97121336891814292</c:v>
                </c:pt>
                <c:pt idx="401">
                  <c:v>0.97178307339071368</c:v>
                </c:pt>
                <c:pt idx="402">
                  <c:v>0.97234150307447198</c:v>
                </c:pt>
                <c:pt idx="403">
                  <c:v>0.97288888110416405</c:v>
                </c:pt>
                <c:pt idx="404">
                  <c:v>0.97342542619856687</c:v>
                </c:pt>
                <c:pt idx="405">
                  <c:v>0.97395135274788358</c:v>
                </c:pt>
                <c:pt idx="406">
                  <c:v>0.97446687089940853</c:v>
                </c:pt>
                <c:pt idx="407">
                  <c:v>0.97497218664149621</c:v>
                </c:pt>
                <c:pt idx="408">
                  <c:v>0.97546750188586984</c:v>
                </c:pt>
                <c:pt idx="409">
                  <c:v>0.97595301454830019</c:v>
                </c:pt>
                <c:pt idx="410">
                  <c:v>0.97648516709459365</c:v>
                </c:pt>
                <c:pt idx="411">
                  <c:v>0.97700554326529543</c:v>
                </c:pt>
                <c:pt idx="412">
                  <c:v>0.97751440366805087</c:v>
                </c:pt>
                <c:pt idx="413">
                  <c:v>0.97801200314333681</c:v>
                </c:pt>
                <c:pt idx="414">
                  <c:v>0.97849859089208668</c:v>
                </c:pt>
                <c:pt idx="415">
                  <c:v>0.97897441060049273</c:v>
                </c:pt>
                <c:pt idx="416">
                  <c:v>0.97943970056204499</c:v>
                </c:pt>
                <c:pt idx="417">
                  <c:v>0.97989469379687022</c:v>
                </c:pt>
                <c:pt idx="418">
                  <c:v>0.98033961816842996</c:v>
                </c:pt>
                <c:pt idx="419">
                  <c:v>0.98077469649763616</c:v>
                </c:pt>
                <c:pt idx="420">
                  <c:v>0.98120014667444089</c:v>
                </c:pt>
                <c:pt idx="421">
                  <c:v>0.98161618176695731</c:v>
                </c:pt>
                <c:pt idx="422">
                  <c:v>0.98206291793012179</c:v>
                </c:pt>
                <c:pt idx="423">
                  <c:v>0.98249879817658003</c:v>
                </c:pt>
                <c:pt idx="424">
                  <c:v>0.9829240863106472</c:v>
                </c:pt>
                <c:pt idx="425">
                  <c:v>0.98333903972605885</c:v>
                </c:pt>
                <c:pt idx="426">
                  <c:v>0.98374390956175151</c:v>
                </c:pt>
                <c:pt idx="427">
                  <c:v>0.98413894085385722</c:v>
                </c:pt>
                <c:pt idx="428">
                  <c:v>0.98452437268400539</c:v>
                </c:pt>
                <c:pt idx="429">
                  <c:v>0.9849004383240193</c:v>
                </c:pt>
                <c:pt idx="430">
                  <c:v>0.98526736537709836</c:v>
                </c:pt>
                <c:pt idx="431">
                  <c:v>0.98562537591556798</c:v>
                </c:pt>
                <c:pt idx="432">
                  <c:v>0.98597468661528254</c:v>
                </c:pt>
                <c:pt idx="433">
                  <c:v>0.98631550888676289</c:v>
                </c:pt>
                <c:pt idx="434">
                  <c:v>0.98668181706549596</c:v>
                </c:pt>
                <c:pt idx="435">
                  <c:v>0.98703831986084301</c:v>
                </c:pt>
                <c:pt idx="436">
                  <c:v>0.98738527974453949</c:v>
                </c:pt>
                <c:pt idx="437">
                  <c:v>0.98772295216244432</c:v>
                </c:pt>
                <c:pt idx="438">
                  <c:v>0.98805158572260965</c:v>
                </c:pt>
                <c:pt idx="439">
                  <c:v>0.98837142237831577</c:v>
                </c:pt>
                <c:pt idx="440">
                  <c:v>0.98868269760620742</c:v>
                </c:pt>
                <c:pt idx="441">
                  <c:v>0.98898564057966087</c:v>
                </c:pt>
                <c:pt idx="442">
                  <c:v>0.98928047433751054</c:v>
                </c:pt>
                <c:pt idx="443">
                  <c:v>0.98956741594825914</c:v>
                </c:pt>
                <c:pt idx="444">
                  <c:v>0.9898466766698929</c:v>
                </c:pt>
                <c:pt idx="445">
                  <c:v>0.9901184621054171</c:v>
                </c:pt>
                <c:pt idx="446">
                  <c:v>0.99041423965814446</c:v>
                </c:pt>
                <c:pt idx="447">
                  <c:v>0.99070116389657703</c:v>
                </c:pt>
                <c:pt idx="448">
                  <c:v>0.99097949982112887</c:v>
                </c:pt>
                <c:pt idx="449">
                  <c:v>0.99124950450013194</c:v>
                </c:pt>
                <c:pt idx="450">
                  <c:v>0.99151142730726116</c:v>
                </c:pt>
                <c:pt idx="451">
                  <c:v>0.99176551015185388</c:v>
                </c:pt>
                <c:pt idx="452">
                  <c:v>0.99201198770233501</c:v>
                </c:pt>
                <c:pt idx="453">
                  <c:v>0.99225108760295411</c:v>
                </c:pt>
                <c:pt idx="454">
                  <c:v>0.99248303068403609</c:v>
                </c:pt>
                <c:pt idx="455">
                  <c:v>0.99270803116593687</c:v>
                </c:pt>
                <c:pt idx="456">
                  <c:v>0.99292629685689637</c:v>
                </c:pt>
                <c:pt idx="457">
                  <c:v>0.99313802934496731</c:v>
                </c:pt>
                <c:pt idx="458">
                  <c:v>0.99335594306101171</c:v>
                </c:pt>
                <c:pt idx="459">
                  <c:v>0.99356693655107031</c:v>
                </c:pt>
                <c:pt idx="460">
                  <c:v>0.99377122957885788</c:v>
                </c:pt>
                <c:pt idx="461">
                  <c:v>0.99396903492911293</c:v>
                </c:pt>
                <c:pt idx="462">
                  <c:v>0.9941605586292277</c:v>
                </c:pt>
                <c:pt idx="463">
                  <c:v>0.99434600016383912</c:v>
                </c:pt>
                <c:pt idx="464">
                  <c:v>0.99452555268260556</c:v>
                </c:pt>
                <c:pt idx="465">
                  <c:v>0.99469940320138439</c:v>
                </c:pt>
                <c:pt idx="466">
                  <c:v>0.99486773279702212</c:v>
                </c:pt>
                <c:pt idx="467">
                  <c:v>0.99503071679595734</c:v>
                </c:pt>
                <c:pt idx="468">
                  <c:v>0.99518852495683541</c:v>
                </c:pt>
                <c:pt idx="469">
                  <c:v>0.99534132164732292</c:v>
                </c:pt>
                <c:pt idx="470">
                  <c:v>0.99550729709841534</c:v>
                </c:pt>
                <c:pt idx="471">
                  <c:v>0.99566735931655204</c:v>
                </c:pt>
                <c:pt idx="472">
                  <c:v>0.99582171897339411</c:v>
                </c:pt>
                <c:pt idx="473">
                  <c:v>0.9959705792349709</c:v>
                </c:pt>
                <c:pt idx="474">
                  <c:v>0.99611413602908461</c:v>
                </c:pt>
                <c:pt idx="475">
                  <c:v>0.99625257830318703</c:v>
                </c:pt>
                <c:pt idx="476">
                  <c:v>0.9963860882730704</c:v>
                </c:pt>
                <c:pt idx="477">
                  <c:v>0.99651484166269666</c:v>
                </c:pt>
                <c:pt idx="478">
                  <c:v>0.99663900793548299</c:v>
                </c:pt>
                <c:pt idx="479">
                  <c:v>0.99675875051734764</c:v>
                </c:pt>
                <c:pt idx="480">
                  <c:v>0.99687422701180817</c:v>
                </c:pt>
                <c:pt idx="481">
                  <c:v>0.99698558940741755</c:v>
                </c:pt>
                <c:pt idx="482">
                  <c:v>0.9971027497040249</c:v>
                </c:pt>
                <c:pt idx="483">
                  <c:v>0.99721535636247327</c:v>
                </c:pt>
                <c:pt idx="484">
                  <c:v>0.9973235863678086</c:v>
                </c:pt>
                <c:pt idx="485">
                  <c:v>0.99742760982624623</c:v>
                </c:pt>
                <c:pt idx="486">
                  <c:v>0.99752759023252813</c:v>
                </c:pt>
                <c:pt idx="487">
                  <c:v>0.99762368472688945</c:v>
                </c:pt>
                <c:pt idx="488">
                  <c:v>0.99771604434203787</c:v>
                </c:pt>
                <c:pt idx="489">
                  <c:v>0.99780481424053247</c:v>
                </c:pt>
                <c:pt idx="490">
                  <c:v>0.99789013394293802</c:v>
                </c:pt>
                <c:pt idx="491">
                  <c:v>0.99797213754711045</c:v>
                </c:pt>
                <c:pt idx="492">
                  <c:v>0.9980509539389596</c:v>
                </c:pt>
                <c:pt idx="493">
                  <c:v>0.99812670699502126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E5-4C66-8F4E-DF00DF4CD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757792"/>
        <c:axId val="239756352"/>
      </c:areaChart>
      <c:lineChart>
        <c:grouping val="standard"/>
        <c:varyColors val="0"/>
        <c:ser>
          <c:idx val="3"/>
          <c:order val="3"/>
          <c:tx>
            <c:v>PFS KM</c:v>
          </c:tx>
          <c:spPr>
            <a:ln w="444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Engine!$K$9:$K$33</c:f>
              <c:numCache>
                <c:formatCode>0.00%</c:formatCode>
                <c:ptCount val="25"/>
                <c:pt idx="0">
                  <c:v>1</c:v>
                </c:pt>
                <c:pt idx="1">
                  <c:v>0.97399999999999998</c:v>
                </c:pt>
                <c:pt idx="2">
                  <c:v>0.93400000000000005</c:v>
                </c:pt>
                <c:pt idx="3">
                  <c:v>0.89200000000000002</c:v>
                </c:pt>
                <c:pt idx="4">
                  <c:v>0.86</c:v>
                </c:pt>
                <c:pt idx="5">
                  <c:v>0.83599999999999997</c:v>
                </c:pt>
                <c:pt idx="6">
                  <c:v>0.8</c:v>
                </c:pt>
                <c:pt idx="7">
                  <c:v>0.754</c:v>
                </c:pt>
                <c:pt idx="8">
                  <c:v>0.73</c:v>
                </c:pt>
                <c:pt idx="9">
                  <c:v>0.69399999999999995</c:v>
                </c:pt>
                <c:pt idx="10">
                  <c:v>0.65800000000000003</c:v>
                </c:pt>
                <c:pt idx="11">
                  <c:v>0.62</c:v>
                </c:pt>
                <c:pt idx="12">
                  <c:v>0.59399999999999997</c:v>
                </c:pt>
                <c:pt idx="13">
                  <c:v>0.56000000000000005</c:v>
                </c:pt>
                <c:pt idx="14">
                  <c:v>0.52600000000000002</c:v>
                </c:pt>
                <c:pt idx="15">
                  <c:v>0.50600000000000001</c:v>
                </c:pt>
                <c:pt idx="16">
                  <c:v>0.48799999999999999</c:v>
                </c:pt>
                <c:pt idx="17">
                  <c:v>0.47199999999999998</c:v>
                </c:pt>
                <c:pt idx="18">
                  <c:v>0.45600000000000002</c:v>
                </c:pt>
                <c:pt idx="19">
                  <c:v>0.432</c:v>
                </c:pt>
                <c:pt idx="20">
                  <c:v>0.40799999999999997</c:v>
                </c:pt>
                <c:pt idx="21">
                  <c:v>0.39400000000000002</c:v>
                </c:pt>
                <c:pt idx="22">
                  <c:v>0.378</c:v>
                </c:pt>
                <c:pt idx="23">
                  <c:v>0.35799999999999998</c:v>
                </c:pt>
                <c:pt idx="24">
                  <c:v>0.34399999999999997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E5-4C66-8F4E-DF00DF4CDA8E}"/>
            </c:ext>
          </c:extLst>
        </c:ser>
        <c:ser>
          <c:idx val="4"/>
          <c:order val="4"/>
          <c:tx>
            <c:v>OS KM</c:v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Engine!$R$9:$R$33</c:f>
              <c:numCache>
                <c:formatCode>0.00%</c:formatCode>
                <c:ptCount val="25"/>
                <c:pt idx="0">
                  <c:v>1</c:v>
                </c:pt>
                <c:pt idx="1">
                  <c:v>0.99199999999999999</c:v>
                </c:pt>
                <c:pt idx="2">
                  <c:v>0.96199999999999997</c:v>
                </c:pt>
                <c:pt idx="3">
                  <c:v>0.93400000000000005</c:v>
                </c:pt>
                <c:pt idx="4">
                  <c:v>0.91800000000000004</c:v>
                </c:pt>
                <c:pt idx="5">
                  <c:v>0.88400000000000001</c:v>
                </c:pt>
                <c:pt idx="6">
                  <c:v>0.85799999999999998</c:v>
                </c:pt>
                <c:pt idx="7">
                  <c:v>0.83399999999999996</c:v>
                </c:pt>
                <c:pt idx="8">
                  <c:v>0.82199999999999995</c:v>
                </c:pt>
                <c:pt idx="9">
                  <c:v>0.80800000000000005</c:v>
                </c:pt>
                <c:pt idx="10">
                  <c:v>0.79200000000000004</c:v>
                </c:pt>
                <c:pt idx="11">
                  <c:v>0.77200000000000002</c:v>
                </c:pt>
                <c:pt idx="12">
                  <c:v>0.76800000000000002</c:v>
                </c:pt>
                <c:pt idx="13">
                  <c:v>0.75600000000000001</c:v>
                </c:pt>
                <c:pt idx="14">
                  <c:v>0.74</c:v>
                </c:pt>
                <c:pt idx="15">
                  <c:v>0.73</c:v>
                </c:pt>
                <c:pt idx="16">
                  <c:v>0.71399999999999997</c:v>
                </c:pt>
                <c:pt idx="17">
                  <c:v>0.69199999999999995</c:v>
                </c:pt>
                <c:pt idx="18">
                  <c:v>0.68400000000000005</c:v>
                </c:pt>
                <c:pt idx="19">
                  <c:v>0.65800000000000003</c:v>
                </c:pt>
                <c:pt idx="20">
                  <c:v>0.64800000000000002</c:v>
                </c:pt>
                <c:pt idx="21">
                  <c:v>0.63800000000000001</c:v>
                </c:pt>
                <c:pt idx="22">
                  <c:v>0.624</c:v>
                </c:pt>
                <c:pt idx="23">
                  <c:v>0.60199999999999998</c:v>
                </c:pt>
                <c:pt idx="24">
                  <c:v>0.58799999999999997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E5-4C66-8F4E-DF00DF4CD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757792"/>
        <c:axId val="239756352"/>
      </c:lineChart>
      <c:catAx>
        <c:axId val="23975779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Medium" pitchFamily="50" charset="0"/>
                <a:ea typeface="+mn-ea"/>
                <a:cs typeface="+mn-cs"/>
              </a:defRPr>
            </a:pPr>
            <a:endParaRPr lang="en-US"/>
          </a:p>
        </c:txPr>
        <c:crossAx val="239756352"/>
        <c:crosses val="autoZero"/>
        <c:auto val="1"/>
        <c:lblAlgn val="ctr"/>
        <c:lblOffset val="100"/>
        <c:tickLblSkip val="24"/>
        <c:tickMarkSkip val="24"/>
        <c:noMultiLvlLbl val="0"/>
      </c:catAx>
      <c:valAx>
        <c:axId val="2397563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binet Grotesk Medium" pitchFamily="50" charset="0"/>
                <a:ea typeface="+mn-ea"/>
                <a:cs typeface="+mn-cs"/>
              </a:defRPr>
            </a:pPr>
            <a:endParaRPr lang="en-US"/>
          </a:p>
        </c:txPr>
        <c:crossAx val="23975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binet Grotesk Medium" pitchFamily="50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binet Grotesk Medium" pitchFamily="50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16</xdr:col>
      <xdr:colOff>593725</xdr:colOff>
      <xdr:row>28</xdr:row>
      <xdr:rowOff>140189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5B718-3F11-43A0-A00D-544DB7BC4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7939</xdr:colOff>
      <xdr:row>1</xdr:row>
      <xdr:rowOff>184151</xdr:rowOff>
    </xdr:from>
    <xdr:to>
      <xdr:col>25</xdr:col>
      <xdr:colOff>275166</xdr:colOff>
      <xdr:row>12</xdr:row>
      <xdr:rowOff>121709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4B7703-90CF-7B91-CD6C-4D795E000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380999</xdr:colOff>
      <xdr:row>2</xdr:row>
      <xdr:rowOff>0</xdr:rowOff>
    </xdr:from>
    <xdr:to>
      <xdr:col>30</xdr:col>
      <xdr:colOff>39685</xdr:colOff>
      <xdr:row>12</xdr:row>
      <xdr:rowOff>122767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4D0D3C-FDDB-486B-ABC3-78C53A5F0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608541</xdr:colOff>
      <xdr:row>13</xdr:row>
      <xdr:rowOff>47626</xdr:rowOff>
    </xdr:from>
    <xdr:to>
      <xdr:col>25</xdr:col>
      <xdr:colOff>267226</xdr:colOff>
      <xdr:row>23</xdr:row>
      <xdr:rowOff>170392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A981BA-6679-46FA-A6A1-00BEDA51E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365125</xdr:colOff>
      <xdr:row>13</xdr:row>
      <xdr:rowOff>42334</xdr:rowOff>
    </xdr:from>
    <xdr:to>
      <xdr:col>30</xdr:col>
      <xdr:colOff>23811</xdr:colOff>
      <xdr:row>23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09BAE9-63AD-4D7F-8DB1-C20FA83FB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24</xdr:row>
      <xdr:rowOff>174626</xdr:rowOff>
    </xdr:from>
    <xdr:to>
      <xdr:col>25</xdr:col>
      <xdr:colOff>267227</xdr:colOff>
      <xdr:row>35</xdr:row>
      <xdr:rowOff>112184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8DCC37-6D05-4D99-92EA-3480B8CC5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343958</xdr:colOff>
      <xdr:row>24</xdr:row>
      <xdr:rowOff>169333</xdr:rowOff>
    </xdr:from>
    <xdr:to>
      <xdr:col>30</xdr:col>
      <xdr:colOff>2644</xdr:colOff>
      <xdr:row>35</xdr:row>
      <xdr:rowOff>106891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723BF10-368D-4FAF-A76A-0E8DCCA93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365123</xdr:colOff>
      <xdr:row>2</xdr:row>
      <xdr:rowOff>37041</xdr:rowOff>
    </xdr:from>
    <xdr:to>
      <xdr:col>24</xdr:col>
      <xdr:colOff>105831</xdr:colOff>
      <xdr:row>34</xdr:row>
      <xdr:rowOff>42334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8F774-9D5D-47F5-905B-AC58379AA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B6D6-5ED8-414B-8E56-9F58BE23B404}">
  <sheetPr>
    <tabColor rgb="FF5170FF"/>
  </sheetPr>
  <dimension ref="B3:T33"/>
  <sheetViews>
    <sheetView tabSelected="1" zoomScale="110" zoomScaleNormal="110" workbookViewId="0">
      <selection activeCell="O39" sqref="O39"/>
    </sheetView>
  </sheetViews>
  <sheetFormatPr defaultRowHeight="14.5" x14ac:dyDescent="0.35"/>
  <cols>
    <col min="19" max="19" width="34.81640625" customWidth="1"/>
    <col min="20" max="20" width="9.36328125" bestFit="1" customWidth="1"/>
  </cols>
  <sheetData>
    <row r="3" spans="19:20" ht="15" thickBot="1" x14ac:dyDescent="0.4">
      <c r="S3" s="29" t="s">
        <v>91</v>
      </c>
      <c r="T3" s="33">
        <f>SUM(T4:T5)</f>
        <v>7.4239135044979472</v>
      </c>
    </row>
    <row r="4" spans="19:20" x14ac:dyDescent="0.35">
      <c r="S4" s="31" t="s">
        <v>73</v>
      </c>
      <c r="T4" s="31" cm="1">
        <f t="array" ref="T4">SUM(_xlfn.IFNA(Engine!Y10:Y609,0))*Days_per_Month/Days_per_Year</f>
        <v>3.3615916824229419</v>
      </c>
    </row>
    <row r="5" spans="19:20" x14ac:dyDescent="0.35">
      <c r="S5" s="31" t="s">
        <v>74</v>
      </c>
      <c r="T5" s="31" cm="1">
        <f t="array" ref="T5">SUM(_xlfn.IFNA(Engine!Z10:Z609,0))*Inputs!$B$6/Inputs!$B$5</f>
        <v>4.0623218220750053</v>
      </c>
    </row>
    <row r="7" spans="19:20" ht="15" thickBot="1" x14ac:dyDescent="0.4">
      <c r="S7" s="29" t="s">
        <v>92</v>
      </c>
      <c r="T7" s="33">
        <f>SUM(T8:T9)</f>
        <v>5.5684022296475559</v>
      </c>
    </row>
    <row r="8" spans="19:20" x14ac:dyDescent="0.35">
      <c r="S8" s="31" t="s">
        <v>75</v>
      </c>
      <c r="T8" s="31" cm="1">
        <f t="array" ref="T8">SUMPRODUCT(_xlfn.IFNA(Engine!Y10:Y609,0),_xlfn.IFNA(Engine!H10:H609,0))*Inputs!$B$6/Inputs!$B$5</f>
        <v>2.7899028374397217</v>
      </c>
    </row>
    <row r="9" spans="19:20" x14ac:dyDescent="0.35">
      <c r="S9" s="31" t="s">
        <v>76</v>
      </c>
      <c r="T9" s="31" cm="1">
        <f t="array" ref="T9">SUMPRODUCT(_xlfn.IFNA(Engine!Z10:Z609,0),_xlfn.IFNA(Engine!H10:H609,0))*Inputs!$B$6/Inputs!$B$5</f>
        <v>2.7784993922078343</v>
      </c>
    </row>
    <row r="13" spans="19:20" ht="15" thickBot="1" x14ac:dyDescent="0.4">
      <c r="S13" s="29" t="s">
        <v>77</v>
      </c>
      <c r="T13" s="33">
        <f>SUM(T14:T15)</f>
        <v>5.2947460233045032</v>
      </c>
    </row>
    <row r="14" spans="19:20" x14ac:dyDescent="0.35">
      <c r="S14" s="31" t="s">
        <v>78</v>
      </c>
      <c r="T14" s="31">
        <f>T4*Inputs!B15</f>
        <v>2.8573529300595006</v>
      </c>
    </row>
    <row r="15" spans="19:20" x14ac:dyDescent="0.35">
      <c r="S15" s="31" t="s">
        <v>79</v>
      </c>
      <c r="T15" s="31">
        <f>T5*Inputs!B16</f>
        <v>2.437393093245003</v>
      </c>
    </row>
    <row r="17" spans="2:20" ht="15" thickBot="1" x14ac:dyDescent="0.4">
      <c r="S17" s="29" t="s">
        <v>80</v>
      </c>
      <c r="T17" s="33">
        <f>SUM(T18:T19)</f>
        <v>4.0385170471484635</v>
      </c>
    </row>
    <row r="18" spans="2:20" x14ac:dyDescent="0.35">
      <c r="S18" s="31" t="s">
        <v>81</v>
      </c>
      <c r="T18" s="31">
        <f>T8*Inputs!B15</f>
        <v>2.3714174118237632</v>
      </c>
    </row>
    <row r="19" spans="2:20" x14ac:dyDescent="0.35">
      <c r="S19" s="31" t="s">
        <v>82</v>
      </c>
      <c r="T19" s="31">
        <f>T9*Inputs!B16</f>
        <v>1.6670996353247005</v>
      </c>
    </row>
    <row r="23" spans="2:20" ht="15" thickBot="1" x14ac:dyDescent="0.4">
      <c r="S23" s="29" t="s">
        <v>83</v>
      </c>
      <c r="T23" s="30">
        <f>SUM(T24:T26)</f>
        <v>411747.86393772869</v>
      </c>
    </row>
    <row r="24" spans="2:20" x14ac:dyDescent="0.35">
      <c r="S24" s="31" t="s">
        <v>84</v>
      </c>
      <c r="T24" s="32">
        <f>T4*PFS_Cost_Annually</f>
        <v>10084.775047268826</v>
      </c>
    </row>
    <row r="25" spans="2:20" x14ac:dyDescent="0.35">
      <c r="S25" s="31" t="s">
        <v>85</v>
      </c>
      <c r="T25" s="32">
        <f>T5*PD_Cost_Annually</f>
        <v>30467.413665562541</v>
      </c>
    </row>
    <row r="26" spans="2:20" x14ac:dyDescent="0.35">
      <c r="S26" s="31" t="s">
        <v>86</v>
      </c>
      <c r="T26" s="32">
        <f>T3*Treatment_Acquisition_Cost__Annually</f>
        <v>371195.67522489734</v>
      </c>
    </row>
    <row r="30" spans="2:20" ht="15" thickBot="1" x14ac:dyDescent="0.4">
      <c r="S30" s="29" t="s">
        <v>87</v>
      </c>
      <c r="T30" s="30">
        <f>SUM(T31:T33)</f>
        <v>307628.56543625571</v>
      </c>
    </row>
    <row r="31" spans="2:20" ht="15" thickBot="1" x14ac:dyDescent="0.4">
      <c r="B31" s="27" t="s">
        <v>93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S31" s="31" t="s">
        <v>88</v>
      </c>
      <c r="T31" s="32">
        <f>T8*Inputs!B18</f>
        <v>8369.7085123191646</v>
      </c>
    </row>
    <row r="32" spans="2:20" x14ac:dyDescent="0.35">
      <c r="B32" s="25" t="s">
        <v>1</v>
      </c>
      <c r="C32" s="26"/>
      <c r="D32" s="26" t="str">
        <f>Inputs!B10</f>
        <v>Lognormal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S32" s="31" t="s">
        <v>89</v>
      </c>
      <c r="T32" s="32">
        <f>T9*Inputs!B19</f>
        <v>20838.745441558756</v>
      </c>
    </row>
    <row r="33" spans="2:20" x14ac:dyDescent="0.35">
      <c r="B33" s="25" t="s">
        <v>0</v>
      </c>
      <c r="C33" s="26"/>
      <c r="D33" s="26" t="str">
        <f>Inputs!B11</f>
        <v>Lognormal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S33" s="31" t="s">
        <v>90</v>
      </c>
      <c r="T33" s="32">
        <f>T7*Inputs!B20</f>
        <v>278420.1114823778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39F5-6247-4D8A-BC6E-CC68E3B18952}">
  <dimension ref="A1:AB622"/>
  <sheetViews>
    <sheetView zoomScaleNormal="100" workbookViewId="0">
      <pane ySplit="8" topLeftCell="A9" activePane="bottomLeft" state="frozen"/>
      <selection pane="bottomLeft" activeCell="W4" sqref="W4"/>
    </sheetView>
  </sheetViews>
  <sheetFormatPr defaultRowHeight="14.5" x14ac:dyDescent="0.35"/>
  <cols>
    <col min="1" max="10" width="11.81640625" customWidth="1"/>
    <col min="11" max="11" width="11.81640625" style="9" customWidth="1"/>
    <col min="12" max="17" width="11.81640625" customWidth="1"/>
    <col min="18" max="18" width="11.81640625" style="9" customWidth="1"/>
    <col min="19" max="23" width="11.81640625" customWidth="1"/>
    <col min="25" max="25" width="11.81640625" style="9" customWidth="1"/>
    <col min="26" max="28" width="11.81640625" customWidth="1"/>
  </cols>
  <sheetData>
    <row r="1" spans="1:28" s="14" customFormat="1" ht="20" customHeight="1" x14ac:dyDescent="0.5">
      <c r="A1" s="12" t="s">
        <v>29</v>
      </c>
      <c r="B1" s="13"/>
      <c r="C1" s="13"/>
      <c r="D1" s="13"/>
      <c r="E1" s="13"/>
      <c r="F1" s="13"/>
      <c r="G1" s="13"/>
      <c r="H1" s="13"/>
      <c r="I1" s="13"/>
      <c r="K1" s="34" t="s">
        <v>0</v>
      </c>
      <c r="L1" s="35"/>
      <c r="M1" s="35"/>
      <c r="N1" s="35"/>
      <c r="O1" s="35"/>
      <c r="P1" s="35"/>
      <c r="R1" s="39" t="s">
        <v>1</v>
      </c>
      <c r="S1" s="40"/>
      <c r="T1" s="40"/>
      <c r="U1" s="40"/>
      <c r="V1" s="40"/>
      <c r="W1" s="40"/>
      <c r="Y1" s="44" t="s">
        <v>69</v>
      </c>
      <c r="Z1" s="45"/>
      <c r="AA1" s="45"/>
      <c r="AB1" s="45"/>
    </row>
    <row r="2" spans="1:28" s="11" customFormat="1" ht="29" x14ac:dyDescent="0.35">
      <c r="A2" s="10" t="s">
        <v>30</v>
      </c>
      <c r="B2" s="10" t="s">
        <v>31</v>
      </c>
      <c r="C2" s="10" t="s">
        <v>32</v>
      </c>
      <c r="D2" s="10" t="s">
        <v>33</v>
      </c>
      <c r="E2" s="10" t="s">
        <v>34</v>
      </c>
      <c r="F2" s="10" t="s">
        <v>35</v>
      </c>
      <c r="G2" s="10" t="s">
        <v>36</v>
      </c>
      <c r="H2" s="10" t="s">
        <v>37</v>
      </c>
      <c r="I2" s="10" t="s">
        <v>38</v>
      </c>
      <c r="K2" s="36" t="s">
        <v>39</v>
      </c>
      <c r="L2" s="37" t="s">
        <v>40</v>
      </c>
      <c r="M2" s="37" t="s">
        <v>41</v>
      </c>
      <c r="N2" s="37" t="s">
        <v>42</v>
      </c>
      <c r="O2" s="37" t="s">
        <v>43</v>
      </c>
      <c r="P2" s="37" t="s">
        <v>44</v>
      </c>
      <c r="R2" s="41" t="s">
        <v>39</v>
      </c>
      <c r="S2" s="42" t="s">
        <v>40</v>
      </c>
      <c r="T2" s="42" t="s">
        <v>41</v>
      </c>
      <c r="U2" s="42" t="s">
        <v>67</v>
      </c>
      <c r="V2" s="42" t="s">
        <v>68</v>
      </c>
      <c r="W2" s="42" t="s">
        <v>44</v>
      </c>
      <c r="Y2" s="47" t="s">
        <v>0</v>
      </c>
      <c r="Z2" s="48" t="s">
        <v>70</v>
      </c>
      <c r="AA2" s="49" t="s">
        <v>71</v>
      </c>
      <c r="AB2" s="46" t="s">
        <v>72</v>
      </c>
    </row>
    <row r="4" spans="1:28" x14ac:dyDescent="0.35">
      <c r="K4" s="38" t="str">
        <f>Inputs!B11</f>
        <v>Lognormal</v>
      </c>
      <c r="R4" s="43" t="str">
        <f>Inputs!B10</f>
        <v>Lognormal</v>
      </c>
    </row>
    <row r="5" spans="1:28" x14ac:dyDescent="0.35">
      <c r="K5" s="9" t="str" cm="1">
        <f t="array" ref="K5">INDEX(_xlfn._xlws.FILTER('Survival Parameters'!C5:C18,'Survival Parameters'!B5:B18=K4),1)</f>
        <v>Mu</v>
      </c>
      <c r="L5" cm="1">
        <f t="array" ref="L5">INDEX(_xlfn._xlws.FILTER('Survival Parameters'!D5:D18,'Survival Parameters'!B5:B18=K4),1)</f>
        <v>2.6898593000000002</v>
      </c>
      <c r="R5" s="9" t="str" cm="1">
        <f t="array" ref="R5">INDEX(_xlfn._xlws.FILTER('Survival Parameters'!G5:G18,'Survival Parameters'!F5:F18=$R$4),1)</f>
        <v>Mu</v>
      </c>
      <c r="S5" cm="1">
        <f t="array" ref="S5">INDEX(_xlfn._xlws.FILTER('Survival Parameters'!H5:H18,'Survival Parameters'!F5:F18=$R$4),1)</f>
        <v>3.58073</v>
      </c>
    </row>
    <row r="6" spans="1:28" x14ac:dyDescent="0.35">
      <c r="K6" s="9" t="str" cm="1">
        <f t="array" ref="K6">INDEX(_xlfn._xlws.FILTER('Survival Parameters'!C5:C18,'Survival Parameters'!B5:B18=K4),2)</f>
        <v>Log Sigma</v>
      </c>
      <c r="L6" cm="1">
        <f t="array" ref="L6">INDEX(_xlfn._xlws.FILTER('Survival Parameters'!D5:D18,'Survival Parameters'!B5:B18=K4),2)</f>
        <v>0.41507179999999999</v>
      </c>
      <c r="R6" s="9" t="str" cm="1">
        <f t="array" ref="R6">INDEX(_xlfn._xlws.FILTER('Survival Parameters'!G5:G18,'Survival Parameters'!F5:F18=$R$4),2)</f>
        <v>Log Sigma</v>
      </c>
      <c r="S6" cm="1">
        <f t="array" ref="S6">INDEX(_xlfn._xlws.FILTER('Survival Parameters'!H5:H18,'Survival Parameters'!F5:F18=$R$4),2)</f>
        <v>0.54343470000000005</v>
      </c>
    </row>
    <row r="7" spans="1:28" x14ac:dyDescent="0.35">
      <c r="K7" s="9" t="e" cm="1">
        <f t="array" ref="K7">INDEX(_xlfn._xlws.FILTER('Survival Parameters'!C5:C18,'Survival Parameters'!B5:B18=K4),3)</f>
        <v>#REF!</v>
      </c>
      <c r="L7" t="e" cm="1">
        <f t="array" ref="L7">INDEX(_xlfn._xlws.FILTER('Survival Parameters'!D5:D18,'Survival Parameters'!B5:B18=K4),3)</f>
        <v>#REF!</v>
      </c>
      <c r="R7" s="9" t="e" cm="1">
        <f t="array" ref="R7">INDEX(_xlfn._xlws.FILTER('Survival Parameters'!G5:G18,'Survival Parameters'!F5:F18=$R$4),3)</f>
        <v>#REF!</v>
      </c>
      <c r="S7" t="e" cm="1">
        <f t="array" ref="S7">INDEX(_xlfn._xlws.FILTER('Survival Parameters'!H5:H18,'Survival Parameters'!F5:F18=$R$4),3)</f>
        <v>#REF!</v>
      </c>
    </row>
    <row r="8" spans="1:28" s="15" customFormat="1" ht="15" thickBot="1" x14ac:dyDescent="0.4">
      <c r="K8" s="16"/>
      <c r="R8" s="16"/>
      <c r="Y8" s="16"/>
    </row>
    <row r="9" spans="1:28" x14ac:dyDescent="0.35">
      <c r="A9">
        <v>0</v>
      </c>
      <c r="B9" s="17">
        <v>0</v>
      </c>
      <c r="C9" s="17">
        <v>0</v>
      </c>
      <c r="D9">
        <v>0</v>
      </c>
      <c r="E9" s="17">
        <f t="shared" ref="E9:E72" si="0">D9/Days_per_Month</f>
        <v>0</v>
      </c>
      <c r="F9" s="17">
        <f t="shared" ref="F9:F72" si="1">Patient_Baseline_Age+(D9/365.25)</f>
        <v>60</v>
      </c>
      <c r="G9" s="21">
        <f>INDEX('Life Tables'!$F$8:$F$123,MATCH(Engine!F9,'Life Tables'!$B$8:$B$123,1))</f>
        <v>5.808300732927929E-4</v>
      </c>
      <c r="H9" s="8">
        <f t="shared" ref="H9:H72" si="2">1/(1+Discount_Rate)^ROUNDDOWN(A9/12,0)</f>
        <v>1</v>
      </c>
      <c r="I9">
        <f t="shared" ref="I9:I72" si="3">IF(E9&lt;Min_Time_Horizon__5_Years___60_Months,1,IF(C9/Days_per_Year&lt;Max_Time_Horizon__in_Years,1,NA()))</f>
        <v>1</v>
      </c>
      <c r="K9" s="22">
        <f>$I9*IF($E9&gt;_xlfn.AGGREGATE(4,6,'KM Data'!$B$6:$B$310),NA(),INDEX('KM Data'!$C$6:$C$310,MATCH($E9,'KM Data'!$B$6:$B$310,1)))</f>
        <v>1</v>
      </c>
      <c r="L9" s="21">
        <f t="shared" ref="L9:L72" si="4">$I9*CHOOSE(MATCH(K$4,label_curves,0),
    EXP(-$E9*EXP(L$5)),
    1-((EXP(GAMMALN(EXP(L$5)))*_xlfn.GAMMA.DIST(EXP(L$6)*$E9,EXP(L$5),1,TRUE))/_xlfn.GAMMA(EXP(L$5))),
    IF($E9=0,1, IF(L$7&gt;0,1,0) + IF(L$7&gt;0,-1,1) * IFERROR(_xlfn.GAMMA.DIST((L$7^-2)*EXP(L$7*((LN($E9)-(L$5))/EXP(L$6))),L$7^-2,1,TRUE),0)),
    EXP(-(EXP(L$5)/L$6)*(EXP(L$6*$E9)-1)),
    1/(1+($E9/EXP(L$5))^EXP(L$6)),
    1-IFERROR(_xlfn.LOGNORM.DIST($E9,L$5,EXP(L$6),TRUE),0),
    EXP(-(($E9/EXP(L$5))^EXP(L$6)))
)</f>
        <v>1</v>
      </c>
      <c r="M9" s="20">
        <f>1-(L10/L9)</f>
        <v>1.2748938724638892E-2</v>
      </c>
      <c r="N9" s="6">
        <f>L9</f>
        <v>1</v>
      </c>
      <c r="O9" s="6">
        <f>L9</f>
        <v>1</v>
      </c>
      <c r="P9" s="6">
        <f>L9</f>
        <v>1</v>
      </c>
      <c r="R9" s="22">
        <f>$I9*IF($E9&gt;_xlfn.AGGREGATE(4,6,'KM Data'!$E$6:$E$205),NA(),INDEX('KM Data'!$F$6:$F$205,MATCH($E9,'KM Data'!$E$6:$E$205,1)))</f>
        <v>1</v>
      </c>
      <c r="S9" s="21">
        <f t="shared" ref="S9:S72" si="5">$I9*CHOOSE(MATCH(R$4,label_curves,0),
    EXP(-$E9*EXP(S$5)),
    1-((EXP(GAMMALN(EXP(S$5)))*_xlfn.GAMMA.DIST(EXP(S$6)*$E9,EXP(S$5),1,TRUE))/_xlfn.GAMMA(EXP(S$5))),
    IF($E9=0,1, IF(S$7&gt;0,1,0) + IF(S$7&gt;0,-1,1) * IFERROR(_xlfn.GAMMA.DIST((S$7^-2)*EXP(S$7*((LN($E9)-(S$5))/EXP(S$6))),S$7^-2,1,TRUE),0)),
    EXP(-(EXP(S$5)/S$6)*(EXP(S$6*$E9)-1)),
    1/(1+($E9/EXP(S$5))^EXP(S$6)),
    1-IFERROR(_xlfn.LOGNORM.DIST($E9,S$5,EXP(S$6),TRUE),0),
    EXP(-(($E9/EXP(S$5))^EXP(S$6)))
)</f>
        <v>1</v>
      </c>
      <c r="T9" s="8">
        <f>1-(S10/S9)</f>
        <v>6.5313613028031847E-3</v>
      </c>
      <c r="U9" s="6">
        <f>S9</f>
        <v>1</v>
      </c>
      <c r="V9" s="6">
        <f>S9</f>
        <v>1</v>
      </c>
      <c r="W9" s="6">
        <f>S9</f>
        <v>1</v>
      </c>
      <c r="Y9" s="23">
        <f>N9</f>
        <v>1</v>
      </c>
      <c r="Z9" s="6">
        <f>U9-N9</f>
        <v>0</v>
      </c>
      <c r="AA9" s="6">
        <f>1-U9</f>
        <v>0</v>
      </c>
      <c r="AB9" s="6">
        <f>SUM(Y9:AA9)</f>
        <v>1</v>
      </c>
    </row>
    <row r="10" spans="1:28" x14ac:dyDescent="0.35">
      <c r="A10">
        <v>1</v>
      </c>
      <c r="B10" s="17">
        <f>C9</f>
        <v>0</v>
      </c>
      <c r="C10" s="17">
        <f t="shared" ref="C10:C73" si="6">B10+Days_per_Month</f>
        <v>30.4375</v>
      </c>
      <c r="D10" s="17">
        <f>AVERAGE(B10:C10)</f>
        <v>15.21875</v>
      </c>
      <c r="E10" s="17">
        <f t="shared" si="0"/>
        <v>0.5</v>
      </c>
      <c r="F10" s="17">
        <f t="shared" si="1"/>
        <v>60.041666666666664</v>
      </c>
      <c r="G10" s="21">
        <f>INDEX('Life Tables'!$F$8:$F$123,MATCH(Engine!F10,'Life Tables'!$B$8:$B$123,1))</f>
        <v>5.808300732927929E-4</v>
      </c>
      <c r="H10" s="8">
        <f t="shared" si="2"/>
        <v>1</v>
      </c>
      <c r="I10">
        <f t="shared" si="3"/>
        <v>1</v>
      </c>
      <c r="K10" s="22">
        <f>$I10*IF($E10&gt;_xlfn.AGGREGATE(4,6,'KM Data'!$B$6:$B$310),NA(),INDEX('KM Data'!$C$6:$C$310,MATCH($E10,'KM Data'!$B$6:$B$310,1)))</f>
        <v>0.97399999999999998</v>
      </c>
      <c r="L10" s="21">
        <f t="shared" si="4"/>
        <v>0.98725106127536111</v>
      </c>
      <c r="M10" s="20">
        <f t="shared" ref="M10:M73" si="7">1-(L11/L10)</f>
        <v>5.3665267511307513E-2</v>
      </c>
      <c r="N10" s="21">
        <f>$I10*MIN(N9,U10,P10)</f>
        <v>0.98725106127536111</v>
      </c>
      <c r="O10" s="21">
        <f>I10*O9*(1-G9)</f>
        <v>0.99941916992670721</v>
      </c>
      <c r="P10" s="21">
        <f>$I10*P9*(1-MAX($G9,M9))</f>
        <v>0.98725106127536111</v>
      </c>
      <c r="R10" s="22">
        <f>$I10*IF($E10&gt;_xlfn.AGGREGATE(4,6,'KM Data'!$E$6:$E$205),NA(),INDEX('KM Data'!$F$6:$F$205,MATCH($E10,'KM Data'!$E$6:$E$205,1)))</f>
        <v>0.99199999999999999</v>
      </c>
      <c r="S10" s="21">
        <f t="shared" si="5"/>
        <v>0.99346863869719682</v>
      </c>
      <c r="T10" s="8">
        <f t="shared" ref="T10:T73" si="8">1-(S11/S10)</f>
        <v>2.6228935021258337E-2</v>
      </c>
      <c r="U10" s="21">
        <f>$I10*MIN(U9,W10)</f>
        <v>0.99346863869719682</v>
      </c>
      <c r="V10" s="21">
        <f>I10*V9*(1-G9)</f>
        <v>0.99941916992670721</v>
      </c>
      <c r="W10" s="21">
        <f>$I10*W9*(1-MAX($G9,T9))</f>
        <v>0.99346863869719682</v>
      </c>
      <c r="Y10" s="23">
        <f t="shared" ref="Y10:Y73" si="9">N10</f>
        <v>0.98725106127536111</v>
      </c>
      <c r="Z10" s="6">
        <f t="shared" ref="Z10:Z73" si="10">U10-N10</f>
        <v>6.2175774218357072E-3</v>
      </c>
      <c r="AA10" s="6">
        <f t="shared" ref="AA10:AA73" si="11">1-U10</f>
        <v>6.5313613028031847E-3</v>
      </c>
      <c r="AB10" s="6">
        <f t="shared" ref="AB10:AB73" si="12">SUM(Y10:AA10)</f>
        <v>1</v>
      </c>
    </row>
    <row r="11" spans="1:28" x14ac:dyDescent="0.35">
      <c r="A11">
        <v>2</v>
      </c>
      <c r="B11" s="17">
        <f t="shared" ref="B11:B74" si="13">C10</f>
        <v>30.4375</v>
      </c>
      <c r="C11" s="17">
        <f t="shared" si="6"/>
        <v>60.875</v>
      </c>
      <c r="D11" s="17">
        <f t="shared" ref="D11:D74" si="14">AVERAGE(B11:C11)</f>
        <v>45.65625</v>
      </c>
      <c r="E11" s="17">
        <f t="shared" si="0"/>
        <v>1.5</v>
      </c>
      <c r="F11" s="17">
        <f t="shared" si="1"/>
        <v>60.125</v>
      </c>
      <c r="G11" s="21">
        <f>INDEX('Life Tables'!$F$8:$F$123,MATCH(Engine!F11,'Life Tables'!$B$8:$B$123,1))</f>
        <v>5.808300732927929E-4</v>
      </c>
      <c r="H11" s="8">
        <f t="shared" si="2"/>
        <v>1</v>
      </c>
      <c r="I11">
        <f t="shared" si="3"/>
        <v>1</v>
      </c>
      <c r="K11" s="22">
        <f>$I11*IF($E11&gt;_xlfn.AGGREGATE(4,6,'KM Data'!$B$6:$B$310),NA(),INDEX('KM Data'!$C$6:$C$310,MATCH($E11,'KM Data'!$B$6:$B$310,1)))</f>
        <v>0.93400000000000005</v>
      </c>
      <c r="L11" s="21">
        <f t="shared" si="4"/>
        <v>0.93426996897119663</v>
      </c>
      <c r="M11" s="20">
        <f t="shared" si="7"/>
        <v>5.8927666513728272E-2</v>
      </c>
      <c r="N11" s="21">
        <f t="shared" ref="N11:N74" si="15">$I11*MIN(N10,U11,P11)</f>
        <v>0.93426996897119663</v>
      </c>
      <c r="O11" s="21">
        <f t="shared" ref="O11:O74" si="16">I11*O10*(1-G10)</f>
        <v>0.99883867721698849</v>
      </c>
      <c r="P11" s="21">
        <f t="shared" ref="P11:P74" si="17">$I11*P10*(1-MAX($G10,M10))</f>
        <v>0.93426996897119663</v>
      </c>
      <c r="R11" s="22">
        <f>$I11*IF($E11&gt;_xlfn.AGGREGATE(4,6,'KM Data'!$E$6:$E$205),NA(),INDEX('KM Data'!$F$6:$F$205,MATCH($E11,'KM Data'!$E$6:$E$205,1)))</f>
        <v>0.96199999999999997</v>
      </c>
      <c r="S11" s="21">
        <f t="shared" si="5"/>
        <v>0.96741101432715004</v>
      </c>
      <c r="T11" s="8">
        <f t="shared" si="8"/>
        <v>2.9250883657817806E-2</v>
      </c>
      <c r="U11" s="21">
        <f t="shared" ref="U11:U74" si="18">$I11*MIN(U10,W11)</f>
        <v>0.96741101432715004</v>
      </c>
      <c r="V11" s="21">
        <f t="shared" ref="V11:V74" si="19">I11*V10*(1-G10)</f>
        <v>0.99883867721698849</v>
      </c>
      <c r="W11" s="21">
        <f t="shared" ref="W11:W74" si="20">$I11*W10*(1-MAX($G10,T10))</f>
        <v>0.96741101432715004</v>
      </c>
      <c r="Y11" s="23">
        <f t="shared" si="9"/>
        <v>0.93426996897119663</v>
      </c>
      <c r="Z11" s="6">
        <f t="shared" si="10"/>
        <v>3.3141045355953413E-2</v>
      </c>
      <c r="AA11" s="6">
        <f t="shared" si="11"/>
        <v>3.2588985672849957E-2</v>
      </c>
      <c r="AB11" s="6">
        <f t="shared" si="12"/>
        <v>1</v>
      </c>
    </row>
    <row r="12" spans="1:28" x14ac:dyDescent="0.35">
      <c r="A12">
        <v>3</v>
      </c>
      <c r="B12" s="17">
        <f t="shared" si="13"/>
        <v>60.875</v>
      </c>
      <c r="C12" s="17">
        <f t="shared" si="6"/>
        <v>91.3125</v>
      </c>
      <c r="D12" s="17">
        <f t="shared" si="14"/>
        <v>76.09375</v>
      </c>
      <c r="E12" s="17">
        <f t="shared" si="0"/>
        <v>2.5</v>
      </c>
      <c r="F12" s="17">
        <f t="shared" si="1"/>
        <v>60.208333333333336</v>
      </c>
      <c r="G12" s="21">
        <f>INDEX('Life Tables'!$F$8:$F$123,MATCH(Engine!F12,'Life Tables'!$B$8:$B$123,1))</f>
        <v>5.808300732927929E-4</v>
      </c>
      <c r="H12" s="8">
        <f t="shared" si="2"/>
        <v>1</v>
      </c>
      <c r="I12">
        <f t="shared" si="3"/>
        <v>1</v>
      </c>
      <c r="K12" s="22">
        <f>$I12*IF($E12&gt;_xlfn.AGGREGATE(4,6,'KM Data'!$B$6:$B$310),NA(),INDEX('KM Data'!$C$6:$C$310,MATCH($E12,'KM Data'!$B$6:$B$310,1)))</f>
        <v>0.89200000000000002</v>
      </c>
      <c r="L12" s="21">
        <f t="shared" si="4"/>
        <v>0.87921561980587071</v>
      </c>
      <c r="M12" s="20">
        <f t="shared" si="7"/>
        <v>5.7494682046958956E-2</v>
      </c>
      <c r="N12" s="21">
        <f t="shared" si="15"/>
        <v>0.87921561980587071</v>
      </c>
      <c r="O12" s="21">
        <f t="shared" si="16"/>
        <v>0.99825852167489282</v>
      </c>
      <c r="P12" s="21">
        <f t="shared" si="17"/>
        <v>0.87921561980587071</v>
      </c>
      <c r="R12" s="22">
        <f>$I12*IF($E12&gt;_xlfn.AGGREGATE(4,6,'KM Data'!$E$6:$E$205),NA(),INDEX('KM Data'!$F$6:$F$205,MATCH($E12,'KM Data'!$E$6:$E$205,1)))</f>
        <v>0.93400000000000005</v>
      </c>
      <c r="S12" s="21">
        <f t="shared" si="5"/>
        <v>0.93911338729777505</v>
      </c>
      <c r="T12" s="8">
        <f t="shared" si="8"/>
        <v>2.9076682735278414E-2</v>
      </c>
      <c r="U12" s="21">
        <f t="shared" si="18"/>
        <v>0.93911338729777505</v>
      </c>
      <c r="V12" s="21">
        <f t="shared" si="19"/>
        <v>0.99825852167489282</v>
      </c>
      <c r="W12" s="21">
        <f t="shared" si="20"/>
        <v>0.93911338729777505</v>
      </c>
      <c r="Y12" s="23">
        <f t="shared" si="9"/>
        <v>0.87921561980587071</v>
      </c>
      <c r="Z12" s="6">
        <f t="shared" si="10"/>
        <v>5.9897767491904341E-2</v>
      </c>
      <c r="AA12" s="6">
        <f t="shared" si="11"/>
        <v>6.0886612702224951E-2</v>
      </c>
      <c r="AB12" s="6">
        <f t="shared" si="12"/>
        <v>1</v>
      </c>
    </row>
    <row r="13" spans="1:28" x14ac:dyDescent="0.35">
      <c r="A13">
        <v>4</v>
      </c>
      <c r="B13" s="17">
        <f t="shared" si="13"/>
        <v>91.3125</v>
      </c>
      <c r="C13" s="17">
        <f t="shared" si="6"/>
        <v>121.75</v>
      </c>
      <c r="D13" s="17">
        <f t="shared" si="14"/>
        <v>106.53125</v>
      </c>
      <c r="E13" s="17">
        <f t="shared" si="0"/>
        <v>3.5</v>
      </c>
      <c r="F13" s="17">
        <f t="shared" si="1"/>
        <v>60.291666666666664</v>
      </c>
      <c r="G13" s="21">
        <f>INDEX('Life Tables'!$F$8:$F$123,MATCH(Engine!F13,'Life Tables'!$B$8:$B$123,1))</f>
        <v>5.808300732927929E-4</v>
      </c>
      <c r="H13" s="8">
        <f t="shared" si="2"/>
        <v>1</v>
      </c>
      <c r="I13">
        <f t="shared" si="3"/>
        <v>1</v>
      </c>
      <c r="K13" s="22">
        <f>$I13*IF($E13&gt;_xlfn.AGGREGATE(4,6,'KM Data'!$B$6:$B$310),NA(),INDEX('KM Data'!$C$6:$C$310,MATCH($E13,'KM Data'!$B$6:$B$310,1)))</f>
        <v>0.86</v>
      </c>
      <c r="L13" s="21">
        <f t="shared" si="4"/>
        <v>0.82866539729441224</v>
      </c>
      <c r="M13" s="20">
        <f t="shared" si="7"/>
        <v>5.4895158817441003E-2</v>
      </c>
      <c r="N13" s="21">
        <f t="shared" si="15"/>
        <v>0.82866539729441224</v>
      </c>
      <c r="O13" s="21">
        <f t="shared" si="16"/>
        <v>0.99767870310458329</v>
      </c>
      <c r="P13" s="21">
        <f t="shared" si="17"/>
        <v>0.82866539729441224</v>
      </c>
      <c r="R13" s="22">
        <f>$I13*IF($E13&gt;_xlfn.AGGREGATE(4,6,'KM Data'!$E$6:$E$205),NA(),INDEX('KM Data'!$F$6:$F$205,MATCH($E13,'KM Data'!$E$6:$E$205,1)))</f>
        <v>0.91800000000000004</v>
      </c>
      <c r="S13" s="21">
        <f t="shared" si="5"/>
        <v>0.91180708528286503</v>
      </c>
      <c r="T13" s="8">
        <f t="shared" si="8"/>
        <v>2.8199712676950317E-2</v>
      </c>
      <c r="U13" s="21">
        <f t="shared" si="18"/>
        <v>0.91180708528286503</v>
      </c>
      <c r="V13" s="21">
        <f t="shared" si="19"/>
        <v>0.99767870310458329</v>
      </c>
      <c r="W13" s="21">
        <f t="shared" si="20"/>
        <v>0.91180708528286503</v>
      </c>
      <c r="Y13" s="23">
        <f t="shared" si="9"/>
        <v>0.82866539729441224</v>
      </c>
      <c r="Z13" s="6">
        <f t="shared" si="10"/>
        <v>8.3141687988452784E-2</v>
      </c>
      <c r="AA13" s="6">
        <f t="shared" si="11"/>
        <v>8.8192914717134974E-2</v>
      </c>
      <c r="AB13" s="6">
        <f t="shared" si="12"/>
        <v>1</v>
      </c>
    </row>
    <row r="14" spans="1:28" x14ac:dyDescent="0.35">
      <c r="A14">
        <v>5</v>
      </c>
      <c r="B14" s="17">
        <f t="shared" si="13"/>
        <v>121.75</v>
      </c>
      <c r="C14" s="17">
        <f t="shared" si="6"/>
        <v>152.1875</v>
      </c>
      <c r="D14" s="17">
        <f t="shared" si="14"/>
        <v>136.96875</v>
      </c>
      <c r="E14" s="17">
        <f t="shared" si="0"/>
        <v>4.5</v>
      </c>
      <c r="F14" s="17">
        <f t="shared" si="1"/>
        <v>60.375</v>
      </c>
      <c r="G14" s="21">
        <f>INDEX('Life Tables'!$F$8:$F$123,MATCH(Engine!F14,'Life Tables'!$B$8:$B$123,1))</f>
        <v>5.808300732927929E-4</v>
      </c>
      <c r="H14" s="8">
        <f t="shared" si="2"/>
        <v>1</v>
      </c>
      <c r="I14">
        <f t="shared" si="3"/>
        <v>1</v>
      </c>
      <c r="K14" s="22">
        <f>$I14*IF($E14&gt;_xlfn.AGGREGATE(4,6,'KM Data'!$B$6:$B$310),NA(),INDEX('KM Data'!$C$6:$C$310,MATCH($E14,'KM Data'!$B$6:$B$310,1)))</f>
        <v>0.83599999999999997</v>
      </c>
      <c r="L14" s="21">
        <f t="shared" si="4"/>
        <v>0.78317567870341764</v>
      </c>
      <c r="M14" s="20">
        <f t="shared" si="7"/>
        <v>5.2188327534862022E-2</v>
      </c>
      <c r="N14" s="21">
        <f t="shared" si="15"/>
        <v>0.78317567870341764</v>
      </c>
      <c r="O14" s="21">
        <f t="shared" si="16"/>
        <v>0.99709922131033635</v>
      </c>
      <c r="P14" s="21">
        <f t="shared" si="17"/>
        <v>0.78317567870341764</v>
      </c>
      <c r="R14" s="22">
        <f>$I14*IF($E14&gt;_xlfn.AGGREGATE(4,6,'KM Data'!$E$6:$E$205),NA(),INDEX('KM Data'!$F$6:$F$205,MATCH($E14,'KM Data'!$E$6:$E$205,1)))</f>
        <v>0.88400000000000001</v>
      </c>
      <c r="S14" s="21">
        <f t="shared" si="5"/>
        <v>0.88609438746108071</v>
      </c>
      <c r="T14" s="8">
        <f t="shared" si="8"/>
        <v>2.7159911839602313E-2</v>
      </c>
      <c r="U14" s="21">
        <f t="shared" si="18"/>
        <v>0.88609438746108071</v>
      </c>
      <c r="V14" s="21">
        <f t="shared" si="19"/>
        <v>0.99709922131033635</v>
      </c>
      <c r="W14" s="21">
        <f t="shared" si="20"/>
        <v>0.88609438746108071</v>
      </c>
      <c r="Y14" s="23">
        <f t="shared" si="9"/>
        <v>0.78317567870341764</v>
      </c>
      <c r="Z14" s="6">
        <f t="shared" si="10"/>
        <v>0.10291870875766307</v>
      </c>
      <c r="AA14" s="6">
        <f t="shared" si="11"/>
        <v>0.11390561253891929</v>
      </c>
      <c r="AB14" s="6">
        <f t="shared" si="12"/>
        <v>1</v>
      </c>
    </row>
    <row r="15" spans="1:28" x14ac:dyDescent="0.35">
      <c r="A15">
        <v>6</v>
      </c>
      <c r="B15" s="17">
        <f t="shared" si="13"/>
        <v>152.1875</v>
      </c>
      <c r="C15" s="17">
        <f t="shared" si="6"/>
        <v>182.625</v>
      </c>
      <c r="D15" s="17">
        <f t="shared" si="14"/>
        <v>167.40625</v>
      </c>
      <c r="E15" s="17">
        <f t="shared" si="0"/>
        <v>5.5</v>
      </c>
      <c r="F15" s="17">
        <f t="shared" si="1"/>
        <v>60.458333333333336</v>
      </c>
      <c r="G15" s="21">
        <f>INDEX('Life Tables'!$F$8:$F$123,MATCH(Engine!F15,'Life Tables'!$B$8:$B$123,1))</f>
        <v>5.808300732927929E-4</v>
      </c>
      <c r="H15" s="8">
        <f t="shared" si="2"/>
        <v>1</v>
      </c>
      <c r="I15">
        <f t="shared" si="3"/>
        <v>1</v>
      </c>
      <c r="K15" s="22">
        <f>$I15*IF($E15&gt;_xlfn.AGGREGATE(4,6,'KM Data'!$B$6:$B$310),NA(),INDEX('KM Data'!$C$6:$C$310,MATCH($E15,'KM Data'!$B$6:$B$310,1)))</f>
        <v>0.8</v>
      </c>
      <c r="L15" s="21">
        <f t="shared" si="4"/>
        <v>0.74230304986590578</v>
      </c>
      <c r="M15" s="20">
        <f t="shared" si="7"/>
        <v>4.9639205282163035E-2</v>
      </c>
      <c r="N15" s="21">
        <f t="shared" si="15"/>
        <v>0.74230304986590578</v>
      </c>
      <c r="O15" s="21">
        <f t="shared" si="16"/>
        <v>0.99652007609654247</v>
      </c>
      <c r="P15" s="21">
        <f t="shared" si="17"/>
        <v>0.74230304986590578</v>
      </c>
      <c r="R15" s="22">
        <f>$I15*IF($E15&gt;_xlfn.AGGREGATE(4,6,'KM Data'!$E$6:$E$205),NA(),INDEX('KM Data'!$F$6:$F$205,MATCH($E15,'KM Data'!$E$6:$E$205,1)))</f>
        <v>0.85799999999999998</v>
      </c>
      <c r="S15" s="21">
        <f t="shared" si="5"/>
        <v>0.86202814201607136</v>
      </c>
      <c r="T15" s="8">
        <f t="shared" si="8"/>
        <v>2.6118316494758043E-2</v>
      </c>
      <c r="U15" s="21">
        <f t="shared" si="18"/>
        <v>0.86202814201607136</v>
      </c>
      <c r="V15" s="21">
        <f t="shared" si="19"/>
        <v>0.99652007609654247</v>
      </c>
      <c r="W15" s="21">
        <f t="shared" si="20"/>
        <v>0.86202814201607136</v>
      </c>
      <c r="Y15" s="23">
        <f t="shared" si="9"/>
        <v>0.74230304986590578</v>
      </c>
      <c r="Z15" s="6">
        <f t="shared" si="10"/>
        <v>0.11972509215016558</v>
      </c>
      <c r="AA15" s="6">
        <f t="shared" si="11"/>
        <v>0.13797185798392864</v>
      </c>
      <c r="AB15" s="6">
        <f t="shared" si="12"/>
        <v>1</v>
      </c>
    </row>
    <row r="16" spans="1:28" x14ac:dyDescent="0.35">
      <c r="A16">
        <v>7</v>
      </c>
      <c r="B16" s="17">
        <f t="shared" si="13"/>
        <v>182.625</v>
      </c>
      <c r="C16" s="17">
        <f t="shared" si="6"/>
        <v>213.0625</v>
      </c>
      <c r="D16" s="17">
        <f t="shared" si="14"/>
        <v>197.84375</v>
      </c>
      <c r="E16" s="17">
        <f t="shared" si="0"/>
        <v>6.5</v>
      </c>
      <c r="F16" s="17">
        <f t="shared" si="1"/>
        <v>60.541666666666664</v>
      </c>
      <c r="G16" s="21">
        <f>INDEX('Life Tables'!$F$8:$F$123,MATCH(Engine!F16,'Life Tables'!$B$8:$B$123,1))</f>
        <v>5.808300732927929E-4</v>
      </c>
      <c r="H16" s="8">
        <f t="shared" si="2"/>
        <v>1</v>
      </c>
      <c r="I16">
        <f t="shared" si="3"/>
        <v>1</v>
      </c>
      <c r="K16" s="22">
        <f>$I16*IF($E16&gt;_xlfn.AGGREGATE(4,6,'KM Data'!$B$6:$B$310),NA(),INDEX('KM Data'!$C$6:$C$310,MATCH($E16,'KM Data'!$B$6:$B$310,1)))</f>
        <v>0.754</v>
      </c>
      <c r="L16" s="21">
        <f t="shared" si="4"/>
        <v>0.70545571639203641</v>
      </c>
      <c r="M16" s="20">
        <f t="shared" si="7"/>
        <v>4.7308372863819725E-2</v>
      </c>
      <c r="N16" s="21">
        <f t="shared" si="15"/>
        <v>0.70545571639203641</v>
      </c>
      <c r="O16" s="21">
        <f t="shared" si="16"/>
        <v>0.9959412672677056</v>
      </c>
      <c r="P16" s="21">
        <f t="shared" si="17"/>
        <v>0.70545571639203641</v>
      </c>
      <c r="R16" s="22">
        <f>$I16*IF($E16&gt;_xlfn.AGGREGATE(4,6,'KM Data'!$E$6:$E$205),NA(),INDEX('KM Data'!$F$6:$F$205,MATCH($E16,'KM Data'!$E$6:$E$205,1)))</f>
        <v>0.83399999999999996</v>
      </c>
      <c r="S16" s="21">
        <f t="shared" si="5"/>
        <v>0.8395134181755074</v>
      </c>
      <c r="T16" s="8">
        <f t="shared" si="8"/>
        <v>2.5127663923532495E-2</v>
      </c>
      <c r="U16" s="21">
        <f t="shared" si="18"/>
        <v>0.8395134181755074</v>
      </c>
      <c r="V16" s="21">
        <f t="shared" si="19"/>
        <v>0.9959412672677056</v>
      </c>
      <c r="W16" s="21">
        <f t="shared" si="20"/>
        <v>0.8395134181755074</v>
      </c>
      <c r="Y16" s="23">
        <f t="shared" si="9"/>
        <v>0.70545571639203641</v>
      </c>
      <c r="Z16" s="6">
        <f t="shared" si="10"/>
        <v>0.13405770178347098</v>
      </c>
      <c r="AA16" s="6">
        <f t="shared" si="11"/>
        <v>0.1604865818244926</v>
      </c>
      <c r="AB16" s="6">
        <f t="shared" si="12"/>
        <v>1</v>
      </c>
    </row>
    <row r="17" spans="1:28" x14ac:dyDescent="0.35">
      <c r="A17">
        <v>8</v>
      </c>
      <c r="B17" s="17">
        <f t="shared" si="13"/>
        <v>213.0625</v>
      </c>
      <c r="C17" s="17">
        <f t="shared" si="6"/>
        <v>243.5</v>
      </c>
      <c r="D17" s="17">
        <f t="shared" si="14"/>
        <v>228.28125</v>
      </c>
      <c r="E17" s="17">
        <f t="shared" si="0"/>
        <v>7.5</v>
      </c>
      <c r="F17" s="17">
        <f t="shared" si="1"/>
        <v>60.625</v>
      </c>
      <c r="G17" s="21">
        <f>INDEX('Life Tables'!$F$8:$F$123,MATCH(Engine!F17,'Life Tables'!$B$8:$B$123,1))</f>
        <v>5.808300732927929E-4</v>
      </c>
      <c r="H17" s="8">
        <f t="shared" si="2"/>
        <v>1</v>
      </c>
      <c r="I17">
        <f t="shared" si="3"/>
        <v>1</v>
      </c>
      <c r="K17" s="22">
        <f>$I17*IF($E17&gt;_xlfn.AGGREGATE(4,6,'KM Data'!$B$6:$B$310),NA(),INDEX('KM Data'!$C$6:$C$310,MATCH($E17,'KM Data'!$B$6:$B$310,1)))</f>
        <v>0.73</v>
      </c>
      <c r="L17" s="21">
        <f t="shared" si="4"/>
        <v>0.67208175432204886</v>
      </c>
      <c r="M17" s="20">
        <f t="shared" si="7"/>
        <v>4.5195469056322546E-2</v>
      </c>
      <c r="N17" s="21">
        <f t="shared" si="15"/>
        <v>0.67208175432204886</v>
      </c>
      <c r="O17" s="21">
        <f t="shared" si="16"/>
        <v>0.99536279462844313</v>
      </c>
      <c r="P17" s="21">
        <f t="shared" si="17"/>
        <v>0.67208175432204886</v>
      </c>
      <c r="R17" s="22">
        <f>$I17*IF($E17&gt;_xlfn.AGGREGATE(4,6,'KM Data'!$E$6:$E$205),NA(),INDEX('KM Data'!$F$6:$F$205,MATCH($E17,'KM Data'!$E$6:$E$205,1)))</f>
        <v>0.82199999999999995</v>
      </c>
      <c r="S17" s="21">
        <f t="shared" si="5"/>
        <v>0.81841840714429726</v>
      </c>
      <c r="T17" s="8">
        <f t="shared" si="8"/>
        <v>2.420358596150729E-2</v>
      </c>
      <c r="U17" s="21">
        <f t="shared" si="18"/>
        <v>0.81841840714429726</v>
      </c>
      <c r="V17" s="21">
        <f t="shared" si="19"/>
        <v>0.99536279462844313</v>
      </c>
      <c r="W17" s="21">
        <f t="shared" si="20"/>
        <v>0.81841840714429726</v>
      </c>
      <c r="Y17" s="23">
        <f t="shared" si="9"/>
        <v>0.67208175432204886</v>
      </c>
      <c r="Z17" s="6">
        <f t="shared" si="10"/>
        <v>0.14633665282224839</v>
      </c>
      <c r="AA17" s="6">
        <f t="shared" si="11"/>
        <v>0.18158159285570274</v>
      </c>
      <c r="AB17" s="6">
        <f t="shared" si="12"/>
        <v>1</v>
      </c>
    </row>
    <row r="18" spans="1:28" x14ac:dyDescent="0.35">
      <c r="A18">
        <v>9</v>
      </c>
      <c r="B18" s="17">
        <f t="shared" si="13"/>
        <v>243.5</v>
      </c>
      <c r="C18" s="17">
        <f t="shared" si="6"/>
        <v>273.9375</v>
      </c>
      <c r="D18" s="17">
        <f t="shared" si="14"/>
        <v>258.71875</v>
      </c>
      <c r="E18" s="17">
        <f t="shared" si="0"/>
        <v>8.5</v>
      </c>
      <c r="F18" s="17">
        <f t="shared" si="1"/>
        <v>60.708333333333336</v>
      </c>
      <c r="G18" s="21">
        <f>INDEX('Life Tables'!$F$8:$F$123,MATCH(Engine!F18,'Life Tables'!$B$8:$B$123,1))</f>
        <v>5.808300732927929E-4</v>
      </c>
      <c r="H18" s="8">
        <f t="shared" si="2"/>
        <v>1</v>
      </c>
      <c r="I18">
        <f t="shared" si="3"/>
        <v>1</v>
      </c>
      <c r="K18" s="22">
        <f>$I18*IF($E18&gt;_xlfn.AGGREGATE(4,6,'KM Data'!$B$6:$B$310),NA(),INDEX('KM Data'!$C$6:$C$310,MATCH($E18,'KM Data'!$B$6:$B$310,1)))</f>
        <v>0.69399999999999995</v>
      </c>
      <c r="L18" s="21">
        <f t="shared" si="4"/>
        <v>0.64170670419126774</v>
      </c>
      <c r="M18" s="20">
        <f t="shared" si="7"/>
        <v>4.3281990443058804E-2</v>
      </c>
      <c r="N18" s="21">
        <f t="shared" si="15"/>
        <v>0.64170670419126774</v>
      </c>
      <c r="O18" s="21">
        <f t="shared" si="16"/>
        <v>0.99478465798348614</v>
      </c>
      <c r="P18" s="21">
        <f t="shared" si="17"/>
        <v>0.64170670419126774</v>
      </c>
      <c r="R18" s="22">
        <f>$I18*IF($E18&gt;_xlfn.AGGREGATE(4,6,'KM Data'!$E$6:$E$205),NA(),INDEX('KM Data'!$F$6:$F$205,MATCH($E18,'KM Data'!$E$6:$E$205,1)))</f>
        <v>0.80800000000000005</v>
      </c>
      <c r="S18" s="21">
        <f t="shared" si="5"/>
        <v>0.79860974687450037</v>
      </c>
      <c r="T18" s="8">
        <f t="shared" si="8"/>
        <v>2.3347847138038946E-2</v>
      </c>
      <c r="U18" s="21">
        <f t="shared" si="18"/>
        <v>0.79860974687450037</v>
      </c>
      <c r="V18" s="21">
        <f t="shared" si="19"/>
        <v>0.99478465798348614</v>
      </c>
      <c r="W18" s="21">
        <f t="shared" si="20"/>
        <v>0.79860974687450037</v>
      </c>
      <c r="Y18" s="23">
        <f t="shared" si="9"/>
        <v>0.64170670419126774</v>
      </c>
      <c r="Z18" s="6">
        <f t="shared" si="10"/>
        <v>0.15690304268323263</v>
      </c>
      <c r="AA18" s="6">
        <f t="shared" si="11"/>
        <v>0.20139025312549963</v>
      </c>
      <c r="AB18" s="6">
        <f t="shared" si="12"/>
        <v>1</v>
      </c>
    </row>
    <row r="19" spans="1:28" x14ac:dyDescent="0.35">
      <c r="A19">
        <v>10</v>
      </c>
      <c r="B19" s="17">
        <f t="shared" si="13"/>
        <v>273.9375</v>
      </c>
      <c r="C19" s="17">
        <f t="shared" si="6"/>
        <v>304.375</v>
      </c>
      <c r="D19" s="17">
        <f t="shared" si="14"/>
        <v>289.15625</v>
      </c>
      <c r="E19" s="17">
        <f t="shared" si="0"/>
        <v>9.5</v>
      </c>
      <c r="F19" s="17">
        <f t="shared" si="1"/>
        <v>60.791666666666664</v>
      </c>
      <c r="G19" s="21">
        <f>INDEX('Life Tables'!$F$8:$F$123,MATCH(Engine!F19,'Life Tables'!$B$8:$B$123,1))</f>
        <v>5.808300732927929E-4</v>
      </c>
      <c r="H19" s="8">
        <f t="shared" si="2"/>
        <v>1</v>
      </c>
      <c r="I19">
        <f t="shared" si="3"/>
        <v>1</v>
      </c>
      <c r="K19" s="22">
        <f>$I19*IF($E19&gt;_xlfn.AGGREGATE(4,6,'KM Data'!$B$6:$B$310),NA(),INDEX('KM Data'!$C$6:$C$310,MATCH($E19,'KM Data'!$B$6:$B$310,1)))</f>
        <v>0.65800000000000003</v>
      </c>
      <c r="L19" s="21">
        <f t="shared" si="4"/>
        <v>0.61393236075321456</v>
      </c>
      <c r="M19" s="20">
        <f t="shared" si="7"/>
        <v>4.1545451350594287E-2</v>
      </c>
      <c r="N19" s="21">
        <f t="shared" si="15"/>
        <v>0.61393236075321456</v>
      </c>
      <c r="O19" s="21">
        <f t="shared" si="16"/>
        <v>0.99420685713767909</v>
      </c>
      <c r="P19" s="21">
        <f t="shared" si="17"/>
        <v>0.61393236075321456</v>
      </c>
      <c r="R19" s="22">
        <f>$I19*IF($E19&gt;_xlfn.AGGREGATE(4,6,'KM Data'!$E$6:$E$205),NA(),INDEX('KM Data'!$F$6:$F$205,MATCH($E19,'KM Data'!$E$6:$E$205,1)))</f>
        <v>0.79200000000000004</v>
      </c>
      <c r="S19" s="21">
        <f t="shared" si="5"/>
        <v>0.77996392858152652</v>
      </c>
      <c r="T19" s="8">
        <f t="shared" si="8"/>
        <v>2.2556969044294273E-2</v>
      </c>
      <c r="U19" s="21">
        <f t="shared" si="18"/>
        <v>0.77996392858152652</v>
      </c>
      <c r="V19" s="21">
        <f t="shared" si="19"/>
        <v>0.99420685713767909</v>
      </c>
      <c r="W19" s="21">
        <f t="shared" si="20"/>
        <v>0.77996392858152652</v>
      </c>
      <c r="Y19" s="23">
        <f t="shared" si="9"/>
        <v>0.61393236075321456</v>
      </c>
      <c r="Z19" s="6">
        <f t="shared" si="10"/>
        <v>0.16603156782831197</v>
      </c>
      <c r="AA19" s="6">
        <f t="shared" si="11"/>
        <v>0.22003607141847348</v>
      </c>
      <c r="AB19" s="6">
        <f t="shared" si="12"/>
        <v>1</v>
      </c>
    </row>
    <row r="20" spans="1:28" x14ac:dyDescent="0.35">
      <c r="A20">
        <v>11</v>
      </c>
      <c r="B20" s="17">
        <f t="shared" si="13"/>
        <v>304.375</v>
      </c>
      <c r="C20" s="17">
        <f t="shared" si="6"/>
        <v>334.8125</v>
      </c>
      <c r="D20" s="17">
        <f t="shared" si="14"/>
        <v>319.59375</v>
      </c>
      <c r="E20" s="17">
        <f t="shared" si="0"/>
        <v>10.5</v>
      </c>
      <c r="F20" s="17">
        <f t="shared" si="1"/>
        <v>60.875</v>
      </c>
      <c r="G20" s="21">
        <f>INDEX('Life Tables'!$F$8:$F$123,MATCH(Engine!F20,'Life Tables'!$B$8:$B$123,1))</f>
        <v>5.808300732927929E-4</v>
      </c>
      <c r="H20" s="8">
        <f t="shared" si="2"/>
        <v>1</v>
      </c>
      <c r="I20">
        <f t="shared" si="3"/>
        <v>1</v>
      </c>
      <c r="K20" s="22">
        <f>$I20*IF($E20&gt;_xlfn.AGGREGATE(4,6,'KM Data'!$B$6:$B$310),NA(),INDEX('KM Data'!$C$6:$C$310,MATCH($E20,'KM Data'!$B$6:$B$310,1)))</f>
        <v>0.62</v>
      </c>
      <c r="L20" s="21">
        <f t="shared" si="4"/>
        <v>0.58842626372698636</v>
      </c>
      <c r="M20" s="20">
        <f t="shared" si="7"/>
        <v>3.9964184758085719E-2</v>
      </c>
      <c r="N20" s="21">
        <f t="shared" si="15"/>
        <v>0.58842626372698636</v>
      </c>
      <c r="O20" s="21">
        <f t="shared" si="16"/>
        <v>0.99362939189597965</v>
      </c>
      <c r="P20" s="21">
        <f t="shared" si="17"/>
        <v>0.58842626372698636</v>
      </c>
      <c r="R20" s="22">
        <f>$I20*IF($E20&gt;_xlfn.AGGREGATE(4,6,'KM Data'!$E$6:$E$205),NA(),INDEX('KM Data'!$F$6:$F$205,MATCH($E20,'KM Data'!$E$6:$E$205,1)))</f>
        <v>0.77200000000000002</v>
      </c>
      <c r="S20" s="21">
        <f t="shared" si="5"/>
        <v>0.76237030638884684</v>
      </c>
      <c r="T20" s="8">
        <f t="shared" si="8"/>
        <v>2.1825686016226808E-2</v>
      </c>
      <c r="U20" s="21">
        <f t="shared" si="18"/>
        <v>0.76237030638884684</v>
      </c>
      <c r="V20" s="21">
        <f t="shared" si="19"/>
        <v>0.99362939189597965</v>
      </c>
      <c r="W20" s="21">
        <f t="shared" si="20"/>
        <v>0.76237030638884684</v>
      </c>
      <c r="Y20" s="23">
        <f t="shared" si="9"/>
        <v>0.58842626372698636</v>
      </c>
      <c r="Z20" s="6">
        <f t="shared" si="10"/>
        <v>0.17394404266186048</v>
      </c>
      <c r="AA20" s="6">
        <f t="shared" si="11"/>
        <v>0.23762969361115316</v>
      </c>
      <c r="AB20" s="6">
        <f t="shared" si="12"/>
        <v>1</v>
      </c>
    </row>
    <row r="21" spans="1:28" x14ac:dyDescent="0.35">
      <c r="A21">
        <v>12</v>
      </c>
      <c r="B21" s="17">
        <f t="shared" si="13"/>
        <v>334.8125</v>
      </c>
      <c r="C21" s="17">
        <f t="shared" si="6"/>
        <v>365.25</v>
      </c>
      <c r="D21" s="17">
        <f t="shared" si="14"/>
        <v>350.03125</v>
      </c>
      <c r="E21" s="17">
        <f t="shared" si="0"/>
        <v>11.5</v>
      </c>
      <c r="F21" s="17">
        <f t="shared" si="1"/>
        <v>60.958333333333336</v>
      </c>
      <c r="G21" s="21">
        <f>INDEX('Life Tables'!$F$8:$F$123,MATCH(Engine!F21,'Life Tables'!$B$8:$B$123,1))</f>
        <v>5.808300732927929E-4</v>
      </c>
      <c r="H21" s="8">
        <f t="shared" si="2"/>
        <v>0.96618357487922713</v>
      </c>
      <c r="I21">
        <f t="shared" si="3"/>
        <v>1</v>
      </c>
      <c r="K21" s="22">
        <f>$I21*IF($E21&gt;_xlfn.AGGREGATE(4,6,'KM Data'!$B$6:$B$310),NA(),INDEX('KM Data'!$C$6:$C$310,MATCH($E21,'KM Data'!$B$6:$B$310,1)))</f>
        <v>0.59399999999999997</v>
      </c>
      <c r="L21" s="21">
        <f t="shared" si="4"/>
        <v>0.56491028780689101</v>
      </c>
      <c r="M21" s="20">
        <f t="shared" si="7"/>
        <v>3.8518824919099637E-2</v>
      </c>
      <c r="N21" s="21">
        <f t="shared" si="15"/>
        <v>0.56491028780689101</v>
      </c>
      <c r="O21" s="21">
        <f t="shared" si="16"/>
        <v>0.99305226206345887</v>
      </c>
      <c r="P21" s="21">
        <f t="shared" si="17"/>
        <v>0.56491028780689101</v>
      </c>
      <c r="R21" s="22">
        <f>$I21*IF($E21&gt;_xlfn.AGGREGATE(4,6,'KM Data'!$E$6:$E$205),NA(),INDEX('KM Data'!$F$6:$F$205,MATCH($E21,'KM Data'!$E$6:$E$205,1)))</f>
        <v>0.76800000000000002</v>
      </c>
      <c r="S21" s="21">
        <f t="shared" si="5"/>
        <v>0.74573105145350926</v>
      </c>
      <c r="T21" s="8">
        <f t="shared" si="8"/>
        <v>2.1148380100709963E-2</v>
      </c>
      <c r="U21" s="21">
        <f t="shared" si="18"/>
        <v>0.74573105145350926</v>
      </c>
      <c r="V21" s="21">
        <f t="shared" si="19"/>
        <v>0.99305226206345887</v>
      </c>
      <c r="W21" s="21">
        <f t="shared" si="20"/>
        <v>0.74573105145350926</v>
      </c>
      <c r="Y21" s="23">
        <f t="shared" si="9"/>
        <v>0.56491028780689101</v>
      </c>
      <c r="Z21" s="6">
        <f t="shared" si="10"/>
        <v>0.18082076364661825</v>
      </c>
      <c r="AA21" s="6">
        <f t="shared" si="11"/>
        <v>0.25426894854649074</v>
      </c>
      <c r="AB21" s="6">
        <f t="shared" si="12"/>
        <v>1</v>
      </c>
    </row>
    <row r="22" spans="1:28" x14ac:dyDescent="0.35">
      <c r="A22">
        <v>13</v>
      </c>
      <c r="B22" s="17">
        <f t="shared" si="13"/>
        <v>365.25</v>
      </c>
      <c r="C22" s="17">
        <f t="shared" si="6"/>
        <v>395.6875</v>
      </c>
      <c r="D22" s="17">
        <f t="shared" si="14"/>
        <v>380.46875</v>
      </c>
      <c r="E22" s="17">
        <f t="shared" si="0"/>
        <v>12.5</v>
      </c>
      <c r="F22" s="17">
        <f t="shared" si="1"/>
        <v>61.041666666666664</v>
      </c>
      <c r="G22" s="21">
        <f>INDEX('Life Tables'!$F$8:$F$123,MATCH(Engine!F22,'Life Tables'!$B$8:$B$123,1))</f>
        <v>6.350346428198872E-4</v>
      </c>
      <c r="H22" s="8">
        <f t="shared" si="2"/>
        <v>0.96618357487922713</v>
      </c>
      <c r="I22">
        <f t="shared" si="3"/>
        <v>1</v>
      </c>
      <c r="K22" s="22">
        <f>$I22*IF($E22&gt;_xlfn.AGGREGATE(4,6,'KM Data'!$B$6:$B$310),NA(),INDEX('KM Data'!$C$6:$C$310,MATCH($E22,'KM Data'!$B$6:$B$310,1)))</f>
        <v>0.56000000000000005</v>
      </c>
      <c r="L22" s="21">
        <f t="shared" si="4"/>
        <v>0.54315060733585918</v>
      </c>
      <c r="M22" s="20">
        <f t="shared" si="7"/>
        <v>3.7192573908729765E-2</v>
      </c>
      <c r="N22" s="21">
        <f t="shared" si="15"/>
        <v>0.54315060733585918</v>
      </c>
      <c r="O22" s="21">
        <f t="shared" si="16"/>
        <v>0.99247546744530102</v>
      </c>
      <c r="P22" s="21">
        <f t="shared" si="17"/>
        <v>0.54315060733585918</v>
      </c>
      <c r="R22" s="22">
        <f>$I22*IF($E22&gt;_xlfn.AGGREGATE(4,6,'KM Data'!$E$6:$E$205),NA(),INDEX('KM Data'!$F$6:$F$205,MATCH($E22,'KM Data'!$E$6:$E$205,1)))</f>
        <v>0.75600000000000001</v>
      </c>
      <c r="S22" s="21">
        <f t="shared" si="5"/>
        <v>0.72996004772446832</v>
      </c>
      <c r="T22" s="8">
        <f t="shared" si="8"/>
        <v>2.0519670818811786E-2</v>
      </c>
      <c r="U22" s="21">
        <f t="shared" si="18"/>
        <v>0.72996004772446832</v>
      </c>
      <c r="V22" s="21">
        <f t="shared" si="19"/>
        <v>0.99247546744530102</v>
      </c>
      <c r="W22" s="21">
        <f t="shared" si="20"/>
        <v>0.72996004772446832</v>
      </c>
      <c r="Y22" s="23">
        <f t="shared" si="9"/>
        <v>0.54315060733585918</v>
      </c>
      <c r="Z22" s="6">
        <f t="shared" si="10"/>
        <v>0.18680944038860914</v>
      </c>
      <c r="AA22" s="6">
        <f t="shared" si="11"/>
        <v>0.27003995227553168</v>
      </c>
      <c r="AB22" s="6">
        <f t="shared" si="12"/>
        <v>1</v>
      </c>
    </row>
    <row r="23" spans="1:28" x14ac:dyDescent="0.35">
      <c r="A23">
        <v>14</v>
      </c>
      <c r="B23" s="17">
        <f t="shared" si="13"/>
        <v>395.6875</v>
      </c>
      <c r="C23" s="17">
        <f t="shared" si="6"/>
        <v>426.125</v>
      </c>
      <c r="D23" s="17">
        <f t="shared" si="14"/>
        <v>410.90625</v>
      </c>
      <c r="E23" s="17">
        <f t="shared" si="0"/>
        <v>13.5</v>
      </c>
      <c r="F23" s="17">
        <f t="shared" si="1"/>
        <v>61.125</v>
      </c>
      <c r="G23" s="21">
        <f>INDEX('Life Tables'!$F$8:$F$123,MATCH(Engine!F23,'Life Tables'!$B$8:$B$123,1))</f>
        <v>6.350346428198872E-4</v>
      </c>
      <c r="H23" s="8">
        <f t="shared" si="2"/>
        <v>0.96618357487922713</v>
      </c>
      <c r="I23">
        <f t="shared" si="3"/>
        <v>1</v>
      </c>
      <c r="K23" s="22">
        <f>$I23*IF($E23&gt;_xlfn.AGGREGATE(4,6,'KM Data'!$B$6:$B$310),NA(),INDEX('KM Data'!$C$6:$C$310,MATCH($E23,'KM Data'!$B$6:$B$310,1)))</f>
        <v>0.52600000000000002</v>
      </c>
      <c r="L23" s="21">
        <f t="shared" si="4"/>
        <v>0.52294943822894879</v>
      </c>
      <c r="M23" s="20">
        <f t="shared" si="7"/>
        <v>3.5971035147171482E-2</v>
      </c>
      <c r="N23" s="21">
        <f t="shared" si="15"/>
        <v>0.52294943822894879</v>
      </c>
      <c r="O23" s="21">
        <f t="shared" si="16"/>
        <v>0.9918452111413244</v>
      </c>
      <c r="P23" s="21">
        <f t="shared" si="17"/>
        <v>0.52294943822894879</v>
      </c>
      <c r="R23" s="22">
        <f>$I23*IF($E23&gt;_xlfn.AGGREGATE(4,6,'KM Data'!$E$6:$E$205),NA(),INDEX('KM Data'!$F$6:$F$205,MATCH($E23,'KM Data'!$E$6:$E$205,1)))</f>
        <v>0.74</v>
      </c>
      <c r="S23" s="21">
        <f t="shared" si="5"/>
        <v>0.71498150783427805</v>
      </c>
      <c r="T23" s="8">
        <f t="shared" si="8"/>
        <v>1.9934636420394836E-2</v>
      </c>
      <c r="U23" s="21">
        <f t="shared" si="18"/>
        <v>0.71498150783427805</v>
      </c>
      <c r="V23" s="21">
        <f t="shared" si="19"/>
        <v>0.9918452111413244</v>
      </c>
      <c r="W23" s="21">
        <f t="shared" si="20"/>
        <v>0.71498150783427805</v>
      </c>
      <c r="Y23" s="23">
        <f t="shared" si="9"/>
        <v>0.52294943822894879</v>
      </c>
      <c r="Z23" s="6">
        <f t="shared" si="10"/>
        <v>0.19203206960532926</v>
      </c>
      <c r="AA23" s="6">
        <f t="shared" si="11"/>
        <v>0.28501849216572195</v>
      </c>
      <c r="AB23" s="6">
        <f t="shared" si="12"/>
        <v>1</v>
      </c>
    </row>
    <row r="24" spans="1:28" x14ac:dyDescent="0.35">
      <c r="A24">
        <v>15</v>
      </c>
      <c r="B24" s="17">
        <f t="shared" si="13"/>
        <v>426.125</v>
      </c>
      <c r="C24" s="17">
        <f t="shared" si="6"/>
        <v>456.5625</v>
      </c>
      <c r="D24" s="17">
        <f t="shared" si="14"/>
        <v>441.34375</v>
      </c>
      <c r="E24" s="17">
        <f t="shared" si="0"/>
        <v>14.5</v>
      </c>
      <c r="F24" s="17">
        <f t="shared" si="1"/>
        <v>61.208333333333336</v>
      </c>
      <c r="G24" s="21">
        <f>INDEX('Life Tables'!$F$8:$F$123,MATCH(Engine!F24,'Life Tables'!$B$8:$B$123,1))</f>
        <v>6.350346428198872E-4</v>
      </c>
      <c r="H24" s="8">
        <f t="shared" si="2"/>
        <v>0.96618357487922713</v>
      </c>
      <c r="I24">
        <f t="shared" si="3"/>
        <v>1</v>
      </c>
      <c r="K24" s="22">
        <f>$I24*IF($E24&gt;_xlfn.AGGREGATE(4,6,'KM Data'!$B$6:$B$310),NA(),INDEX('KM Data'!$C$6:$C$310,MATCH($E24,'KM Data'!$B$6:$B$310,1)))</f>
        <v>0.50600000000000001</v>
      </c>
      <c r="L24" s="21">
        <f t="shared" si="4"/>
        <v>0.5041384056062217</v>
      </c>
      <c r="M24" s="20">
        <f t="shared" si="7"/>
        <v>3.4841916131606809E-2</v>
      </c>
      <c r="N24" s="21">
        <f t="shared" si="15"/>
        <v>0.5041384056062217</v>
      </c>
      <c r="O24" s="21">
        <f t="shared" si="16"/>
        <v>0.9912153550719347</v>
      </c>
      <c r="P24" s="21">
        <f t="shared" si="17"/>
        <v>0.5041384056062217</v>
      </c>
      <c r="R24" s="22">
        <f>$I24*IF($E24&gt;_xlfn.AGGREGATE(4,6,'KM Data'!$E$6:$E$205),NA(),INDEX('KM Data'!$F$6:$F$205,MATCH($E24,'KM Data'!$E$6:$E$205,1)))</f>
        <v>0.73</v>
      </c>
      <c r="S24" s="21">
        <f t="shared" si="5"/>
        <v>0.70072861142829601</v>
      </c>
      <c r="T24" s="8">
        <f t="shared" si="8"/>
        <v>1.9388871899459703E-2</v>
      </c>
      <c r="U24" s="21">
        <f t="shared" si="18"/>
        <v>0.70072861142829601</v>
      </c>
      <c r="V24" s="21">
        <f t="shared" si="19"/>
        <v>0.9912153550719347</v>
      </c>
      <c r="W24" s="21">
        <f t="shared" si="20"/>
        <v>0.70072861142829601</v>
      </c>
      <c r="Y24" s="23">
        <f t="shared" si="9"/>
        <v>0.5041384056062217</v>
      </c>
      <c r="Z24" s="6">
        <f t="shared" si="10"/>
        <v>0.19659020582207432</v>
      </c>
      <c r="AA24" s="6">
        <f t="shared" si="11"/>
        <v>0.29927138857170399</v>
      </c>
      <c r="AB24" s="6">
        <f t="shared" si="12"/>
        <v>1</v>
      </c>
    </row>
    <row r="25" spans="1:28" x14ac:dyDescent="0.35">
      <c r="A25">
        <v>16</v>
      </c>
      <c r="B25" s="17">
        <f t="shared" si="13"/>
        <v>456.5625</v>
      </c>
      <c r="C25" s="17">
        <f t="shared" si="6"/>
        <v>487</v>
      </c>
      <c r="D25" s="17">
        <f t="shared" si="14"/>
        <v>471.78125</v>
      </c>
      <c r="E25" s="17">
        <f t="shared" si="0"/>
        <v>15.5</v>
      </c>
      <c r="F25" s="17">
        <f t="shared" si="1"/>
        <v>61.291666666666664</v>
      </c>
      <c r="G25" s="21">
        <f>INDEX('Life Tables'!$F$8:$F$123,MATCH(Engine!F25,'Life Tables'!$B$8:$B$123,1))</f>
        <v>6.350346428198872E-4</v>
      </c>
      <c r="H25" s="8">
        <f t="shared" si="2"/>
        <v>0.96618357487922713</v>
      </c>
      <c r="I25">
        <f t="shared" si="3"/>
        <v>1</v>
      </c>
      <c r="K25" s="22">
        <f>$I25*IF($E25&gt;_xlfn.AGGREGATE(4,6,'KM Data'!$B$6:$B$310),NA(),INDEX('KM Data'!$C$6:$C$310,MATCH($E25,'KM Data'!$B$6:$B$310,1)))</f>
        <v>0.48799999999999999</v>
      </c>
      <c r="L25" s="21">
        <f t="shared" si="4"/>
        <v>0.48657325755936776</v>
      </c>
      <c r="M25" s="20">
        <f t="shared" si="7"/>
        <v>3.3794716765438881E-2</v>
      </c>
      <c r="N25" s="21">
        <f t="shared" si="15"/>
        <v>0.48657325755936776</v>
      </c>
      <c r="O25" s="21">
        <f t="shared" si="16"/>
        <v>0.990585898982969</v>
      </c>
      <c r="P25" s="21">
        <f t="shared" si="17"/>
        <v>0.48657325755936776</v>
      </c>
      <c r="R25" s="22">
        <f>$I25*IF($E25&gt;_xlfn.AGGREGATE(4,6,'KM Data'!$E$6:$E$205),NA(),INDEX('KM Data'!$F$6:$F$205,MATCH($E25,'KM Data'!$E$6:$E$205,1)))</f>
        <v>0.71399999999999997</v>
      </c>
      <c r="S25" s="21">
        <f t="shared" si="5"/>
        <v>0.68714227414502649</v>
      </c>
      <c r="T25" s="8">
        <f t="shared" si="8"/>
        <v>1.8878475945780293E-2</v>
      </c>
      <c r="U25" s="21">
        <f t="shared" si="18"/>
        <v>0.68714227414502649</v>
      </c>
      <c r="V25" s="21">
        <f t="shared" si="19"/>
        <v>0.990585898982969</v>
      </c>
      <c r="W25" s="21">
        <f t="shared" si="20"/>
        <v>0.68714227414502649</v>
      </c>
      <c r="Y25" s="23">
        <f t="shared" si="9"/>
        <v>0.48657325755936776</v>
      </c>
      <c r="Z25" s="6">
        <f t="shared" si="10"/>
        <v>0.20056901658565873</v>
      </c>
      <c r="AA25" s="6">
        <f t="shared" si="11"/>
        <v>0.31285772585497351</v>
      </c>
      <c r="AB25" s="6">
        <f t="shared" si="12"/>
        <v>1</v>
      </c>
    </row>
    <row r="26" spans="1:28" x14ac:dyDescent="0.35">
      <c r="A26">
        <v>17</v>
      </c>
      <c r="B26" s="17">
        <f t="shared" si="13"/>
        <v>487</v>
      </c>
      <c r="C26" s="17">
        <f t="shared" si="6"/>
        <v>517.4375</v>
      </c>
      <c r="D26" s="17">
        <f t="shared" si="14"/>
        <v>502.21875</v>
      </c>
      <c r="E26" s="17">
        <f t="shared" si="0"/>
        <v>16.5</v>
      </c>
      <c r="F26" s="17">
        <f t="shared" si="1"/>
        <v>61.375</v>
      </c>
      <c r="G26" s="21">
        <f>INDEX('Life Tables'!$F$8:$F$123,MATCH(Engine!F26,'Life Tables'!$B$8:$B$123,1))</f>
        <v>6.350346428198872E-4</v>
      </c>
      <c r="H26" s="8">
        <f t="shared" si="2"/>
        <v>0.96618357487922713</v>
      </c>
      <c r="I26">
        <f t="shared" si="3"/>
        <v>1</v>
      </c>
      <c r="K26" s="22">
        <f>$I26*IF($E26&gt;_xlfn.AGGREGATE(4,6,'KM Data'!$B$6:$B$310),NA(),INDEX('KM Data'!$C$6:$C$310,MATCH($E26,'KM Data'!$B$6:$B$310,1)))</f>
        <v>0.47199999999999998</v>
      </c>
      <c r="L26" s="21">
        <f t="shared" si="4"/>
        <v>0.47012965213451197</v>
      </c>
      <c r="M26" s="20">
        <f t="shared" si="7"/>
        <v>3.2820445240764329E-2</v>
      </c>
      <c r="N26" s="21">
        <f t="shared" si="15"/>
        <v>0.47012965213451197</v>
      </c>
      <c r="O26" s="21">
        <f t="shared" si="16"/>
        <v>0.98995684262042594</v>
      </c>
      <c r="P26" s="21">
        <f t="shared" si="17"/>
        <v>0.47012965213451197</v>
      </c>
      <c r="R26" s="22">
        <f>$I26*IF($E26&gt;_xlfn.AGGREGATE(4,6,'KM Data'!$E$6:$E$205),NA(),INDEX('KM Data'!$F$6:$F$205,MATCH($E26,'KM Data'!$E$6:$E$205,1)))</f>
        <v>0.69199999999999995</v>
      </c>
      <c r="S26" s="21">
        <f t="shared" si="5"/>
        <v>0.67417007525125083</v>
      </c>
      <c r="T26" s="8">
        <f t="shared" si="8"/>
        <v>1.8400009276644758E-2</v>
      </c>
      <c r="U26" s="21">
        <f t="shared" si="18"/>
        <v>0.67417007525125083</v>
      </c>
      <c r="V26" s="21">
        <f t="shared" si="19"/>
        <v>0.98995684262042594</v>
      </c>
      <c r="W26" s="21">
        <f t="shared" si="20"/>
        <v>0.67417007525125083</v>
      </c>
      <c r="Y26" s="23">
        <f t="shared" si="9"/>
        <v>0.47012965213451197</v>
      </c>
      <c r="Z26" s="6">
        <f t="shared" si="10"/>
        <v>0.20404042311673887</v>
      </c>
      <c r="AA26" s="6">
        <f t="shared" si="11"/>
        <v>0.32582992474874917</v>
      </c>
      <c r="AB26" s="6">
        <f t="shared" si="12"/>
        <v>1</v>
      </c>
    </row>
    <row r="27" spans="1:28" x14ac:dyDescent="0.35">
      <c r="A27">
        <v>18</v>
      </c>
      <c r="B27" s="17">
        <f t="shared" si="13"/>
        <v>517.4375</v>
      </c>
      <c r="C27" s="17">
        <f t="shared" si="6"/>
        <v>547.875</v>
      </c>
      <c r="D27" s="17">
        <f t="shared" si="14"/>
        <v>532.65625</v>
      </c>
      <c r="E27" s="17">
        <f t="shared" si="0"/>
        <v>17.5</v>
      </c>
      <c r="F27" s="17">
        <f t="shared" si="1"/>
        <v>61.458333333333336</v>
      </c>
      <c r="G27" s="21">
        <f>INDEX('Life Tables'!$F$8:$F$123,MATCH(Engine!F27,'Life Tables'!$B$8:$B$123,1))</f>
        <v>6.350346428198872E-4</v>
      </c>
      <c r="H27" s="8">
        <f t="shared" si="2"/>
        <v>0.96618357487922713</v>
      </c>
      <c r="I27">
        <f t="shared" si="3"/>
        <v>1</v>
      </c>
      <c r="K27" s="22">
        <f>$I27*IF($E27&gt;_xlfn.AGGREGATE(4,6,'KM Data'!$B$6:$B$310),NA(),INDEX('KM Data'!$C$6:$C$310,MATCH($E27,'KM Data'!$B$6:$B$310,1)))</f>
        <v>0.45600000000000002</v>
      </c>
      <c r="L27" s="21">
        <f t="shared" si="4"/>
        <v>0.45469978763057162</v>
      </c>
      <c r="M27" s="20">
        <f t="shared" si="7"/>
        <v>3.1911373312528024E-2</v>
      </c>
      <c r="N27" s="21">
        <f t="shared" si="15"/>
        <v>0.45469978763057162</v>
      </c>
      <c r="O27" s="21">
        <f t="shared" si="16"/>
        <v>0.98932818573046533</v>
      </c>
      <c r="P27" s="21">
        <f t="shared" si="17"/>
        <v>0.45469978763057162</v>
      </c>
      <c r="R27" s="22">
        <f>$I27*IF($E27&gt;_xlfn.AGGREGATE(4,6,'KM Data'!$E$6:$E$205),NA(),INDEX('KM Data'!$F$6:$F$205,MATCH($E27,'KM Data'!$E$6:$E$205,1)))</f>
        <v>0.68400000000000005</v>
      </c>
      <c r="S27" s="21">
        <f t="shared" si="5"/>
        <v>0.66176533961259154</v>
      </c>
      <c r="T27" s="8">
        <f t="shared" si="8"/>
        <v>1.7950444019449563E-2</v>
      </c>
      <c r="U27" s="21">
        <f t="shared" si="18"/>
        <v>0.66176533961259154</v>
      </c>
      <c r="V27" s="21">
        <f t="shared" si="19"/>
        <v>0.98932818573046533</v>
      </c>
      <c r="W27" s="21">
        <f t="shared" si="20"/>
        <v>0.66176533961259154</v>
      </c>
      <c r="Y27" s="23">
        <f t="shared" si="9"/>
        <v>0.45469978763057162</v>
      </c>
      <c r="Z27" s="6">
        <f t="shared" si="10"/>
        <v>0.20706555198201992</v>
      </c>
      <c r="AA27" s="6">
        <f t="shared" si="11"/>
        <v>0.33823466038740846</v>
      </c>
      <c r="AB27" s="6">
        <f t="shared" si="12"/>
        <v>1</v>
      </c>
    </row>
    <row r="28" spans="1:28" x14ac:dyDescent="0.35">
      <c r="A28">
        <v>19</v>
      </c>
      <c r="B28" s="17">
        <f t="shared" si="13"/>
        <v>547.875</v>
      </c>
      <c r="C28" s="17">
        <f t="shared" si="6"/>
        <v>578.3125</v>
      </c>
      <c r="D28" s="17">
        <f t="shared" si="14"/>
        <v>563.09375</v>
      </c>
      <c r="E28" s="17">
        <f t="shared" si="0"/>
        <v>18.5</v>
      </c>
      <c r="F28" s="17">
        <f t="shared" si="1"/>
        <v>61.541666666666664</v>
      </c>
      <c r="G28" s="21">
        <f>INDEX('Life Tables'!$F$8:$F$123,MATCH(Engine!F28,'Life Tables'!$B$8:$B$123,1))</f>
        <v>6.350346428198872E-4</v>
      </c>
      <c r="H28" s="8">
        <f t="shared" si="2"/>
        <v>0.96618357487922713</v>
      </c>
      <c r="I28">
        <f t="shared" si="3"/>
        <v>1</v>
      </c>
      <c r="K28" s="22">
        <f>$I28*IF($E28&gt;_xlfn.AGGREGATE(4,6,'KM Data'!$B$6:$B$310),NA(),INDEX('KM Data'!$C$6:$C$310,MATCH($E28,'KM Data'!$B$6:$B$310,1)))</f>
        <v>0.432</v>
      </c>
      <c r="L28" s="21">
        <f t="shared" si="4"/>
        <v>0.44018969296236521</v>
      </c>
      <c r="M28" s="20">
        <f t="shared" si="7"/>
        <v>3.106083093400358E-2</v>
      </c>
      <c r="N28" s="21">
        <f t="shared" si="15"/>
        <v>0.44018969296236521</v>
      </c>
      <c r="O28" s="21">
        <f t="shared" si="16"/>
        <v>0.98869992805940832</v>
      </c>
      <c r="P28" s="21">
        <f t="shared" si="17"/>
        <v>0.44018969296236521</v>
      </c>
      <c r="R28" s="22">
        <f>$I28*IF($E28&gt;_xlfn.AGGREGATE(4,6,'KM Data'!$E$6:$E$205),NA(),INDEX('KM Data'!$F$6:$F$205,MATCH($E28,'KM Data'!$E$6:$E$205,1)))</f>
        <v>0.65800000000000003</v>
      </c>
      <c r="S28" s="21">
        <f t="shared" si="5"/>
        <v>0.64988635792986371</v>
      </c>
      <c r="T28" s="8">
        <f t="shared" si="8"/>
        <v>1.75271130868766E-2</v>
      </c>
      <c r="U28" s="21">
        <f t="shared" si="18"/>
        <v>0.64988635792986371</v>
      </c>
      <c r="V28" s="21">
        <f t="shared" si="19"/>
        <v>0.98869992805940832</v>
      </c>
      <c r="W28" s="21">
        <f t="shared" si="20"/>
        <v>0.64988635792986371</v>
      </c>
      <c r="Y28" s="23">
        <f t="shared" si="9"/>
        <v>0.44018969296236521</v>
      </c>
      <c r="Z28" s="6">
        <f t="shared" si="10"/>
        <v>0.2096966649674985</v>
      </c>
      <c r="AA28" s="6">
        <f t="shared" si="11"/>
        <v>0.35011364207013629</v>
      </c>
      <c r="AB28" s="6">
        <f t="shared" si="12"/>
        <v>1</v>
      </c>
    </row>
    <row r="29" spans="1:28" x14ac:dyDescent="0.35">
      <c r="A29">
        <v>20</v>
      </c>
      <c r="B29" s="17">
        <f t="shared" si="13"/>
        <v>578.3125</v>
      </c>
      <c r="C29" s="17">
        <f t="shared" si="6"/>
        <v>608.75</v>
      </c>
      <c r="D29" s="17">
        <f t="shared" si="14"/>
        <v>593.53125</v>
      </c>
      <c r="E29" s="17">
        <f t="shared" si="0"/>
        <v>19.5</v>
      </c>
      <c r="F29" s="17">
        <f t="shared" si="1"/>
        <v>61.625</v>
      </c>
      <c r="G29" s="21">
        <f>INDEX('Life Tables'!$F$8:$F$123,MATCH(Engine!F29,'Life Tables'!$B$8:$B$123,1))</f>
        <v>6.350346428198872E-4</v>
      </c>
      <c r="H29" s="8">
        <f t="shared" si="2"/>
        <v>0.96618357487922713</v>
      </c>
      <c r="I29">
        <f t="shared" si="3"/>
        <v>1</v>
      </c>
      <c r="K29" s="22">
        <f>$I29*IF($E29&gt;_xlfn.AGGREGATE(4,6,'KM Data'!$B$6:$B$310),NA(),INDEX('KM Data'!$C$6:$C$310,MATCH($E29,'KM Data'!$B$6:$B$310,1)))</f>
        <v>0.40799999999999997</v>
      </c>
      <c r="L29" s="21">
        <f t="shared" si="4"/>
        <v>0.42651703533037022</v>
      </c>
      <c r="M29" s="20">
        <f t="shared" si="7"/>
        <v>3.026303599352298E-2</v>
      </c>
      <c r="N29" s="21">
        <f t="shared" si="15"/>
        <v>0.42651703533037022</v>
      </c>
      <c r="O29" s="21">
        <f t="shared" si="16"/>
        <v>0.98807206935373704</v>
      </c>
      <c r="P29" s="21">
        <f t="shared" si="17"/>
        <v>0.42651703533037022</v>
      </c>
      <c r="R29" s="22">
        <f>$I29*IF($E29&gt;_xlfn.AGGREGATE(4,6,'KM Data'!$E$6:$E$205),NA(),INDEX('KM Data'!$F$6:$F$205,MATCH($E29,'KM Data'!$E$6:$E$205,1)))</f>
        <v>0.64800000000000002</v>
      </c>
      <c r="S29" s="21">
        <f t="shared" si="5"/>
        <v>0.63849572624080864</v>
      </c>
      <c r="T29" s="8">
        <f t="shared" si="8"/>
        <v>1.7127663349324918E-2</v>
      </c>
      <c r="U29" s="21">
        <f t="shared" si="18"/>
        <v>0.63849572624080864</v>
      </c>
      <c r="V29" s="21">
        <f t="shared" si="19"/>
        <v>0.98807206935373704</v>
      </c>
      <c r="W29" s="21">
        <f t="shared" si="20"/>
        <v>0.63849572624080864</v>
      </c>
      <c r="Y29" s="23">
        <f t="shared" si="9"/>
        <v>0.42651703533037022</v>
      </c>
      <c r="Z29" s="6">
        <f t="shared" si="10"/>
        <v>0.21197869091043842</v>
      </c>
      <c r="AA29" s="6">
        <f t="shared" si="11"/>
        <v>0.36150427375919136</v>
      </c>
      <c r="AB29" s="6">
        <f t="shared" si="12"/>
        <v>1</v>
      </c>
    </row>
    <row r="30" spans="1:28" x14ac:dyDescent="0.35">
      <c r="A30">
        <v>21</v>
      </c>
      <c r="B30" s="17">
        <f t="shared" si="13"/>
        <v>608.75</v>
      </c>
      <c r="C30" s="17">
        <f t="shared" si="6"/>
        <v>639.1875</v>
      </c>
      <c r="D30" s="17">
        <f t="shared" si="14"/>
        <v>623.96875</v>
      </c>
      <c r="E30" s="17">
        <f t="shared" si="0"/>
        <v>20.5</v>
      </c>
      <c r="F30" s="17">
        <f t="shared" si="1"/>
        <v>61.708333333333336</v>
      </c>
      <c r="G30" s="21">
        <f>INDEX('Life Tables'!$F$8:$F$123,MATCH(Engine!F30,'Life Tables'!$B$8:$B$123,1))</f>
        <v>6.350346428198872E-4</v>
      </c>
      <c r="H30" s="8">
        <f t="shared" si="2"/>
        <v>0.96618357487922713</v>
      </c>
      <c r="I30">
        <f t="shared" si="3"/>
        <v>1</v>
      </c>
      <c r="K30" s="22">
        <f>$I30*IF($E30&gt;_xlfn.AGGREGATE(4,6,'KM Data'!$B$6:$B$310),NA(),INDEX('KM Data'!$C$6:$C$310,MATCH($E30,'KM Data'!$B$6:$B$310,1)))</f>
        <v>0.39400000000000002</v>
      </c>
      <c r="L30" s="21">
        <f t="shared" si="4"/>
        <v>0.41360933493831653</v>
      </c>
      <c r="M30" s="20">
        <f t="shared" si="7"/>
        <v>2.9512953837649958E-2</v>
      </c>
      <c r="N30" s="21">
        <f t="shared" si="15"/>
        <v>0.41360933493831653</v>
      </c>
      <c r="O30" s="21">
        <f t="shared" si="16"/>
        <v>0.9874446093600947</v>
      </c>
      <c r="P30" s="21">
        <f t="shared" si="17"/>
        <v>0.41360933493831653</v>
      </c>
      <c r="R30" s="22">
        <f>$I30*IF($E30&gt;_xlfn.AGGREGATE(4,6,'KM Data'!$E$6:$E$205),NA(),INDEX('KM Data'!$F$6:$F$205,MATCH($E30,'KM Data'!$E$6:$E$205,1)))</f>
        <v>0.63800000000000001</v>
      </c>
      <c r="S30" s="21">
        <f t="shared" si="5"/>
        <v>0.62755978639177334</v>
      </c>
      <c r="T30" s="8">
        <f t="shared" si="8"/>
        <v>1.6750013945892928E-2</v>
      </c>
      <c r="U30" s="21">
        <f t="shared" si="18"/>
        <v>0.62755978639177334</v>
      </c>
      <c r="V30" s="21">
        <f t="shared" si="19"/>
        <v>0.9874446093600947</v>
      </c>
      <c r="W30" s="21">
        <f t="shared" si="20"/>
        <v>0.62755978639177334</v>
      </c>
      <c r="Y30" s="23">
        <f t="shared" si="9"/>
        <v>0.41360933493831653</v>
      </c>
      <c r="Z30" s="6">
        <f t="shared" si="10"/>
        <v>0.21395045145345681</v>
      </c>
      <c r="AA30" s="6">
        <f t="shared" si="11"/>
        <v>0.37244021360822666</v>
      </c>
      <c r="AB30" s="6">
        <f t="shared" si="12"/>
        <v>1</v>
      </c>
    </row>
    <row r="31" spans="1:28" x14ac:dyDescent="0.35">
      <c r="A31">
        <v>22</v>
      </c>
      <c r="B31" s="17">
        <f t="shared" si="13"/>
        <v>639.1875</v>
      </c>
      <c r="C31" s="17">
        <f t="shared" si="6"/>
        <v>669.625</v>
      </c>
      <c r="D31" s="17">
        <f t="shared" si="14"/>
        <v>654.40625</v>
      </c>
      <c r="E31" s="17">
        <f t="shared" si="0"/>
        <v>21.5</v>
      </c>
      <c r="F31" s="17">
        <f t="shared" si="1"/>
        <v>61.791666666666664</v>
      </c>
      <c r="G31" s="21">
        <f>INDEX('Life Tables'!$F$8:$F$123,MATCH(Engine!F31,'Life Tables'!$B$8:$B$123,1))</f>
        <v>6.350346428198872E-4</v>
      </c>
      <c r="H31" s="8">
        <f t="shared" si="2"/>
        <v>0.96618357487922713</v>
      </c>
      <c r="I31">
        <f t="shared" si="3"/>
        <v>1</v>
      </c>
      <c r="K31" s="22">
        <f>$I31*IF($E31&gt;_xlfn.AGGREGATE(4,6,'KM Data'!$B$6:$B$310),NA(),INDEX('KM Data'!$C$6:$C$310,MATCH($E31,'KM Data'!$B$6:$B$310,1)))</f>
        <v>0.378</v>
      </c>
      <c r="L31" s="21">
        <f t="shared" si="4"/>
        <v>0.4014025017294609</v>
      </c>
      <c r="M31" s="20">
        <f t="shared" si="7"/>
        <v>2.8806181470545145E-2</v>
      </c>
      <c r="N31" s="21">
        <f t="shared" si="15"/>
        <v>0.4014025017294609</v>
      </c>
      <c r="O31" s="21">
        <f t="shared" si="16"/>
        <v>0.9868175478252853</v>
      </c>
      <c r="P31" s="21">
        <f t="shared" si="17"/>
        <v>0.4014025017294609</v>
      </c>
      <c r="R31" s="22">
        <f>$I31*IF($E31&gt;_xlfn.AGGREGATE(4,6,'KM Data'!$E$6:$E$205),NA(),INDEX('KM Data'!$F$6:$F$205,MATCH($E31,'KM Data'!$E$6:$E$205,1)))</f>
        <v>0.624</v>
      </c>
      <c r="S31" s="21">
        <f t="shared" si="5"/>
        <v>0.61704815121782952</v>
      </c>
      <c r="T31" s="8">
        <f t="shared" si="8"/>
        <v>1.6392319916413323E-2</v>
      </c>
      <c r="U31" s="21">
        <f t="shared" si="18"/>
        <v>0.61704815121782952</v>
      </c>
      <c r="V31" s="21">
        <f t="shared" si="19"/>
        <v>0.9868175478252853</v>
      </c>
      <c r="W31" s="21">
        <f t="shared" si="20"/>
        <v>0.61704815121782952</v>
      </c>
      <c r="Y31" s="23">
        <f t="shared" si="9"/>
        <v>0.4014025017294609</v>
      </c>
      <c r="Z31" s="6">
        <f t="shared" si="10"/>
        <v>0.21564564948836862</v>
      </c>
      <c r="AA31" s="6">
        <f t="shared" si="11"/>
        <v>0.38295184878217048</v>
      </c>
      <c r="AB31" s="6">
        <f t="shared" si="12"/>
        <v>1</v>
      </c>
    </row>
    <row r="32" spans="1:28" x14ac:dyDescent="0.35">
      <c r="A32">
        <v>23</v>
      </c>
      <c r="B32" s="17">
        <f t="shared" si="13"/>
        <v>669.625</v>
      </c>
      <c r="C32" s="17">
        <f t="shared" si="6"/>
        <v>700.0625</v>
      </c>
      <c r="D32" s="17">
        <f t="shared" si="14"/>
        <v>684.84375</v>
      </c>
      <c r="E32" s="17">
        <f t="shared" si="0"/>
        <v>22.5</v>
      </c>
      <c r="F32" s="17">
        <f t="shared" si="1"/>
        <v>61.875</v>
      </c>
      <c r="G32" s="21">
        <f>INDEX('Life Tables'!$F$8:$F$123,MATCH(Engine!F32,'Life Tables'!$B$8:$B$123,1))</f>
        <v>6.350346428198872E-4</v>
      </c>
      <c r="H32" s="8">
        <f t="shared" si="2"/>
        <v>0.96618357487922713</v>
      </c>
      <c r="I32">
        <f t="shared" si="3"/>
        <v>1</v>
      </c>
      <c r="K32" s="22">
        <f>$I32*IF($E32&gt;_xlfn.AGGREGATE(4,6,'KM Data'!$B$6:$B$310),NA(),INDEX('KM Data'!$C$6:$C$310,MATCH($E32,'KM Data'!$B$6:$B$310,1)))</f>
        <v>0.35799999999999998</v>
      </c>
      <c r="L32" s="21">
        <f t="shared" si="4"/>
        <v>0.38983962842191122</v>
      </c>
      <c r="M32" s="20">
        <f t="shared" si="7"/>
        <v>2.8138851958630751E-2</v>
      </c>
      <c r="N32" s="21">
        <f t="shared" si="15"/>
        <v>0.38983962842191122</v>
      </c>
      <c r="O32" s="21">
        <f t="shared" si="16"/>
        <v>0.98619088449627368</v>
      </c>
      <c r="P32" s="21">
        <f t="shared" si="17"/>
        <v>0.38983962842191122</v>
      </c>
      <c r="R32" s="22">
        <f>$I32*IF($E32&gt;_xlfn.AGGREGATE(4,6,'KM Data'!$E$6:$E$205),NA(),INDEX('KM Data'!$F$6:$F$205,MATCH($E32,'KM Data'!$E$6:$E$205,1)))</f>
        <v>0.60199999999999998</v>
      </c>
      <c r="S32" s="21">
        <f t="shared" si="5"/>
        <v>0.60693330051923544</v>
      </c>
      <c r="T32" s="8">
        <f t="shared" si="8"/>
        <v>1.6052940821846939E-2</v>
      </c>
      <c r="U32" s="21">
        <f t="shared" si="18"/>
        <v>0.60693330051923544</v>
      </c>
      <c r="V32" s="21">
        <f t="shared" si="19"/>
        <v>0.98619088449627368</v>
      </c>
      <c r="W32" s="21">
        <f t="shared" si="20"/>
        <v>0.60693330051923544</v>
      </c>
      <c r="Y32" s="23">
        <f t="shared" si="9"/>
        <v>0.38983962842191122</v>
      </c>
      <c r="Z32" s="6">
        <f t="shared" si="10"/>
        <v>0.21709367209732422</v>
      </c>
      <c r="AA32" s="6">
        <f t="shared" si="11"/>
        <v>0.39306669948076456</v>
      </c>
      <c r="AB32" s="6">
        <f t="shared" si="12"/>
        <v>1</v>
      </c>
    </row>
    <row r="33" spans="1:28" x14ac:dyDescent="0.35">
      <c r="A33">
        <v>24</v>
      </c>
      <c r="B33" s="17">
        <f t="shared" si="13"/>
        <v>700.0625</v>
      </c>
      <c r="C33" s="17">
        <f t="shared" si="6"/>
        <v>730.5</v>
      </c>
      <c r="D33" s="17">
        <f t="shared" si="14"/>
        <v>715.28125</v>
      </c>
      <c r="E33" s="17">
        <f t="shared" si="0"/>
        <v>23.5</v>
      </c>
      <c r="F33" s="17">
        <f t="shared" si="1"/>
        <v>61.958333333333336</v>
      </c>
      <c r="G33" s="21">
        <f>INDEX('Life Tables'!$F$8:$F$123,MATCH(Engine!F33,'Life Tables'!$B$8:$B$123,1))</f>
        <v>6.350346428198872E-4</v>
      </c>
      <c r="H33" s="8">
        <f t="shared" si="2"/>
        <v>0.93351070036640305</v>
      </c>
      <c r="I33">
        <f t="shared" si="3"/>
        <v>1</v>
      </c>
      <c r="K33" s="22">
        <f>$I33*IF($E33&gt;_xlfn.AGGREGATE(4,6,'KM Data'!$B$6:$B$310),NA(),INDEX('KM Data'!$C$6:$C$310,MATCH($E33,'KM Data'!$B$6:$B$310,1)))</f>
        <v>0.34399999999999997</v>
      </c>
      <c r="L33" s="21">
        <f t="shared" si="4"/>
        <v>0.37886998883013945</v>
      </c>
      <c r="M33" s="20">
        <f t="shared" si="7"/>
        <v>2.7507555296391928E-2</v>
      </c>
      <c r="N33" s="21">
        <f t="shared" si="15"/>
        <v>0.37886998883013945</v>
      </c>
      <c r="O33" s="21">
        <f t="shared" si="16"/>
        <v>0.98556461912018534</v>
      </c>
      <c r="P33" s="21">
        <f t="shared" si="17"/>
        <v>0.37886998883013945</v>
      </c>
      <c r="R33" s="22">
        <f>$I33*IF($E33&gt;_xlfn.AGGREGATE(4,6,'KM Data'!$E$6:$E$205),NA(),INDEX('KM Data'!$F$6:$F$205,MATCH($E33,'KM Data'!$E$6:$E$205,1)))</f>
        <v>0.58799999999999997</v>
      </c>
      <c r="S33" s="21">
        <f t="shared" si="5"/>
        <v>0.59719023616319189</v>
      </c>
      <c r="T33" s="8">
        <f t="shared" si="8"/>
        <v>1.5730413822176326E-2</v>
      </c>
      <c r="U33" s="21">
        <f t="shared" si="18"/>
        <v>0.59719023616319189</v>
      </c>
      <c r="V33" s="21">
        <f t="shared" si="19"/>
        <v>0.98556461912018534</v>
      </c>
      <c r="W33" s="21">
        <f t="shared" si="20"/>
        <v>0.59719023616319189</v>
      </c>
      <c r="Y33" s="23">
        <f t="shared" si="9"/>
        <v>0.37886998883013945</v>
      </c>
      <c r="Z33" s="6">
        <f t="shared" si="10"/>
        <v>0.21832024733305244</v>
      </c>
      <c r="AA33" s="6">
        <f t="shared" si="11"/>
        <v>0.40280976383680811</v>
      </c>
      <c r="AB33" s="6">
        <f t="shared" si="12"/>
        <v>1</v>
      </c>
    </row>
    <row r="34" spans="1:28" x14ac:dyDescent="0.35">
      <c r="A34">
        <v>25</v>
      </c>
      <c r="B34" s="17">
        <f t="shared" si="13"/>
        <v>730.5</v>
      </c>
      <c r="C34" s="17">
        <f t="shared" si="6"/>
        <v>760.9375</v>
      </c>
      <c r="D34" s="17">
        <f t="shared" si="14"/>
        <v>745.71875</v>
      </c>
      <c r="E34" s="17">
        <f t="shared" si="0"/>
        <v>24.5</v>
      </c>
      <c r="F34" s="17">
        <f t="shared" si="1"/>
        <v>62.041666666666664</v>
      </c>
      <c r="G34" s="21">
        <f>INDEX('Life Tables'!$F$8:$F$123,MATCH(Engine!F34,'Life Tables'!$B$8:$B$123,1))</f>
        <v>6.9510980367959441E-4</v>
      </c>
      <c r="H34" s="8">
        <f t="shared" si="2"/>
        <v>0.93351070036640305</v>
      </c>
      <c r="I34">
        <f t="shared" si="3"/>
        <v>1</v>
      </c>
      <c r="K34" s="22" t="e">
        <f>$I34*IF($E34&gt;_xlfn.AGGREGATE(4,6,'KM Data'!$B$6:$B$310),NA(),INDEX('KM Data'!$C$6:$C$310,MATCH($E34,'KM Data'!$B$6:$B$310,1)))</f>
        <v>#N/A</v>
      </c>
      <c r="L34" s="21">
        <f t="shared" si="4"/>
        <v>0.36844820166225101</v>
      </c>
      <c r="M34" s="20">
        <f t="shared" si="7"/>
        <v>2.6909272666077899E-2</v>
      </c>
      <c r="N34" s="21">
        <f t="shared" si="15"/>
        <v>0.36844820166225101</v>
      </c>
      <c r="O34" s="21">
        <f t="shared" si="16"/>
        <v>0.98493875144430643</v>
      </c>
      <c r="P34" s="21">
        <f t="shared" si="17"/>
        <v>0.36844820166225101</v>
      </c>
      <c r="R34" s="22" t="e">
        <f>$I34*IF($E34&gt;_xlfn.AGGREGATE(4,6,'KM Data'!$E$6:$E$205),NA(),INDEX('KM Data'!$F$6:$F$205,MATCH($E34,'KM Data'!$E$6:$E$205,1)))</f>
        <v>#N/A</v>
      </c>
      <c r="S34" s="21">
        <f t="shared" si="5"/>
        <v>0.58779618661778166</v>
      </c>
      <c r="T34" s="8">
        <f t="shared" si="8"/>
        <v>1.5423430636162583E-2</v>
      </c>
      <c r="U34" s="21">
        <f t="shared" si="18"/>
        <v>0.58779618661778166</v>
      </c>
      <c r="V34" s="21">
        <f t="shared" si="19"/>
        <v>0.98493875144430643</v>
      </c>
      <c r="W34" s="21">
        <f t="shared" si="20"/>
        <v>0.58779618661778166</v>
      </c>
      <c r="Y34" s="23">
        <f t="shared" si="9"/>
        <v>0.36844820166225101</v>
      </c>
      <c r="Z34" s="6">
        <f t="shared" si="10"/>
        <v>0.21934798495553065</v>
      </c>
      <c r="AA34" s="6">
        <f t="shared" si="11"/>
        <v>0.41220381338221834</v>
      </c>
      <c r="AB34" s="6">
        <f t="shared" si="12"/>
        <v>1</v>
      </c>
    </row>
    <row r="35" spans="1:28" x14ac:dyDescent="0.35">
      <c r="A35">
        <v>26</v>
      </c>
      <c r="B35" s="17">
        <f t="shared" si="13"/>
        <v>760.9375</v>
      </c>
      <c r="C35" s="17">
        <f t="shared" si="6"/>
        <v>791.375</v>
      </c>
      <c r="D35" s="17">
        <f t="shared" si="14"/>
        <v>776.15625</v>
      </c>
      <c r="E35" s="17">
        <f t="shared" si="0"/>
        <v>25.5</v>
      </c>
      <c r="F35" s="17">
        <f t="shared" si="1"/>
        <v>62.125</v>
      </c>
      <c r="G35" s="21">
        <f>INDEX('Life Tables'!$F$8:$F$123,MATCH(Engine!F35,'Life Tables'!$B$8:$B$123,1))</f>
        <v>6.9510980367959441E-4</v>
      </c>
      <c r="H35" s="8">
        <f t="shared" si="2"/>
        <v>0.93351070036640305</v>
      </c>
      <c r="I35">
        <f t="shared" si="3"/>
        <v>1</v>
      </c>
      <c r="K35" s="22" t="e">
        <f>$I35*IF($E35&gt;_xlfn.AGGREGATE(4,6,'KM Data'!$B$6:$B$310),NA(),INDEX('KM Data'!$C$6:$C$310,MATCH($E35,'KM Data'!$B$6:$B$310,1)))</f>
        <v>#N/A</v>
      </c>
      <c r="L35" s="21">
        <f t="shared" si="4"/>
        <v>0.35853352854039544</v>
      </c>
      <c r="M35" s="20">
        <f t="shared" si="7"/>
        <v>2.6341321606539458E-2</v>
      </c>
      <c r="N35" s="21">
        <f t="shared" si="15"/>
        <v>0.35853352854039544</v>
      </c>
      <c r="O35" s="21">
        <f t="shared" si="16"/>
        <v>0.98425411086215353</v>
      </c>
      <c r="P35" s="21">
        <f t="shared" si="17"/>
        <v>0.35853352854039544</v>
      </c>
      <c r="R35" s="22" t="e">
        <f>$I35*IF($E35&gt;_xlfn.AGGREGATE(4,6,'KM Data'!$E$6:$E$205),NA(),INDEX('KM Data'!$F$6:$F$205,MATCH($E35,'KM Data'!$E$6:$E$205,1)))</f>
        <v>#N/A</v>
      </c>
      <c r="S35" s="21">
        <f t="shared" si="5"/>
        <v>0.57873035290528141</v>
      </c>
      <c r="T35" s="8">
        <f t="shared" si="8"/>
        <v>1.5130817833257315E-2</v>
      </c>
      <c r="U35" s="21">
        <f t="shared" si="18"/>
        <v>0.57873035290528141</v>
      </c>
      <c r="V35" s="21">
        <f t="shared" si="19"/>
        <v>0.98425411086215353</v>
      </c>
      <c r="W35" s="21">
        <f t="shared" si="20"/>
        <v>0.57873035290528141</v>
      </c>
      <c r="Y35" s="23">
        <f t="shared" si="9"/>
        <v>0.35853352854039544</v>
      </c>
      <c r="Z35" s="6">
        <f t="shared" si="10"/>
        <v>0.22019682436488597</v>
      </c>
      <c r="AA35" s="6">
        <f t="shared" si="11"/>
        <v>0.42126964709471859</v>
      </c>
      <c r="AB35" s="6">
        <f t="shared" si="12"/>
        <v>1</v>
      </c>
    </row>
    <row r="36" spans="1:28" x14ac:dyDescent="0.35">
      <c r="A36">
        <v>27</v>
      </c>
      <c r="B36" s="17">
        <f t="shared" si="13"/>
        <v>791.375</v>
      </c>
      <c r="C36" s="17">
        <f t="shared" si="6"/>
        <v>821.8125</v>
      </c>
      <c r="D36" s="17">
        <f t="shared" si="14"/>
        <v>806.59375</v>
      </c>
      <c r="E36" s="17">
        <f t="shared" si="0"/>
        <v>26.5</v>
      </c>
      <c r="F36" s="17">
        <f t="shared" si="1"/>
        <v>62.208333333333336</v>
      </c>
      <c r="G36" s="21">
        <f>INDEX('Life Tables'!$F$8:$F$123,MATCH(Engine!F36,'Life Tables'!$B$8:$B$123,1))</f>
        <v>6.9510980367959441E-4</v>
      </c>
      <c r="H36" s="8">
        <f t="shared" si="2"/>
        <v>0.93351070036640305</v>
      </c>
      <c r="I36">
        <f t="shared" si="3"/>
        <v>1</v>
      </c>
      <c r="K36" s="22" t="e">
        <f>$I36*IF($E36&gt;_xlfn.AGGREGATE(4,6,'KM Data'!$B$6:$B$310),NA(),INDEX('KM Data'!$C$6:$C$310,MATCH($E36,'KM Data'!$B$6:$B$310,1)))</f>
        <v>#N/A</v>
      </c>
      <c r="L36" s="21">
        <f t="shared" si="4"/>
        <v>0.34908928155838548</v>
      </c>
      <c r="M36" s="20">
        <f t="shared" si="7"/>
        <v>2.5801310088478191E-2</v>
      </c>
      <c r="N36" s="21">
        <f t="shared" si="15"/>
        <v>0.34908928155838548</v>
      </c>
      <c r="O36" s="21">
        <f t="shared" si="16"/>
        <v>0.98356994618038129</v>
      </c>
      <c r="P36" s="21">
        <f t="shared" si="17"/>
        <v>0.34908928155838548</v>
      </c>
      <c r="R36" s="22" t="e">
        <f>$I36*IF($E36&gt;_xlfn.AGGREGATE(4,6,'KM Data'!$E$6:$E$205),NA(),INDEX('KM Data'!$F$6:$F$205,MATCH($E36,'KM Data'!$E$6:$E$205,1)))</f>
        <v>#N/A</v>
      </c>
      <c r="S36" s="21">
        <f t="shared" si="5"/>
        <v>0.56997368936089488</v>
      </c>
      <c r="T36" s="8">
        <f t="shared" si="8"/>
        <v>1.485151996291878E-2</v>
      </c>
      <c r="U36" s="21">
        <f t="shared" si="18"/>
        <v>0.56997368936089488</v>
      </c>
      <c r="V36" s="21">
        <f t="shared" si="19"/>
        <v>0.98356994618038129</v>
      </c>
      <c r="W36" s="21">
        <f t="shared" si="20"/>
        <v>0.56997368936089488</v>
      </c>
      <c r="Y36" s="23">
        <f t="shared" si="9"/>
        <v>0.34908928155838548</v>
      </c>
      <c r="Z36" s="6">
        <f t="shared" si="10"/>
        <v>0.2208844078025094</v>
      </c>
      <c r="AA36" s="6">
        <f t="shared" si="11"/>
        <v>0.43002631063910512</v>
      </c>
      <c r="AB36" s="6">
        <f t="shared" si="12"/>
        <v>1</v>
      </c>
    </row>
    <row r="37" spans="1:28" x14ac:dyDescent="0.35">
      <c r="A37">
        <v>28</v>
      </c>
      <c r="B37" s="17">
        <f t="shared" si="13"/>
        <v>821.8125</v>
      </c>
      <c r="C37" s="17">
        <f t="shared" si="6"/>
        <v>852.25</v>
      </c>
      <c r="D37" s="17">
        <f t="shared" si="14"/>
        <v>837.03125</v>
      </c>
      <c r="E37" s="17">
        <f t="shared" si="0"/>
        <v>27.5</v>
      </c>
      <c r="F37" s="17">
        <f t="shared" si="1"/>
        <v>62.291666666666664</v>
      </c>
      <c r="G37" s="21">
        <f>INDEX('Life Tables'!$F$8:$F$123,MATCH(Engine!F37,'Life Tables'!$B$8:$B$123,1))</f>
        <v>6.9510980367959441E-4</v>
      </c>
      <c r="H37" s="8">
        <f t="shared" si="2"/>
        <v>0.93351070036640305</v>
      </c>
      <c r="I37">
        <f t="shared" si="3"/>
        <v>1</v>
      </c>
      <c r="K37" s="22" t="e">
        <f>$I37*IF($E37&gt;_xlfn.AGGREGATE(4,6,'KM Data'!$B$6:$B$310),NA(),INDEX('KM Data'!$C$6:$C$310,MATCH($E37,'KM Data'!$B$6:$B$310,1)))</f>
        <v>#N/A</v>
      </c>
      <c r="L37" s="21">
        <f t="shared" si="4"/>
        <v>0.34008232075633349</v>
      </c>
      <c r="M37" s="20">
        <f t="shared" si="7"/>
        <v>2.5287097884384435E-2</v>
      </c>
      <c r="N37" s="21">
        <f t="shared" si="15"/>
        <v>0.34008232075633349</v>
      </c>
      <c r="O37" s="21">
        <f t="shared" si="16"/>
        <v>0.98288625706818666</v>
      </c>
      <c r="P37" s="21">
        <f t="shared" si="17"/>
        <v>0.34008232075633349</v>
      </c>
      <c r="R37" s="22" t="e">
        <f>$I37*IF($E37&gt;_xlfn.AGGREGATE(4,6,'KM Data'!$E$6:$E$205),NA(),INDEX('KM Data'!$F$6:$F$205,MATCH($E37,'KM Data'!$E$6:$E$205,1)))</f>
        <v>#N/A</v>
      </c>
      <c r="S37" s="21">
        <f t="shared" si="5"/>
        <v>0.5615087137350131</v>
      </c>
      <c r="T37" s="8">
        <f t="shared" si="8"/>
        <v>1.4584585090008262E-2</v>
      </c>
      <c r="U37" s="21">
        <f t="shared" si="18"/>
        <v>0.5615087137350131</v>
      </c>
      <c r="V37" s="21">
        <f t="shared" si="19"/>
        <v>0.98288625706818666</v>
      </c>
      <c r="W37" s="21">
        <f t="shared" si="20"/>
        <v>0.5615087137350131</v>
      </c>
      <c r="Y37" s="23">
        <f t="shared" si="9"/>
        <v>0.34008232075633349</v>
      </c>
      <c r="Z37" s="6">
        <f t="shared" si="10"/>
        <v>0.22142639297867961</v>
      </c>
      <c r="AA37" s="6">
        <f t="shared" si="11"/>
        <v>0.4384912862649869</v>
      </c>
      <c r="AB37" s="6">
        <f t="shared" si="12"/>
        <v>1</v>
      </c>
    </row>
    <row r="38" spans="1:28" x14ac:dyDescent="0.35">
      <c r="A38">
        <v>29</v>
      </c>
      <c r="B38" s="17">
        <f t="shared" si="13"/>
        <v>852.25</v>
      </c>
      <c r="C38" s="17">
        <f t="shared" si="6"/>
        <v>882.6875</v>
      </c>
      <c r="D38" s="17">
        <f t="shared" si="14"/>
        <v>867.46875</v>
      </c>
      <c r="E38" s="17">
        <f t="shared" si="0"/>
        <v>28.5</v>
      </c>
      <c r="F38" s="17">
        <f t="shared" si="1"/>
        <v>62.375</v>
      </c>
      <c r="G38" s="21">
        <f>INDEX('Life Tables'!$F$8:$F$123,MATCH(Engine!F38,'Life Tables'!$B$8:$B$123,1))</f>
        <v>6.9510980367959441E-4</v>
      </c>
      <c r="H38" s="8">
        <f t="shared" si="2"/>
        <v>0.93351070036640305</v>
      </c>
      <c r="I38">
        <f t="shared" si="3"/>
        <v>1</v>
      </c>
      <c r="K38" s="22" t="e">
        <f>$I38*IF($E38&gt;_xlfn.AGGREGATE(4,6,'KM Data'!$B$6:$B$310),NA(),INDEX('KM Data'!$C$6:$C$310,MATCH($E38,'KM Data'!$B$6:$B$310,1)))</f>
        <v>#N/A</v>
      </c>
      <c r="L38" s="21">
        <f t="shared" si="4"/>
        <v>0.33148262582261945</v>
      </c>
      <c r="M38" s="20">
        <f t="shared" si="7"/>
        <v>2.4796763935254651E-2</v>
      </c>
      <c r="N38" s="21">
        <f t="shared" si="15"/>
        <v>0.33148262582261945</v>
      </c>
      <c r="O38" s="21">
        <f t="shared" si="16"/>
        <v>0.98220304319499663</v>
      </c>
      <c r="P38" s="21">
        <f t="shared" si="17"/>
        <v>0.33148262582261945</v>
      </c>
      <c r="R38" s="22" t="e">
        <f>$I38*IF($E38&gt;_xlfn.AGGREGATE(4,6,'KM Data'!$E$6:$E$205),NA(),INDEX('KM Data'!$F$6:$F$205,MATCH($E38,'KM Data'!$E$6:$E$205,1)))</f>
        <v>#N/A</v>
      </c>
      <c r="S38" s="21">
        <f t="shared" si="5"/>
        <v>0.55331934212076372</v>
      </c>
      <c r="T38" s="8">
        <f t="shared" si="8"/>
        <v>1.432915236692367E-2</v>
      </c>
      <c r="U38" s="21">
        <f t="shared" si="18"/>
        <v>0.55331934212076372</v>
      </c>
      <c r="V38" s="21">
        <f t="shared" si="19"/>
        <v>0.98220304319499663</v>
      </c>
      <c r="W38" s="21">
        <f t="shared" si="20"/>
        <v>0.55331934212076372</v>
      </c>
      <c r="Y38" s="23">
        <f t="shared" si="9"/>
        <v>0.33148262582261945</v>
      </c>
      <c r="Z38" s="6">
        <f t="shared" si="10"/>
        <v>0.22183671629814428</v>
      </c>
      <c r="AA38" s="6">
        <f t="shared" si="11"/>
        <v>0.44668065787923628</v>
      </c>
      <c r="AB38" s="6">
        <f t="shared" si="12"/>
        <v>1</v>
      </c>
    </row>
    <row r="39" spans="1:28" x14ac:dyDescent="0.35">
      <c r="A39">
        <v>30</v>
      </c>
      <c r="B39" s="17">
        <f t="shared" si="13"/>
        <v>882.6875</v>
      </c>
      <c r="C39" s="17">
        <f t="shared" si="6"/>
        <v>913.125</v>
      </c>
      <c r="D39" s="17">
        <f t="shared" si="14"/>
        <v>897.90625</v>
      </c>
      <c r="E39" s="17">
        <f t="shared" si="0"/>
        <v>29.5</v>
      </c>
      <c r="F39" s="17">
        <f t="shared" si="1"/>
        <v>62.458333333333336</v>
      </c>
      <c r="G39" s="21">
        <f>INDEX('Life Tables'!$F$8:$F$123,MATCH(Engine!F39,'Life Tables'!$B$8:$B$123,1))</f>
        <v>6.9510980367959441E-4</v>
      </c>
      <c r="H39" s="8">
        <f t="shared" si="2"/>
        <v>0.93351070036640305</v>
      </c>
      <c r="I39">
        <f t="shared" si="3"/>
        <v>1</v>
      </c>
      <c r="K39" s="22" t="e">
        <f>$I39*IF($E39&gt;_xlfn.AGGREGATE(4,6,'KM Data'!$B$6:$B$310),NA(),INDEX('KM Data'!$C$6:$C$310,MATCH($E39,'KM Data'!$B$6:$B$310,1)))</f>
        <v>#N/A</v>
      </c>
      <c r="L39" s="21">
        <f t="shared" si="4"/>
        <v>0.32326292940145762</v>
      </c>
      <c r="M39" s="20">
        <f t="shared" si="7"/>
        <v>2.432857866673177E-2</v>
      </c>
      <c r="N39" s="21">
        <f t="shared" si="15"/>
        <v>0.32326292940145762</v>
      </c>
      <c r="O39" s="21">
        <f t="shared" si="16"/>
        <v>0.98152030423046788</v>
      </c>
      <c r="P39" s="21">
        <f t="shared" si="17"/>
        <v>0.32326292940145762</v>
      </c>
      <c r="R39" s="22" t="e">
        <f>$I39*IF($E39&gt;_xlfn.AGGREGATE(4,6,'KM Data'!$E$6:$E$205),NA(),INDEX('KM Data'!$F$6:$F$205,MATCH($E39,'KM Data'!$E$6:$E$205,1)))</f>
        <v>#N/A</v>
      </c>
      <c r="S39" s="21">
        <f t="shared" si="5"/>
        <v>0.54539074495994933</v>
      </c>
      <c r="T39" s="8">
        <f t="shared" si="8"/>
        <v>1.4084441329568098E-2</v>
      </c>
      <c r="U39" s="21">
        <f t="shared" si="18"/>
        <v>0.54539074495994933</v>
      </c>
      <c r="V39" s="21">
        <f t="shared" si="19"/>
        <v>0.98152030423046788</v>
      </c>
      <c r="W39" s="21">
        <f t="shared" si="20"/>
        <v>0.54539074495994933</v>
      </c>
      <c r="Y39" s="23">
        <f t="shared" si="9"/>
        <v>0.32326292940145762</v>
      </c>
      <c r="Z39" s="6">
        <f t="shared" si="10"/>
        <v>0.2221278155584917</v>
      </c>
      <c r="AA39" s="6">
        <f t="shared" si="11"/>
        <v>0.45460925504005067</v>
      </c>
      <c r="AB39" s="6">
        <f t="shared" si="12"/>
        <v>1</v>
      </c>
    </row>
    <row r="40" spans="1:28" x14ac:dyDescent="0.35">
      <c r="A40">
        <v>31</v>
      </c>
      <c r="B40" s="17">
        <f t="shared" si="13"/>
        <v>913.125</v>
      </c>
      <c r="C40" s="17">
        <f t="shared" si="6"/>
        <v>943.5625</v>
      </c>
      <c r="D40" s="17">
        <f t="shared" si="14"/>
        <v>928.34375</v>
      </c>
      <c r="E40" s="17">
        <f t="shared" si="0"/>
        <v>30.5</v>
      </c>
      <c r="F40" s="17">
        <f t="shared" si="1"/>
        <v>62.541666666666664</v>
      </c>
      <c r="G40" s="21">
        <f>INDEX('Life Tables'!$F$8:$F$123,MATCH(Engine!F40,'Life Tables'!$B$8:$B$123,1))</f>
        <v>6.9510980367959441E-4</v>
      </c>
      <c r="H40" s="8">
        <f t="shared" si="2"/>
        <v>0.93351070036640305</v>
      </c>
      <c r="I40">
        <f t="shared" si="3"/>
        <v>1</v>
      </c>
      <c r="K40" s="22" t="e">
        <f>$I40*IF($E40&gt;_xlfn.AGGREGATE(4,6,'KM Data'!$B$6:$B$310),NA(),INDEX('KM Data'!$C$6:$C$310,MATCH($E40,'KM Data'!$B$6:$B$310,1)))</f>
        <v>#N/A</v>
      </c>
      <c r="L40" s="21">
        <f t="shared" si="4"/>
        <v>0.31539840179347611</v>
      </c>
      <c r="M40" s="20">
        <f t="shared" si="7"/>
        <v>2.3880980407118946E-2</v>
      </c>
      <c r="N40" s="21">
        <f t="shared" si="15"/>
        <v>0.31539840179347611</v>
      </c>
      <c r="O40" s="21">
        <f t="shared" si="16"/>
        <v>0.9808380398444867</v>
      </c>
      <c r="P40" s="21">
        <f t="shared" si="17"/>
        <v>0.31539840179347611</v>
      </c>
      <c r="R40" s="22" t="e">
        <f>$I40*IF($E40&gt;_xlfn.AGGREGATE(4,6,'KM Data'!$E$6:$E$205),NA(),INDEX('KM Data'!$F$6:$F$205,MATCH($E40,'KM Data'!$E$6:$E$205,1)))</f>
        <v>#N/A</v>
      </c>
      <c r="S40" s="21">
        <f t="shared" si="5"/>
        <v>0.53770922101087149</v>
      </c>
      <c r="T40" s="8">
        <f t="shared" si="8"/>
        <v>1.3849742653592623E-2</v>
      </c>
      <c r="U40" s="21">
        <f t="shared" si="18"/>
        <v>0.53770922101087149</v>
      </c>
      <c r="V40" s="21">
        <f t="shared" si="19"/>
        <v>0.9808380398444867</v>
      </c>
      <c r="W40" s="21">
        <f t="shared" si="20"/>
        <v>0.53770922101087149</v>
      </c>
      <c r="Y40" s="23">
        <f t="shared" si="9"/>
        <v>0.31539840179347611</v>
      </c>
      <c r="Z40" s="6">
        <f t="shared" si="10"/>
        <v>0.22231081921739537</v>
      </c>
      <c r="AA40" s="6">
        <f t="shared" si="11"/>
        <v>0.46229077898912851</v>
      </c>
      <c r="AB40" s="6">
        <f t="shared" si="12"/>
        <v>1</v>
      </c>
    </row>
    <row r="41" spans="1:28" x14ac:dyDescent="0.35">
      <c r="A41">
        <v>32</v>
      </c>
      <c r="B41" s="17">
        <f t="shared" si="13"/>
        <v>943.5625</v>
      </c>
      <c r="C41" s="17">
        <f t="shared" si="6"/>
        <v>974</v>
      </c>
      <c r="D41" s="17">
        <f t="shared" si="14"/>
        <v>958.78125</v>
      </c>
      <c r="E41" s="17">
        <f t="shared" si="0"/>
        <v>31.5</v>
      </c>
      <c r="F41" s="17">
        <f t="shared" si="1"/>
        <v>62.625</v>
      </c>
      <c r="G41" s="21">
        <f>INDEX('Life Tables'!$F$8:$F$123,MATCH(Engine!F41,'Life Tables'!$B$8:$B$123,1))</f>
        <v>6.9510980367959441E-4</v>
      </c>
      <c r="H41" s="8">
        <f t="shared" si="2"/>
        <v>0.93351070036640305</v>
      </c>
      <c r="I41">
        <f t="shared" si="3"/>
        <v>1</v>
      </c>
      <c r="K41" s="22" t="e">
        <f>$I41*IF($E41&gt;_xlfn.AGGREGATE(4,6,'KM Data'!$B$6:$B$310),NA(),INDEX('KM Data'!$C$6:$C$310,MATCH($E41,'KM Data'!$B$6:$B$310,1)))</f>
        <v>#N/A</v>
      </c>
      <c r="L41" s="21">
        <f t="shared" si="4"/>
        <v>0.30786637873980949</v>
      </c>
      <c r="M41" s="20">
        <f t="shared" si="7"/>
        <v>2.3452555218977045E-2</v>
      </c>
      <c r="N41" s="21">
        <f t="shared" si="15"/>
        <v>0.30786637873980949</v>
      </c>
      <c r="O41" s="21">
        <f t="shared" si="16"/>
        <v>0.98015624970716897</v>
      </c>
      <c r="P41" s="21">
        <f t="shared" si="17"/>
        <v>0.30786637873980949</v>
      </c>
      <c r="R41" s="22" t="e">
        <f>$I41*IF($E41&gt;_xlfn.AGGREGATE(4,6,'KM Data'!$E$6:$E$205),NA(),INDEX('KM Data'!$F$6:$F$205,MATCH($E41,'KM Data'!$E$6:$E$205,1)))</f>
        <v>#N/A</v>
      </c>
      <c r="S41" s="21">
        <f t="shared" si="5"/>
        <v>0.53026208667740715</v>
      </c>
      <c r="T41" s="8">
        <f t="shared" si="8"/>
        <v>1.3624410149595811E-2</v>
      </c>
      <c r="U41" s="21">
        <f t="shared" si="18"/>
        <v>0.53026208667740715</v>
      </c>
      <c r="V41" s="21">
        <f t="shared" si="19"/>
        <v>0.98015624970716897</v>
      </c>
      <c r="W41" s="21">
        <f t="shared" si="20"/>
        <v>0.53026208667740715</v>
      </c>
      <c r="Y41" s="23">
        <f t="shared" si="9"/>
        <v>0.30786637873980949</v>
      </c>
      <c r="Z41" s="6">
        <f t="shared" si="10"/>
        <v>0.22239570793759766</v>
      </c>
      <c r="AA41" s="6">
        <f t="shared" si="11"/>
        <v>0.46973791332259285</v>
      </c>
      <c r="AB41" s="6">
        <f t="shared" si="12"/>
        <v>1</v>
      </c>
    </row>
    <row r="42" spans="1:28" x14ac:dyDescent="0.35">
      <c r="A42">
        <v>33</v>
      </c>
      <c r="B42" s="17">
        <f t="shared" si="13"/>
        <v>974</v>
      </c>
      <c r="C42" s="17">
        <f t="shared" si="6"/>
        <v>1004.4375</v>
      </c>
      <c r="D42" s="17">
        <f t="shared" si="14"/>
        <v>989.21875</v>
      </c>
      <c r="E42" s="17">
        <f t="shared" si="0"/>
        <v>32.5</v>
      </c>
      <c r="F42" s="17">
        <f t="shared" si="1"/>
        <v>62.708333333333336</v>
      </c>
      <c r="G42" s="21">
        <f>INDEX('Life Tables'!$F$8:$F$123,MATCH(Engine!F42,'Life Tables'!$B$8:$B$123,1))</f>
        <v>6.9510980367959441E-4</v>
      </c>
      <c r="H42" s="8">
        <f t="shared" si="2"/>
        <v>0.93351070036640305</v>
      </c>
      <c r="I42">
        <f t="shared" si="3"/>
        <v>1</v>
      </c>
      <c r="K42" s="22" t="e">
        <f>$I42*IF($E42&gt;_xlfn.AGGREGATE(4,6,'KM Data'!$B$6:$B$310),NA(),INDEX('KM Data'!$C$6:$C$310,MATCH($E42,'KM Data'!$B$6:$B$310,1)))</f>
        <v>#N/A</v>
      </c>
      <c r="L42" s="21">
        <f t="shared" si="4"/>
        <v>0.30064612549234759</v>
      </c>
      <c r="M42" s="20">
        <f t="shared" si="7"/>
        <v>2.304201958332508E-2</v>
      </c>
      <c r="N42" s="21">
        <f t="shared" si="15"/>
        <v>0.30064612549234759</v>
      </c>
      <c r="O42" s="21">
        <f t="shared" si="16"/>
        <v>0.97947493348885972</v>
      </c>
      <c r="P42" s="21">
        <f t="shared" si="17"/>
        <v>0.30064612549234759</v>
      </c>
      <c r="R42" s="22" t="e">
        <f>$I42*IF($E42&gt;_xlfn.AGGREGATE(4,6,'KM Data'!$E$6:$E$205),NA(),INDEX('KM Data'!$F$6:$F$205,MATCH($E42,'KM Data'!$E$6:$E$205,1)))</f>
        <v>#N/A</v>
      </c>
      <c r="S42" s="21">
        <f t="shared" si="5"/>
        <v>0.5230375785217336</v>
      </c>
      <c r="T42" s="8">
        <f t="shared" si="8"/>
        <v>1.3407853811663761E-2</v>
      </c>
      <c r="U42" s="21">
        <f t="shared" si="18"/>
        <v>0.5230375785217336</v>
      </c>
      <c r="V42" s="21">
        <f t="shared" si="19"/>
        <v>0.97947493348885972</v>
      </c>
      <c r="W42" s="21">
        <f t="shared" si="20"/>
        <v>0.5230375785217336</v>
      </c>
      <c r="Y42" s="23">
        <f t="shared" si="9"/>
        <v>0.30064612549234759</v>
      </c>
      <c r="Z42" s="6">
        <f t="shared" si="10"/>
        <v>0.22239145302938601</v>
      </c>
      <c r="AA42" s="6">
        <f t="shared" si="11"/>
        <v>0.4769624214782664</v>
      </c>
      <c r="AB42" s="6">
        <f t="shared" si="12"/>
        <v>1</v>
      </c>
    </row>
    <row r="43" spans="1:28" x14ac:dyDescent="0.35">
      <c r="A43">
        <v>34</v>
      </c>
      <c r="B43" s="17">
        <f t="shared" si="13"/>
        <v>1004.4375</v>
      </c>
      <c r="C43" s="17">
        <f t="shared" si="6"/>
        <v>1034.875</v>
      </c>
      <c r="D43" s="17">
        <f t="shared" si="14"/>
        <v>1019.65625</v>
      </c>
      <c r="E43" s="17">
        <f t="shared" si="0"/>
        <v>33.5</v>
      </c>
      <c r="F43" s="17">
        <f t="shared" si="1"/>
        <v>62.791666666666664</v>
      </c>
      <c r="G43" s="21">
        <f>INDEX('Life Tables'!$F$8:$F$123,MATCH(Engine!F43,'Life Tables'!$B$8:$B$123,1))</f>
        <v>6.9510980367959441E-4</v>
      </c>
      <c r="H43" s="8">
        <f t="shared" si="2"/>
        <v>0.93351070036640305</v>
      </c>
      <c r="I43">
        <f t="shared" si="3"/>
        <v>1</v>
      </c>
      <c r="K43" s="22" t="e">
        <f>$I43*IF($E43&gt;_xlfn.AGGREGATE(4,6,'KM Data'!$B$6:$B$310),NA(),INDEX('KM Data'!$C$6:$C$310,MATCH($E43,'KM Data'!$B$6:$B$310,1)))</f>
        <v>#N/A</v>
      </c>
      <c r="L43" s="21">
        <f t="shared" si="4"/>
        <v>0.29371863158110212</v>
      </c>
      <c r="M43" s="20">
        <f t="shared" si="7"/>
        <v>2.2648205477374561E-2</v>
      </c>
      <c r="N43" s="21">
        <f t="shared" si="15"/>
        <v>0.29371863158110212</v>
      </c>
      <c r="O43" s="21">
        <f t="shared" si="16"/>
        <v>0.97879409086013325</v>
      </c>
      <c r="P43" s="21">
        <f t="shared" si="17"/>
        <v>0.29371863158110212</v>
      </c>
      <c r="R43" s="22" t="e">
        <f>$I43*IF($E43&gt;_xlfn.AGGREGATE(4,6,'KM Data'!$E$6:$E$205),NA(),INDEX('KM Data'!$F$6:$F$205,MATCH($E43,'KM Data'!$E$6:$E$205,1)))</f>
        <v>#N/A</v>
      </c>
      <c r="S43" s="21">
        <f t="shared" si="5"/>
        <v>0.51602476713090761</v>
      </c>
      <c r="T43" s="8">
        <f t="shared" si="8"/>
        <v>1.3199533763532001E-2</v>
      </c>
      <c r="U43" s="21">
        <f t="shared" si="18"/>
        <v>0.51602476713090761</v>
      </c>
      <c r="V43" s="21">
        <f t="shared" si="19"/>
        <v>0.97879409086013325</v>
      </c>
      <c r="W43" s="21">
        <f t="shared" si="20"/>
        <v>0.51602476713090761</v>
      </c>
      <c r="Y43" s="23">
        <f t="shared" si="9"/>
        <v>0.29371863158110212</v>
      </c>
      <c r="Z43" s="6">
        <f t="shared" si="10"/>
        <v>0.22230613554980549</v>
      </c>
      <c r="AA43" s="6">
        <f t="shared" si="11"/>
        <v>0.48397523286909239</v>
      </c>
      <c r="AB43" s="6">
        <f t="shared" si="12"/>
        <v>1</v>
      </c>
    </row>
    <row r="44" spans="1:28" x14ac:dyDescent="0.35">
      <c r="A44">
        <v>35</v>
      </c>
      <c r="B44" s="17">
        <f t="shared" si="13"/>
        <v>1034.875</v>
      </c>
      <c r="C44" s="17">
        <f t="shared" si="6"/>
        <v>1065.3125</v>
      </c>
      <c r="D44" s="17">
        <f t="shared" si="14"/>
        <v>1050.09375</v>
      </c>
      <c r="E44" s="17">
        <f t="shared" si="0"/>
        <v>34.5</v>
      </c>
      <c r="F44" s="17">
        <f t="shared" si="1"/>
        <v>62.875</v>
      </c>
      <c r="G44" s="21">
        <f>INDEX('Life Tables'!$F$8:$F$123,MATCH(Engine!F44,'Life Tables'!$B$8:$B$123,1))</f>
        <v>6.9510980367959441E-4</v>
      </c>
      <c r="H44" s="8">
        <f t="shared" si="2"/>
        <v>0.93351070036640305</v>
      </c>
      <c r="I44">
        <f t="shared" si="3"/>
        <v>1</v>
      </c>
      <c r="K44" s="22" t="e">
        <f>$I44*IF($E44&gt;_xlfn.AGGREGATE(4,6,'KM Data'!$B$6:$B$310),NA(),INDEX('KM Data'!$C$6:$C$310,MATCH($E44,'KM Data'!$B$6:$B$310,1)))</f>
        <v>#N/A</v>
      </c>
      <c r="L44" s="21">
        <f t="shared" si="4"/>
        <v>0.28706643166052004</v>
      </c>
      <c r="M44" s="20">
        <f t="shared" si="7"/>
        <v>2.2270047468655907E-2</v>
      </c>
      <c r="N44" s="21">
        <f t="shared" si="15"/>
        <v>0.28706643166052004</v>
      </c>
      <c r="O44" s="21">
        <f t="shared" si="16"/>
        <v>0.97811372149179276</v>
      </c>
      <c r="P44" s="21">
        <f t="shared" si="17"/>
        <v>0.28706643166052004</v>
      </c>
      <c r="R44" s="22" t="e">
        <f>$I44*IF($E44&gt;_xlfn.AGGREGATE(4,6,'KM Data'!$E$6:$E$205),NA(),INDEX('KM Data'!$F$6:$F$205,MATCH($E44,'KM Data'!$E$6:$E$205,1)))</f>
        <v>#N/A</v>
      </c>
      <c r="S44" s="21">
        <f t="shared" si="5"/>
        <v>0.50921348079434448</v>
      </c>
      <c r="T44" s="8">
        <f t="shared" si="8"/>
        <v>1.2998954971631838E-2</v>
      </c>
      <c r="U44" s="21">
        <f t="shared" si="18"/>
        <v>0.50921348079434448</v>
      </c>
      <c r="V44" s="21">
        <f t="shared" si="19"/>
        <v>0.97811372149179276</v>
      </c>
      <c r="W44" s="21">
        <f t="shared" si="20"/>
        <v>0.50921348079434448</v>
      </c>
      <c r="Y44" s="23">
        <f t="shared" si="9"/>
        <v>0.28706643166052004</v>
      </c>
      <c r="Z44" s="6">
        <f t="shared" si="10"/>
        <v>0.22214704913382444</v>
      </c>
      <c r="AA44" s="6">
        <f t="shared" si="11"/>
        <v>0.49078651920565552</v>
      </c>
      <c r="AB44" s="6">
        <f t="shared" si="12"/>
        <v>1</v>
      </c>
    </row>
    <row r="45" spans="1:28" x14ac:dyDescent="0.35">
      <c r="A45">
        <v>36</v>
      </c>
      <c r="B45" s="17">
        <f t="shared" si="13"/>
        <v>1065.3125</v>
      </c>
      <c r="C45" s="17">
        <f t="shared" si="6"/>
        <v>1095.75</v>
      </c>
      <c r="D45" s="17">
        <f t="shared" si="14"/>
        <v>1080.53125</v>
      </c>
      <c r="E45" s="17">
        <f t="shared" si="0"/>
        <v>35.5</v>
      </c>
      <c r="F45" s="17">
        <f t="shared" si="1"/>
        <v>62.958333333333336</v>
      </c>
      <c r="G45" s="21">
        <f>INDEX('Life Tables'!$F$8:$F$123,MATCH(Engine!F45,'Life Tables'!$B$8:$B$123,1))</f>
        <v>6.9510980367959441E-4</v>
      </c>
      <c r="H45" s="8">
        <f t="shared" si="2"/>
        <v>0.90194270566802237</v>
      </c>
      <c r="I45">
        <f t="shared" si="3"/>
        <v>1</v>
      </c>
      <c r="K45" s="22" t="e">
        <f>$I45*IF($E45&gt;_xlfn.AGGREGATE(4,6,'KM Data'!$B$6:$B$310),NA(),INDEX('KM Data'!$C$6:$C$310,MATCH($E45,'KM Data'!$B$6:$B$310,1)))</f>
        <v>#N/A</v>
      </c>
      <c r="L45" s="21">
        <f t="shared" si="4"/>
        <v>0.28067344860078258</v>
      </c>
      <c r="M45" s="20">
        <f t="shared" si="7"/>
        <v>2.1906571514420548E-2</v>
      </c>
      <c r="N45" s="21">
        <f t="shared" si="15"/>
        <v>0.28067344860078258</v>
      </c>
      <c r="O45" s="21">
        <f t="shared" si="16"/>
        <v>0.97743382505487031</v>
      </c>
      <c r="P45" s="21">
        <f t="shared" si="17"/>
        <v>0.28067344860078258</v>
      </c>
      <c r="R45" s="22" t="e">
        <f>$I45*IF($E45&gt;_xlfn.AGGREGATE(4,6,'KM Data'!$E$6:$E$205),NA(),INDEX('KM Data'!$F$6:$F$205,MATCH($E45,'KM Data'!$E$6:$E$205,1)))</f>
        <v>#N/A</v>
      </c>
      <c r="S45" s="21">
        <f t="shared" si="5"/>
        <v>0.50259423768655087</v>
      </c>
      <c r="T45" s="8">
        <f t="shared" si="8"/>
        <v>1.2805662615051894E-2</v>
      </c>
      <c r="U45" s="21">
        <f t="shared" si="18"/>
        <v>0.50259423768655087</v>
      </c>
      <c r="V45" s="21">
        <f t="shared" si="19"/>
        <v>0.97743382505487031</v>
      </c>
      <c r="W45" s="21">
        <f t="shared" si="20"/>
        <v>0.50259423768655087</v>
      </c>
      <c r="Y45" s="23">
        <f t="shared" si="9"/>
        <v>0.28067344860078258</v>
      </c>
      <c r="Z45" s="6">
        <f t="shared" si="10"/>
        <v>0.22192078908576829</v>
      </c>
      <c r="AA45" s="6">
        <f t="shared" si="11"/>
        <v>0.49740576231344913</v>
      </c>
      <c r="AB45" s="6">
        <f t="shared" si="12"/>
        <v>1</v>
      </c>
    </row>
    <row r="46" spans="1:28" x14ac:dyDescent="0.35">
      <c r="A46">
        <v>37</v>
      </c>
      <c r="B46" s="17">
        <f t="shared" si="13"/>
        <v>1095.75</v>
      </c>
      <c r="C46" s="17">
        <f t="shared" si="6"/>
        <v>1126.1875</v>
      </c>
      <c r="D46" s="17">
        <f t="shared" si="14"/>
        <v>1110.96875</v>
      </c>
      <c r="E46" s="17">
        <f t="shared" si="0"/>
        <v>36.5</v>
      </c>
      <c r="F46" s="17">
        <f t="shared" si="1"/>
        <v>63.041666666666664</v>
      </c>
      <c r="G46" s="21">
        <f>INDEX('Life Tables'!$F$8:$F$123,MATCH(Engine!F46,'Life Tables'!$B$8:$B$123,1))</f>
        <v>7.5667374422505596E-4</v>
      </c>
      <c r="H46" s="8">
        <f t="shared" si="2"/>
        <v>0.90194270566802237</v>
      </c>
      <c r="I46">
        <f t="shared" si="3"/>
        <v>1</v>
      </c>
      <c r="K46" s="22" t="e">
        <f>$I46*IF($E46&gt;_xlfn.AGGREGATE(4,6,'KM Data'!$B$6:$B$310),NA(),INDEX('KM Data'!$C$6:$C$310,MATCH($E46,'KM Data'!$B$6:$B$310,1)))</f>
        <v>#N/A</v>
      </c>
      <c r="L46" s="21">
        <f t="shared" si="4"/>
        <v>0.2745248556268105</v>
      </c>
      <c r="M46" s="20">
        <f t="shared" si="7"/>
        <v>2.1556885208675824E-2</v>
      </c>
      <c r="N46" s="21">
        <f t="shared" si="15"/>
        <v>0.2745248556268105</v>
      </c>
      <c r="O46" s="21">
        <f t="shared" si="16"/>
        <v>0.97675440122062662</v>
      </c>
      <c r="P46" s="21">
        <f t="shared" si="17"/>
        <v>0.2745248556268105</v>
      </c>
      <c r="R46" s="22" t="e">
        <f>$I46*IF($E46&gt;_xlfn.AGGREGATE(4,6,'KM Data'!$E$6:$E$205),NA(),INDEX('KM Data'!$F$6:$F$205,MATCH($E46,'KM Data'!$E$6:$E$205,1)))</f>
        <v>#N/A</v>
      </c>
      <c r="S46" s="21">
        <f t="shared" si="5"/>
        <v>0.49615818544646773</v>
      </c>
      <c r="T46" s="8">
        <f t="shared" si="8"/>
        <v>1.2619238019766055E-2</v>
      </c>
      <c r="U46" s="21">
        <f t="shared" si="18"/>
        <v>0.49615818544646773</v>
      </c>
      <c r="V46" s="21">
        <f t="shared" si="19"/>
        <v>0.97675440122062662</v>
      </c>
      <c r="W46" s="21">
        <f t="shared" si="20"/>
        <v>0.49615818544646773</v>
      </c>
      <c r="Y46" s="23">
        <f t="shared" si="9"/>
        <v>0.2745248556268105</v>
      </c>
      <c r="Z46" s="6">
        <f t="shared" si="10"/>
        <v>0.22163332981965722</v>
      </c>
      <c r="AA46" s="6">
        <f t="shared" si="11"/>
        <v>0.50384181455353227</v>
      </c>
      <c r="AB46" s="6">
        <f t="shared" si="12"/>
        <v>1</v>
      </c>
    </row>
    <row r="47" spans="1:28" x14ac:dyDescent="0.35">
      <c r="A47">
        <v>38</v>
      </c>
      <c r="B47" s="17">
        <f t="shared" si="13"/>
        <v>1126.1875</v>
      </c>
      <c r="C47" s="17">
        <f t="shared" si="6"/>
        <v>1156.625</v>
      </c>
      <c r="D47" s="17">
        <f t="shared" si="14"/>
        <v>1141.40625</v>
      </c>
      <c r="E47" s="17">
        <f t="shared" si="0"/>
        <v>37.5</v>
      </c>
      <c r="F47" s="17">
        <f t="shared" si="1"/>
        <v>63.125</v>
      </c>
      <c r="G47" s="21">
        <f>INDEX('Life Tables'!$F$8:$F$123,MATCH(Engine!F47,'Life Tables'!$B$8:$B$123,1))</f>
        <v>7.5667374422505596E-4</v>
      </c>
      <c r="H47" s="8">
        <f t="shared" si="2"/>
        <v>0.90194270566802237</v>
      </c>
      <c r="I47">
        <f t="shared" si="3"/>
        <v>1</v>
      </c>
      <c r="K47" s="22" t="e">
        <f>$I47*IF($E47&gt;_xlfn.AGGREGATE(4,6,'KM Data'!$B$6:$B$310),NA(),INDEX('KM Data'!$C$6:$C$310,MATCH($E47,'KM Data'!$B$6:$B$310,1)))</f>
        <v>#N/A</v>
      </c>
      <c r="L47" s="21">
        <f t="shared" si="4"/>
        <v>0.26860695482713504</v>
      </c>
      <c r="M47" s="20">
        <f t="shared" si="7"/>
        <v>2.1220169262613831E-2</v>
      </c>
      <c r="N47" s="21">
        <f t="shared" si="15"/>
        <v>0.26860695482713504</v>
      </c>
      <c r="O47" s="21">
        <f t="shared" si="16"/>
        <v>0.97601531681066667</v>
      </c>
      <c r="P47" s="21">
        <f t="shared" si="17"/>
        <v>0.26860695482713504</v>
      </c>
      <c r="R47" s="22" t="e">
        <f>$I47*IF($E47&gt;_xlfn.AGGREGATE(4,6,'KM Data'!$E$6:$E$205),NA(),INDEX('KM Data'!$F$6:$F$205,MATCH($E47,'KM Data'!$E$6:$E$205,1)))</f>
        <v>#N/A</v>
      </c>
      <c r="S47" s="21">
        <f t="shared" si="5"/>
        <v>0.48989704720886351</v>
      </c>
      <c r="T47" s="8">
        <f t="shared" si="8"/>
        <v>1.2439295078871426E-2</v>
      </c>
      <c r="U47" s="21">
        <f t="shared" si="18"/>
        <v>0.48989704720886351</v>
      </c>
      <c r="V47" s="21">
        <f t="shared" si="19"/>
        <v>0.97601531681066667</v>
      </c>
      <c r="W47" s="21">
        <f t="shared" si="20"/>
        <v>0.48989704720886351</v>
      </c>
      <c r="Y47" s="23">
        <f t="shared" si="9"/>
        <v>0.26860695482713504</v>
      </c>
      <c r="Z47" s="6">
        <f t="shared" si="10"/>
        <v>0.22129009238172848</v>
      </c>
      <c r="AA47" s="6">
        <f t="shared" si="11"/>
        <v>0.51010295279113649</v>
      </c>
      <c r="AB47" s="6">
        <f t="shared" si="12"/>
        <v>1</v>
      </c>
    </row>
    <row r="48" spans="1:28" x14ac:dyDescent="0.35">
      <c r="A48">
        <v>39</v>
      </c>
      <c r="B48" s="17">
        <f t="shared" si="13"/>
        <v>1156.625</v>
      </c>
      <c r="C48" s="17">
        <f t="shared" si="6"/>
        <v>1187.0625</v>
      </c>
      <c r="D48" s="17">
        <f t="shared" si="14"/>
        <v>1171.84375</v>
      </c>
      <c r="E48" s="17">
        <f t="shared" si="0"/>
        <v>38.5</v>
      </c>
      <c r="F48" s="17">
        <f t="shared" si="1"/>
        <v>63.208333333333336</v>
      </c>
      <c r="G48" s="21">
        <f>INDEX('Life Tables'!$F$8:$F$123,MATCH(Engine!F48,'Life Tables'!$B$8:$B$123,1))</f>
        <v>7.5667374422505596E-4</v>
      </c>
      <c r="H48" s="8">
        <f t="shared" si="2"/>
        <v>0.90194270566802237</v>
      </c>
      <c r="I48">
        <f t="shared" si="3"/>
        <v>1</v>
      </c>
      <c r="K48" s="22" t="e">
        <f>$I48*IF($E48&gt;_xlfn.AGGREGATE(4,6,'KM Data'!$B$6:$B$310),NA(),INDEX('KM Data'!$C$6:$C$310,MATCH($E48,'KM Data'!$B$6:$B$310,1)))</f>
        <v>#N/A</v>
      </c>
      <c r="L48" s="21">
        <f t="shared" si="4"/>
        <v>0.26290706978058798</v>
      </c>
      <c r="M48" s="20">
        <f t="shared" si="7"/>
        <v>2.0895670039641101E-2</v>
      </c>
      <c r="N48" s="21">
        <f t="shared" si="15"/>
        <v>0.26290706978058798</v>
      </c>
      <c r="O48" s="21">
        <f t="shared" si="16"/>
        <v>0.97527679164647452</v>
      </c>
      <c r="P48" s="21">
        <f t="shared" si="17"/>
        <v>0.26290706978058798</v>
      </c>
      <c r="R48" s="22" t="e">
        <f>$I48*IF($E48&gt;_xlfn.AGGREGATE(4,6,'KM Data'!$E$6:$E$205),NA(),INDEX('KM Data'!$F$6:$F$205,MATCH($E48,'KM Data'!$E$6:$E$205,1)))</f>
        <v>#N/A</v>
      </c>
      <c r="S48" s="21">
        <f t="shared" si="5"/>
        <v>0.48380307328036465</v>
      </c>
      <c r="T48" s="8">
        <f t="shared" si="8"/>
        <v>1.2265477092570198E-2</v>
      </c>
      <c r="U48" s="21">
        <f t="shared" si="18"/>
        <v>0.48380307328036465</v>
      </c>
      <c r="V48" s="21">
        <f t="shared" si="19"/>
        <v>0.97527679164647452</v>
      </c>
      <c r="W48" s="21">
        <f t="shared" si="20"/>
        <v>0.48380307328036465</v>
      </c>
      <c r="Y48" s="23">
        <f t="shared" si="9"/>
        <v>0.26290706978058798</v>
      </c>
      <c r="Z48" s="6">
        <f t="shared" si="10"/>
        <v>0.22089600349977667</v>
      </c>
      <c r="AA48" s="6">
        <f t="shared" si="11"/>
        <v>0.51619692671963535</v>
      </c>
      <c r="AB48" s="6">
        <f t="shared" si="12"/>
        <v>1</v>
      </c>
    </row>
    <row r="49" spans="1:28" x14ac:dyDescent="0.35">
      <c r="A49">
        <v>40</v>
      </c>
      <c r="B49" s="17">
        <f t="shared" si="13"/>
        <v>1187.0625</v>
      </c>
      <c r="C49" s="17">
        <f t="shared" si="6"/>
        <v>1217.5</v>
      </c>
      <c r="D49" s="17">
        <f t="shared" si="14"/>
        <v>1202.28125</v>
      </c>
      <c r="E49" s="17">
        <f t="shared" si="0"/>
        <v>39.5</v>
      </c>
      <c r="F49" s="17">
        <f t="shared" si="1"/>
        <v>63.291666666666664</v>
      </c>
      <c r="G49" s="21">
        <f>INDEX('Life Tables'!$F$8:$F$123,MATCH(Engine!F49,'Life Tables'!$B$8:$B$123,1))</f>
        <v>7.5667374422505596E-4</v>
      </c>
      <c r="H49" s="8">
        <f t="shared" si="2"/>
        <v>0.90194270566802237</v>
      </c>
      <c r="I49">
        <f t="shared" si="3"/>
        <v>1</v>
      </c>
      <c r="K49" s="22" t="e">
        <f>$I49*IF($E49&gt;_xlfn.AGGREGATE(4,6,'KM Data'!$B$6:$B$310),NA(),INDEX('KM Data'!$C$6:$C$310,MATCH($E49,'KM Data'!$B$6:$B$310,1)))</f>
        <v>#N/A</v>
      </c>
      <c r="L49" s="21">
        <f t="shared" si="4"/>
        <v>0.25741345039936392</v>
      </c>
      <c r="M49" s="20">
        <f t="shared" si="7"/>
        <v>2.058269299519222E-2</v>
      </c>
      <c r="N49" s="21">
        <f t="shared" si="15"/>
        <v>0.25741345039936392</v>
      </c>
      <c r="O49" s="21">
        <f t="shared" si="16"/>
        <v>0.97453882530488356</v>
      </c>
      <c r="P49" s="21">
        <f t="shared" si="17"/>
        <v>0.25741345039936392</v>
      </c>
      <c r="R49" s="22" t="e">
        <f>$I49*IF($E49&gt;_xlfn.AGGREGATE(4,6,'KM Data'!$E$6:$E$205),NA(),INDEX('KM Data'!$F$6:$F$205,MATCH($E49,'KM Data'!$E$6:$E$205,1)))</f>
        <v>#N/A</v>
      </c>
      <c r="S49" s="21">
        <f t="shared" si="5"/>
        <v>0.47786899776772929</v>
      </c>
      <c r="T49" s="8">
        <f t="shared" si="8"/>
        <v>1.209745397167572E-2</v>
      </c>
      <c r="U49" s="21">
        <f t="shared" si="18"/>
        <v>0.47786899776772929</v>
      </c>
      <c r="V49" s="21">
        <f t="shared" si="19"/>
        <v>0.97453882530488356</v>
      </c>
      <c r="W49" s="21">
        <f t="shared" si="20"/>
        <v>0.47786899776772929</v>
      </c>
      <c r="Y49" s="23">
        <f t="shared" si="9"/>
        <v>0.25741345039936392</v>
      </c>
      <c r="Z49" s="6">
        <f t="shared" si="10"/>
        <v>0.22045554736836537</v>
      </c>
      <c r="AA49" s="6">
        <f t="shared" si="11"/>
        <v>0.52213100223227071</v>
      </c>
      <c r="AB49" s="6">
        <f t="shared" si="12"/>
        <v>1</v>
      </c>
    </row>
    <row r="50" spans="1:28" x14ac:dyDescent="0.35">
      <c r="A50">
        <v>41</v>
      </c>
      <c r="B50" s="17">
        <f t="shared" si="13"/>
        <v>1217.5</v>
      </c>
      <c r="C50" s="17">
        <f t="shared" si="6"/>
        <v>1247.9375</v>
      </c>
      <c r="D50" s="17">
        <f t="shared" si="14"/>
        <v>1232.71875</v>
      </c>
      <c r="E50" s="17">
        <f t="shared" si="0"/>
        <v>40.5</v>
      </c>
      <c r="F50" s="17">
        <f t="shared" si="1"/>
        <v>63.375</v>
      </c>
      <c r="G50" s="21">
        <f>INDEX('Life Tables'!$F$8:$F$123,MATCH(Engine!F50,'Life Tables'!$B$8:$B$123,1))</f>
        <v>7.5667374422505596E-4</v>
      </c>
      <c r="H50" s="8">
        <f t="shared" si="2"/>
        <v>0.90194270566802237</v>
      </c>
      <c r="I50">
        <f t="shared" si="3"/>
        <v>1</v>
      </c>
      <c r="K50" s="22" t="e">
        <f>$I50*IF($E50&gt;_xlfn.AGGREGATE(4,6,'KM Data'!$B$6:$B$310),NA(),INDEX('KM Data'!$C$6:$C$310,MATCH($E50,'KM Data'!$B$6:$B$310,1)))</f>
        <v>#N/A</v>
      </c>
      <c r="L50" s="21">
        <f t="shared" si="4"/>
        <v>0.25211518837696067</v>
      </c>
      <c r="M50" s="20">
        <f t="shared" si="7"/>
        <v>2.0280596895362213E-2</v>
      </c>
      <c r="N50" s="21">
        <f t="shared" si="15"/>
        <v>0.25211518837696067</v>
      </c>
      <c r="O50" s="21">
        <f t="shared" si="16"/>
        <v>0.97380141736304737</v>
      </c>
      <c r="P50" s="21">
        <f t="shared" si="17"/>
        <v>0.25211518837696067</v>
      </c>
      <c r="R50" s="22" t="e">
        <f>$I50*IF($E50&gt;_xlfn.AGGREGATE(4,6,'KM Data'!$E$6:$E$205),NA(),INDEX('KM Data'!$F$6:$F$205,MATCH($E50,'KM Data'!$E$6:$E$205,1)))</f>
        <v>#N/A</v>
      </c>
      <c r="S50" s="21">
        <f t="shared" si="5"/>
        <v>0.47208799956274339</v>
      </c>
      <c r="T50" s="8">
        <f t="shared" si="8"/>
        <v>1.1934919756765083E-2</v>
      </c>
      <c r="U50" s="21">
        <f t="shared" si="18"/>
        <v>0.47208799956274339</v>
      </c>
      <c r="V50" s="21">
        <f t="shared" si="19"/>
        <v>0.97380141736304737</v>
      </c>
      <c r="W50" s="21">
        <f t="shared" si="20"/>
        <v>0.47208799956274339</v>
      </c>
      <c r="Y50" s="23">
        <f t="shared" si="9"/>
        <v>0.25211518837696067</v>
      </c>
      <c r="Z50" s="6">
        <f t="shared" si="10"/>
        <v>0.21997281118578271</v>
      </c>
      <c r="AA50" s="6">
        <f t="shared" si="11"/>
        <v>0.52791200043725661</v>
      </c>
      <c r="AB50" s="6">
        <f t="shared" si="12"/>
        <v>1</v>
      </c>
    </row>
    <row r="51" spans="1:28" x14ac:dyDescent="0.35">
      <c r="A51">
        <v>42</v>
      </c>
      <c r="B51" s="17">
        <f t="shared" si="13"/>
        <v>1247.9375</v>
      </c>
      <c r="C51" s="17">
        <f t="shared" si="6"/>
        <v>1278.375</v>
      </c>
      <c r="D51" s="17">
        <f t="shared" si="14"/>
        <v>1263.15625</v>
      </c>
      <c r="E51" s="17">
        <f t="shared" si="0"/>
        <v>41.5</v>
      </c>
      <c r="F51" s="17">
        <f t="shared" si="1"/>
        <v>63.458333333333336</v>
      </c>
      <c r="G51" s="21">
        <f>INDEX('Life Tables'!$F$8:$F$123,MATCH(Engine!F51,'Life Tables'!$B$8:$B$123,1))</f>
        <v>7.5667374422505596E-4</v>
      </c>
      <c r="H51" s="8">
        <f t="shared" si="2"/>
        <v>0.90194270566802237</v>
      </c>
      <c r="I51">
        <f t="shared" si="3"/>
        <v>1</v>
      </c>
      <c r="K51" s="22" t="e">
        <f>$I51*IF($E51&gt;_xlfn.AGGREGATE(4,6,'KM Data'!$B$6:$B$310),NA(),INDEX('KM Data'!$C$6:$C$310,MATCH($E51,'KM Data'!$B$6:$B$310,1)))</f>
        <v>#N/A</v>
      </c>
      <c r="L51" s="21">
        <f t="shared" si="4"/>
        <v>0.24700214187028924</v>
      </c>
      <c r="M51" s="20">
        <f t="shared" si="7"/>
        <v>1.9988788708063421E-2</v>
      </c>
      <c r="N51" s="21">
        <f t="shared" si="15"/>
        <v>0.24700214187028924</v>
      </c>
      <c r="O51" s="21">
        <f t="shared" si="16"/>
        <v>0.97306456739843961</v>
      </c>
      <c r="P51" s="21">
        <f t="shared" si="17"/>
        <v>0.24700214187028924</v>
      </c>
      <c r="R51" s="22" t="e">
        <f>$I51*IF($E51&gt;_xlfn.AGGREGATE(4,6,'KM Data'!$E$6:$E$205),NA(),INDEX('KM Data'!$F$6:$F$205,MATCH($E51,'KM Data'!$E$6:$E$205,1)))</f>
        <v>#N/A</v>
      </c>
      <c r="S51" s="21">
        <f t="shared" si="5"/>
        <v>0.46645366716983028</v>
      </c>
      <c r="T51" s="8">
        <f t="shared" si="8"/>
        <v>1.1777590412156314E-2</v>
      </c>
      <c r="U51" s="21">
        <f t="shared" si="18"/>
        <v>0.46645366716983028</v>
      </c>
      <c r="V51" s="21">
        <f t="shared" si="19"/>
        <v>0.97306456739843961</v>
      </c>
      <c r="W51" s="21">
        <f t="shared" si="20"/>
        <v>0.46645366716983028</v>
      </c>
      <c r="Y51" s="23">
        <f t="shared" si="9"/>
        <v>0.24700214187028924</v>
      </c>
      <c r="Z51" s="6">
        <f t="shared" si="10"/>
        <v>0.21945152529954104</v>
      </c>
      <c r="AA51" s="6">
        <f t="shared" si="11"/>
        <v>0.53354633283016972</v>
      </c>
      <c r="AB51" s="6">
        <f t="shared" si="12"/>
        <v>1</v>
      </c>
    </row>
    <row r="52" spans="1:28" x14ac:dyDescent="0.35">
      <c r="A52">
        <v>43</v>
      </c>
      <c r="B52" s="17">
        <f t="shared" si="13"/>
        <v>1278.375</v>
      </c>
      <c r="C52" s="17">
        <f t="shared" si="6"/>
        <v>1308.8125</v>
      </c>
      <c r="D52" s="17">
        <f t="shared" si="14"/>
        <v>1293.59375</v>
      </c>
      <c r="E52" s="17">
        <f t="shared" si="0"/>
        <v>42.5</v>
      </c>
      <c r="F52" s="17">
        <f t="shared" si="1"/>
        <v>63.541666666666664</v>
      </c>
      <c r="G52" s="21">
        <f>INDEX('Life Tables'!$F$8:$F$123,MATCH(Engine!F52,'Life Tables'!$B$8:$B$123,1))</f>
        <v>7.5667374422505596E-4</v>
      </c>
      <c r="H52" s="8">
        <f t="shared" si="2"/>
        <v>0.90194270566802237</v>
      </c>
      <c r="I52">
        <f t="shared" si="3"/>
        <v>1</v>
      </c>
      <c r="K52" s="22" t="e">
        <f>$I52*IF($E52&gt;_xlfn.AGGREGATE(4,6,'KM Data'!$B$6:$B$310),NA(),INDEX('KM Data'!$C$6:$C$310,MATCH($E52,'KM Data'!$B$6:$B$310,1)))</f>
        <v>#N/A</v>
      </c>
      <c r="L52" s="21">
        <f t="shared" si="4"/>
        <v>0.24206486824600493</v>
      </c>
      <c r="M52" s="20">
        <f t="shared" si="7"/>
        <v>1.9706719076673873E-2</v>
      </c>
      <c r="N52" s="21">
        <f t="shared" si="15"/>
        <v>0.24206486824600493</v>
      </c>
      <c r="O52" s="21">
        <f t="shared" si="16"/>
        <v>0.97232827498885355</v>
      </c>
      <c r="P52" s="21">
        <f t="shared" si="17"/>
        <v>0.24206486824600493</v>
      </c>
      <c r="R52" s="22" t="e">
        <f>$I52*IF($E52&gt;_xlfn.AGGREGATE(4,6,'KM Data'!$E$6:$E$205),NA(),INDEX('KM Data'!$F$6:$F$205,MATCH($E52,'KM Data'!$E$6:$E$205,1)))</f>
        <v>#N/A</v>
      </c>
      <c r="S52" s="21">
        <f t="shared" si="5"/>
        <v>0.46095996693165575</v>
      </c>
      <c r="T52" s="8">
        <f t="shared" si="8"/>
        <v>1.1625201859755352E-2</v>
      </c>
      <c r="U52" s="21">
        <f t="shared" si="18"/>
        <v>0.46095996693165575</v>
      </c>
      <c r="V52" s="21">
        <f t="shared" si="19"/>
        <v>0.97232827498885355</v>
      </c>
      <c r="W52" s="21">
        <f t="shared" si="20"/>
        <v>0.46095996693165575</v>
      </c>
      <c r="Y52" s="23">
        <f t="shared" si="9"/>
        <v>0.24206486824600493</v>
      </c>
      <c r="Z52" s="6">
        <f t="shared" si="10"/>
        <v>0.21889509868565082</v>
      </c>
      <c r="AA52" s="6">
        <f t="shared" si="11"/>
        <v>0.53904003306834425</v>
      </c>
      <c r="AB52" s="6">
        <f t="shared" si="12"/>
        <v>1</v>
      </c>
    </row>
    <row r="53" spans="1:28" x14ac:dyDescent="0.35">
      <c r="A53">
        <v>44</v>
      </c>
      <c r="B53" s="17">
        <f t="shared" si="13"/>
        <v>1308.8125</v>
      </c>
      <c r="C53" s="17">
        <f t="shared" si="6"/>
        <v>1339.25</v>
      </c>
      <c r="D53" s="17">
        <f t="shared" si="14"/>
        <v>1324.03125</v>
      </c>
      <c r="E53" s="17">
        <f t="shared" si="0"/>
        <v>43.5</v>
      </c>
      <c r="F53" s="17">
        <f t="shared" si="1"/>
        <v>63.625</v>
      </c>
      <c r="G53" s="21">
        <f>INDEX('Life Tables'!$F$8:$F$123,MATCH(Engine!F53,'Life Tables'!$B$8:$B$123,1))</f>
        <v>7.5667374422505596E-4</v>
      </c>
      <c r="H53" s="8">
        <f t="shared" si="2"/>
        <v>0.90194270566802237</v>
      </c>
      <c r="I53">
        <f t="shared" si="3"/>
        <v>1</v>
      </c>
      <c r="K53" s="22" t="e">
        <f>$I53*IF($E53&gt;_xlfn.AGGREGATE(4,6,'KM Data'!$B$6:$B$310),NA(),INDEX('KM Data'!$C$6:$C$310,MATCH($E53,'KM Data'!$B$6:$B$310,1)))</f>
        <v>#N/A</v>
      </c>
      <c r="L53" s="21">
        <f t="shared" si="4"/>
        <v>0.23729456388914882</v>
      </c>
      <c r="M53" s="20">
        <f t="shared" si="7"/>
        <v>1.9433878299730534E-2</v>
      </c>
      <c r="N53" s="21">
        <f t="shared" si="15"/>
        <v>0.23729456388914882</v>
      </c>
      <c r="O53" s="21">
        <f t="shared" si="16"/>
        <v>0.97159253971240189</v>
      </c>
      <c r="P53" s="21">
        <f t="shared" si="17"/>
        <v>0.23729456388914882</v>
      </c>
      <c r="R53" s="22" t="e">
        <f>$I53*IF($E53&gt;_xlfn.AGGREGATE(4,6,'KM Data'!$E$6:$E$205),NA(),INDEX('KM Data'!$F$6:$F$205,MATCH($E53,'KM Data'!$E$6:$E$205,1)))</f>
        <v>#N/A</v>
      </c>
      <c r="S53" s="21">
        <f t="shared" si="5"/>
        <v>0.45560121426680911</v>
      </c>
      <c r="T53" s="8">
        <f t="shared" si="8"/>
        <v>1.1477508222818233E-2</v>
      </c>
      <c r="U53" s="21">
        <f t="shared" si="18"/>
        <v>0.45560121426680911</v>
      </c>
      <c r="V53" s="21">
        <f t="shared" si="19"/>
        <v>0.97159253971240189</v>
      </c>
      <c r="W53" s="21">
        <f t="shared" si="20"/>
        <v>0.45560121426680911</v>
      </c>
      <c r="Y53" s="23">
        <f t="shared" si="9"/>
        <v>0.23729456388914882</v>
      </c>
      <c r="Z53" s="6">
        <f t="shared" si="10"/>
        <v>0.21830665037766028</v>
      </c>
      <c r="AA53" s="6">
        <f t="shared" si="11"/>
        <v>0.54439878573319089</v>
      </c>
      <c r="AB53" s="6">
        <f t="shared" si="12"/>
        <v>1</v>
      </c>
    </row>
    <row r="54" spans="1:28" x14ac:dyDescent="0.35">
      <c r="A54">
        <v>45</v>
      </c>
      <c r="B54" s="17">
        <f t="shared" si="13"/>
        <v>1339.25</v>
      </c>
      <c r="C54" s="17">
        <f t="shared" si="6"/>
        <v>1369.6875</v>
      </c>
      <c r="D54" s="17">
        <f t="shared" si="14"/>
        <v>1354.46875</v>
      </c>
      <c r="E54" s="17">
        <f t="shared" si="0"/>
        <v>44.5</v>
      </c>
      <c r="F54" s="17">
        <f t="shared" si="1"/>
        <v>63.708333333333336</v>
      </c>
      <c r="G54" s="21">
        <f>INDEX('Life Tables'!$F$8:$F$123,MATCH(Engine!F54,'Life Tables'!$B$8:$B$123,1))</f>
        <v>7.5667374422505596E-4</v>
      </c>
      <c r="H54" s="8">
        <f t="shared" si="2"/>
        <v>0.90194270566802237</v>
      </c>
      <c r="I54">
        <f t="shared" si="3"/>
        <v>1</v>
      </c>
      <c r="K54" s="22" t="e">
        <f>$I54*IF($E54&gt;_xlfn.AGGREGATE(4,6,'KM Data'!$B$6:$B$310),NA(),INDEX('KM Data'!$C$6:$C$310,MATCH($E54,'KM Data'!$B$6:$B$310,1)))</f>
        <v>#N/A</v>
      </c>
      <c r="L54" s="21">
        <f t="shared" si="4"/>
        <v>0.23268301021333948</v>
      </c>
      <c r="M54" s="20">
        <f t="shared" si="7"/>
        <v>1.9169792751435155E-2</v>
      </c>
      <c r="N54" s="21">
        <f t="shared" si="15"/>
        <v>0.23268301021333948</v>
      </c>
      <c r="O54" s="21">
        <f t="shared" si="16"/>
        <v>0.97085736114751653</v>
      </c>
      <c r="P54" s="21">
        <f t="shared" si="17"/>
        <v>0.23268301021333948</v>
      </c>
      <c r="R54" s="22" t="e">
        <f>$I54*IF($E54&gt;_xlfn.AGGREGATE(4,6,'KM Data'!$E$6:$E$205),NA(),INDEX('KM Data'!$F$6:$F$205,MATCH($E54,'KM Data'!$E$6:$E$205,1)))</f>
        <v>#N/A</v>
      </c>
      <c r="S54" s="21">
        <f t="shared" si="5"/>
        <v>0.45037204758373584</v>
      </c>
      <c r="T54" s="8">
        <f t="shared" si="8"/>
        <v>1.133428025383032E-2</v>
      </c>
      <c r="U54" s="21">
        <f t="shared" si="18"/>
        <v>0.45037204758373584</v>
      </c>
      <c r="V54" s="21">
        <f t="shared" si="19"/>
        <v>0.97085736114751653</v>
      </c>
      <c r="W54" s="21">
        <f t="shared" si="20"/>
        <v>0.45037204758373584</v>
      </c>
      <c r="Y54" s="23">
        <f t="shared" si="9"/>
        <v>0.23268301021333948</v>
      </c>
      <c r="Z54" s="6">
        <f t="shared" si="10"/>
        <v>0.21768903737039635</v>
      </c>
      <c r="AA54" s="6">
        <f t="shared" si="11"/>
        <v>0.54962795241626416</v>
      </c>
      <c r="AB54" s="6">
        <f t="shared" si="12"/>
        <v>1</v>
      </c>
    </row>
    <row r="55" spans="1:28" x14ac:dyDescent="0.35">
      <c r="A55">
        <v>46</v>
      </c>
      <c r="B55" s="17">
        <f t="shared" si="13"/>
        <v>1369.6875</v>
      </c>
      <c r="C55" s="17">
        <f t="shared" si="6"/>
        <v>1400.125</v>
      </c>
      <c r="D55" s="17">
        <f t="shared" si="14"/>
        <v>1384.90625</v>
      </c>
      <c r="E55" s="17">
        <f t="shared" si="0"/>
        <v>45.5</v>
      </c>
      <c r="F55" s="17">
        <f t="shared" si="1"/>
        <v>63.791666666666664</v>
      </c>
      <c r="G55" s="21">
        <f>INDEX('Life Tables'!$F$8:$F$123,MATCH(Engine!F55,'Life Tables'!$B$8:$B$123,1))</f>
        <v>7.5667374422505596E-4</v>
      </c>
      <c r="H55" s="8">
        <f t="shared" si="2"/>
        <v>0.90194270566802237</v>
      </c>
      <c r="I55">
        <f t="shared" si="3"/>
        <v>1</v>
      </c>
      <c r="K55" s="22" t="e">
        <f>$I55*IF($E55&gt;_xlfn.AGGREGATE(4,6,'KM Data'!$B$6:$B$310),NA(),INDEX('KM Data'!$C$6:$C$310,MATCH($E55,'KM Data'!$B$6:$B$310,1)))</f>
        <v>#N/A</v>
      </c>
      <c r="L55" s="21">
        <f t="shared" si="4"/>
        <v>0.22822252513076968</v>
      </c>
      <c r="M55" s="20">
        <f t="shared" si="7"/>
        <v>1.8914021687288618E-2</v>
      </c>
      <c r="N55" s="21">
        <f t="shared" si="15"/>
        <v>0.22822252513076968</v>
      </c>
      <c r="O55" s="21">
        <f t="shared" si="16"/>
        <v>0.97012273887294853</v>
      </c>
      <c r="P55" s="21">
        <f t="shared" si="17"/>
        <v>0.22822252513076968</v>
      </c>
      <c r="R55" s="22" t="e">
        <f>$I55*IF($E55&gt;_xlfn.AGGREGATE(4,6,'KM Data'!$E$6:$E$205),NA(),INDEX('KM Data'!$F$6:$F$205,MATCH($E55,'KM Data'!$E$6:$E$205,1)))</f>
        <v>#N/A</v>
      </c>
      <c r="S55" s="21">
        <f t="shared" si="5"/>
        <v>0.44526740457793035</v>
      </c>
      <c r="T55" s="8">
        <f t="shared" si="8"/>
        <v>1.1195303924300903E-2</v>
      </c>
      <c r="U55" s="21">
        <f t="shared" si="18"/>
        <v>0.44526740457793035</v>
      </c>
      <c r="V55" s="21">
        <f t="shared" si="19"/>
        <v>0.97012273887294853</v>
      </c>
      <c r="W55" s="21">
        <f t="shared" si="20"/>
        <v>0.44526740457793035</v>
      </c>
      <c r="Y55" s="23">
        <f t="shared" si="9"/>
        <v>0.22822252513076968</v>
      </c>
      <c r="Z55" s="6">
        <f t="shared" si="10"/>
        <v>0.21704487944716067</v>
      </c>
      <c r="AA55" s="6">
        <f t="shared" si="11"/>
        <v>0.55473259542206965</v>
      </c>
      <c r="AB55" s="6">
        <f t="shared" si="12"/>
        <v>1</v>
      </c>
    </row>
    <row r="56" spans="1:28" x14ac:dyDescent="0.35">
      <c r="A56">
        <v>47</v>
      </c>
      <c r="B56" s="17">
        <f t="shared" si="13"/>
        <v>1400.125</v>
      </c>
      <c r="C56" s="17">
        <f t="shared" si="6"/>
        <v>1430.5625</v>
      </c>
      <c r="D56" s="17">
        <f t="shared" si="14"/>
        <v>1415.34375</v>
      </c>
      <c r="E56" s="17">
        <f t="shared" si="0"/>
        <v>46.5</v>
      </c>
      <c r="F56" s="17">
        <f t="shared" si="1"/>
        <v>63.875</v>
      </c>
      <c r="G56" s="21">
        <f>INDEX('Life Tables'!$F$8:$F$123,MATCH(Engine!F56,'Life Tables'!$B$8:$B$123,1))</f>
        <v>7.5667374422505596E-4</v>
      </c>
      <c r="H56" s="8">
        <f t="shared" si="2"/>
        <v>0.90194270566802237</v>
      </c>
      <c r="I56">
        <f t="shared" si="3"/>
        <v>1</v>
      </c>
      <c r="K56" s="22" t="e">
        <f>$I56*IF($E56&gt;_xlfn.AGGREGATE(4,6,'KM Data'!$B$6:$B$310),NA(),INDEX('KM Data'!$C$6:$C$310,MATCH($E56,'KM Data'!$B$6:$B$310,1)))</f>
        <v>#N/A</v>
      </c>
      <c r="L56" s="21">
        <f t="shared" si="4"/>
        <v>0.22390591934091852</v>
      </c>
      <c r="M56" s="20">
        <f t="shared" si="7"/>
        <v>1.8666154387006695E-2</v>
      </c>
      <c r="N56" s="21">
        <f t="shared" si="15"/>
        <v>0.22390591934091852</v>
      </c>
      <c r="O56" s="21">
        <f t="shared" si="16"/>
        <v>0.96938867246776772</v>
      </c>
      <c r="P56" s="21">
        <f t="shared" si="17"/>
        <v>0.22390591934091852</v>
      </c>
      <c r="R56" s="22" t="e">
        <f>$I56*IF($E56&gt;_xlfn.AGGREGATE(4,6,'KM Data'!$E$6:$E$205),NA(),INDEX('KM Data'!$F$6:$F$205,MATCH($E56,'KM Data'!$E$6:$E$205,1)))</f>
        <v>#N/A</v>
      </c>
      <c r="S56" s="21">
        <f t="shared" si="5"/>
        <v>0.44028250065609575</v>
      </c>
      <c r="T56" s="8">
        <f t="shared" si="8"/>
        <v>1.1060379157228462E-2</v>
      </c>
      <c r="U56" s="21">
        <f t="shared" si="18"/>
        <v>0.44028250065609575</v>
      </c>
      <c r="V56" s="21">
        <f t="shared" si="19"/>
        <v>0.96938867246776772</v>
      </c>
      <c r="W56" s="21">
        <f t="shared" si="20"/>
        <v>0.44028250065609575</v>
      </c>
      <c r="Y56" s="23">
        <f t="shared" si="9"/>
        <v>0.22390591934091852</v>
      </c>
      <c r="Z56" s="6">
        <f t="shared" si="10"/>
        <v>0.21637658131517723</v>
      </c>
      <c r="AA56" s="6">
        <f t="shared" si="11"/>
        <v>0.55971749934390425</v>
      </c>
      <c r="AB56" s="6">
        <f t="shared" si="12"/>
        <v>1</v>
      </c>
    </row>
    <row r="57" spans="1:28" x14ac:dyDescent="0.35">
      <c r="A57">
        <v>48</v>
      </c>
      <c r="B57" s="17">
        <f t="shared" si="13"/>
        <v>1430.5625</v>
      </c>
      <c r="C57" s="17">
        <f t="shared" si="6"/>
        <v>1461</v>
      </c>
      <c r="D57" s="17">
        <f t="shared" si="14"/>
        <v>1445.78125</v>
      </c>
      <c r="E57" s="17">
        <f t="shared" si="0"/>
        <v>47.5</v>
      </c>
      <c r="F57" s="17">
        <f t="shared" si="1"/>
        <v>63.958333333333336</v>
      </c>
      <c r="G57" s="21">
        <f>INDEX('Life Tables'!$F$8:$F$123,MATCH(Engine!F57,'Life Tables'!$B$8:$B$123,1))</f>
        <v>7.5667374422505596E-4</v>
      </c>
      <c r="H57" s="8">
        <f t="shared" si="2"/>
        <v>0.87144222769857238</v>
      </c>
      <c r="I57">
        <f t="shared" si="3"/>
        <v>1</v>
      </c>
      <c r="K57" s="22" t="e">
        <f>$I57*IF($E57&gt;_xlfn.AGGREGATE(4,6,'KM Data'!$B$6:$B$310),NA(),INDEX('KM Data'!$C$6:$C$310,MATCH($E57,'KM Data'!$B$6:$B$310,1)))</f>
        <v>#N/A</v>
      </c>
      <c r="L57" s="21">
        <f t="shared" si="4"/>
        <v>0.21972645688233627</v>
      </c>
      <c r="M57" s="20">
        <f t="shared" si="7"/>
        <v>1.8425807593623E-2</v>
      </c>
      <c r="N57" s="21">
        <f t="shared" si="15"/>
        <v>0.21972645688233627</v>
      </c>
      <c r="O57" s="21">
        <f t="shared" si="16"/>
        <v>0.96865516151136222</v>
      </c>
      <c r="P57" s="21">
        <f t="shared" si="17"/>
        <v>0.21972645688233627</v>
      </c>
      <c r="R57" s="22" t="e">
        <f>$I57*IF($E57&gt;_xlfn.AGGREGATE(4,6,'KM Data'!$E$6:$E$205),NA(),INDEX('KM Data'!$F$6:$F$205,MATCH($E57,'KM Data'!$E$6:$E$205,1)))</f>
        <v>#N/A</v>
      </c>
      <c r="S57" s="21">
        <f t="shared" si="5"/>
        <v>0.43541280926254666</v>
      </c>
      <c r="T57" s="8">
        <f t="shared" si="8"/>
        <v>1.092931868561331E-2</v>
      </c>
      <c r="U57" s="21">
        <f t="shared" si="18"/>
        <v>0.43541280926254666</v>
      </c>
      <c r="V57" s="21">
        <f t="shared" si="19"/>
        <v>0.96865516151136222</v>
      </c>
      <c r="W57" s="21">
        <f t="shared" si="20"/>
        <v>0.43541280926254666</v>
      </c>
      <c r="Y57" s="23">
        <f t="shared" si="9"/>
        <v>0.21972645688233627</v>
      </c>
      <c r="Z57" s="6">
        <f t="shared" si="10"/>
        <v>0.21568635238021039</v>
      </c>
      <c r="AA57" s="6">
        <f t="shared" si="11"/>
        <v>0.56458719073745334</v>
      </c>
      <c r="AB57" s="6">
        <f t="shared" si="12"/>
        <v>1</v>
      </c>
    </row>
    <row r="58" spans="1:28" x14ac:dyDescent="0.35">
      <c r="A58">
        <v>49</v>
      </c>
      <c r="B58" s="17">
        <f t="shared" si="13"/>
        <v>1461</v>
      </c>
      <c r="C58" s="17">
        <f t="shared" si="6"/>
        <v>1491.4375</v>
      </c>
      <c r="D58" s="17">
        <f t="shared" si="14"/>
        <v>1476.21875</v>
      </c>
      <c r="E58" s="17">
        <f t="shared" si="0"/>
        <v>48.5</v>
      </c>
      <c r="F58" s="17">
        <f t="shared" si="1"/>
        <v>64.041666666666671</v>
      </c>
      <c r="G58" s="21">
        <f>INDEX('Life Tables'!$F$8:$F$123,MATCH(Engine!F58,'Life Tables'!$B$8:$B$123,1))</f>
        <v>8.3153300758564974E-4</v>
      </c>
      <c r="H58" s="8">
        <f t="shared" si="2"/>
        <v>0.87144222769857238</v>
      </c>
      <c r="I58">
        <f t="shared" si="3"/>
        <v>1</v>
      </c>
      <c r="K58" s="22" t="e">
        <f>$I58*IF($E58&gt;_xlfn.AGGREGATE(4,6,'KM Data'!$B$6:$B$310),NA(),INDEX('KM Data'!$C$6:$C$310,MATCH($E58,'KM Data'!$B$6:$B$310,1)))</f>
        <v>#N/A</v>
      </c>
      <c r="L58" s="21">
        <f t="shared" si="4"/>
        <v>0.21567781946459386</v>
      </c>
      <c r="M58" s="20">
        <f t="shared" si="7"/>
        <v>1.8192623213331482E-2</v>
      </c>
      <c r="N58" s="21">
        <f t="shared" si="15"/>
        <v>0.21567781946459386</v>
      </c>
      <c r="O58" s="21">
        <f t="shared" si="16"/>
        <v>0.96792220558343844</v>
      </c>
      <c r="P58" s="21">
        <f t="shared" si="17"/>
        <v>0.21567781946459386</v>
      </c>
      <c r="R58" s="22" t="e">
        <f>$I58*IF($E58&gt;_xlfn.AGGREGATE(4,6,'KM Data'!$E$6:$E$205),NA(),INDEX('KM Data'!$F$6:$F$205,MATCH($E58,'KM Data'!$E$6:$E$205,1)))</f>
        <v>#N/A</v>
      </c>
      <c r="S58" s="21">
        <f t="shared" si="5"/>
        <v>0.43065404391031814</v>
      </c>
      <c r="T58" s="8">
        <f t="shared" si="8"/>
        <v>1.0801947022534342E-2</v>
      </c>
      <c r="U58" s="21">
        <f t="shared" si="18"/>
        <v>0.43065404391031814</v>
      </c>
      <c r="V58" s="21">
        <f t="shared" si="19"/>
        <v>0.96792220558343844</v>
      </c>
      <c r="W58" s="21">
        <f t="shared" si="20"/>
        <v>0.43065404391031814</v>
      </c>
      <c r="Y58" s="23">
        <f t="shared" si="9"/>
        <v>0.21567781946459386</v>
      </c>
      <c r="Z58" s="6">
        <f t="shared" si="10"/>
        <v>0.21497622444572428</v>
      </c>
      <c r="AA58" s="6">
        <f t="shared" si="11"/>
        <v>0.56934595608968186</v>
      </c>
      <c r="AB58" s="6">
        <f t="shared" si="12"/>
        <v>1</v>
      </c>
    </row>
    <row r="59" spans="1:28" x14ac:dyDescent="0.35">
      <c r="A59">
        <v>50</v>
      </c>
      <c r="B59" s="17">
        <f t="shared" si="13"/>
        <v>1491.4375</v>
      </c>
      <c r="C59" s="17">
        <f t="shared" si="6"/>
        <v>1521.875</v>
      </c>
      <c r="D59" s="17">
        <f t="shared" si="14"/>
        <v>1506.65625</v>
      </c>
      <c r="E59" s="17">
        <f t="shared" si="0"/>
        <v>49.5</v>
      </c>
      <c r="F59" s="17">
        <f t="shared" si="1"/>
        <v>64.125</v>
      </c>
      <c r="G59" s="21">
        <f>INDEX('Life Tables'!$F$8:$F$123,MATCH(Engine!F59,'Life Tables'!$B$8:$B$123,1))</f>
        <v>8.3153300758564974E-4</v>
      </c>
      <c r="H59" s="8">
        <f t="shared" si="2"/>
        <v>0.87144222769857238</v>
      </c>
      <c r="I59">
        <f t="shared" si="3"/>
        <v>1</v>
      </c>
      <c r="K59" s="22" t="e">
        <f>$I59*IF($E59&gt;_xlfn.AGGREGATE(4,6,'KM Data'!$B$6:$B$310),NA(),INDEX('KM Data'!$C$6:$C$310,MATCH($E59,'KM Data'!$B$6:$B$310,1)))</f>
        <v>#N/A</v>
      </c>
      <c r="L59" s="21">
        <f t="shared" si="4"/>
        <v>0.21175407415960157</v>
      </c>
      <c r="M59" s="20">
        <f t="shared" si="7"/>
        <v>1.7966266245348805E-2</v>
      </c>
      <c r="N59" s="21">
        <f t="shared" si="15"/>
        <v>0.21175407415960157</v>
      </c>
      <c r="O59" s="21">
        <f t="shared" si="16"/>
        <v>0.96711734632072066</v>
      </c>
      <c r="P59" s="21">
        <f t="shared" si="17"/>
        <v>0.21175407415960157</v>
      </c>
      <c r="R59" s="22" t="e">
        <f>$I59*IF($E59&gt;_xlfn.AGGREGATE(4,6,'KM Data'!$E$6:$E$205),NA(),INDEX('KM Data'!$F$6:$F$205,MATCH($E59,'KM Data'!$E$6:$E$205,1)))</f>
        <v>#N/A</v>
      </c>
      <c r="S59" s="21">
        <f t="shared" si="5"/>
        <v>0.4260021417429587</v>
      </c>
      <c r="T59" s="8">
        <f t="shared" si="8"/>
        <v>1.0678099530199048E-2</v>
      </c>
      <c r="U59" s="21">
        <f t="shared" si="18"/>
        <v>0.4260021417429587</v>
      </c>
      <c r="V59" s="21">
        <f t="shared" si="19"/>
        <v>0.96711734632072066</v>
      </c>
      <c r="W59" s="21">
        <f t="shared" si="20"/>
        <v>0.4260021417429587</v>
      </c>
      <c r="Y59" s="23">
        <f t="shared" si="9"/>
        <v>0.21175407415960157</v>
      </c>
      <c r="Z59" s="6">
        <f t="shared" si="10"/>
        <v>0.21424806758335713</v>
      </c>
      <c r="AA59" s="6">
        <f t="shared" si="11"/>
        <v>0.5739978582570413</v>
      </c>
      <c r="AB59" s="6">
        <f t="shared" si="12"/>
        <v>1</v>
      </c>
    </row>
    <row r="60" spans="1:28" x14ac:dyDescent="0.35">
      <c r="A60">
        <v>51</v>
      </c>
      <c r="B60" s="17">
        <f t="shared" si="13"/>
        <v>1521.875</v>
      </c>
      <c r="C60" s="17">
        <f t="shared" si="6"/>
        <v>1552.3125</v>
      </c>
      <c r="D60" s="17">
        <f t="shared" si="14"/>
        <v>1537.09375</v>
      </c>
      <c r="E60" s="17">
        <f t="shared" si="0"/>
        <v>50.5</v>
      </c>
      <c r="F60" s="17">
        <f t="shared" si="1"/>
        <v>64.208333333333329</v>
      </c>
      <c r="G60" s="21">
        <f>INDEX('Life Tables'!$F$8:$F$123,MATCH(Engine!F60,'Life Tables'!$B$8:$B$123,1))</f>
        <v>8.3153300758564974E-4</v>
      </c>
      <c r="H60" s="8">
        <f t="shared" si="2"/>
        <v>0.87144222769857238</v>
      </c>
      <c r="I60">
        <f t="shared" si="3"/>
        <v>1</v>
      </c>
      <c r="K60" s="22" t="e">
        <f>$I60*IF($E60&gt;_xlfn.AGGREGATE(4,6,'KM Data'!$B$6:$B$310),NA(),INDEX('KM Data'!$C$6:$C$310,MATCH($E60,'KM Data'!$B$6:$B$310,1)))</f>
        <v>#N/A</v>
      </c>
      <c r="L60" s="21">
        <f t="shared" si="4"/>
        <v>0.20794964408471284</v>
      </c>
      <c r="M60" s="20">
        <f t="shared" si="7"/>
        <v>1.7746422915253524E-2</v>
      </c>
      <c r="N60" s="21">
        <f t="shared" si="15"/>
        <v>0.20794964408471284</v>
      </c>
      <c r="O60" s="21">
        <f t="shared" si="16"/>
        <v>0.96631315632504633</v>
      </c>
      <c r="P60" s="21">
        <f t="shared" si="17"/>
        <v>0.20794964408471284</v>
      </c>
      <c r="R60" s="22" t="e">
        <f>$I60*IF($E60&gt;_xlfn.AGGREGATE(4,6,'KM Data'!$E$6:$E$205),NA(),INDEX('KM Data'!$F$6:$F$205,MATCH($E60,'KM Data'!$E$6:$E$205,1)))</f>
        <v>#N/A</v>
      </c>
      <c r="S60" s="21">
        <f t="shared" si="5"/>
        <v>0.42145324847334942</v>
      </c>
      <c r="T60" s="8">
        <f t="shared" si="8"/>
        <v>1.0557621576979592E-2</v>
      </c>
      <c r="U60" s="21">
        <f t="shared" si="18"/>
        <v>0.42145324847334942</v>
      </c>
      <c r="V60" s="21">
        <f t="shared" si="19"/>
        <v>0.96631315632504633</v>
      </c>
      <c r="W60" s="21">
        <f t="shared" si="20"/>
        <v>0.42145324847334942</v>
      </c>
      <c r="Y60" s="23">
        <f t="shared" si="9"/>
        <v>0.20794964408471284</v>
      </c>
      <c r="Z60" s="6">
        <f t="shared" si="10"/>
        <v>0.21350360438863658</v>
      </c>
      <c r="AA60" s="6">
        <f t="shared" si="11"/>
        <v>0.57854675152665058</v>
      </c>
      <c r="AB60" s="6">
        <f t="shared" si="12"/>
        <v>1</v>
      </c>
    </row>
    <row r="61" spans="1:28" x14ac:dyDescent="0.35">
      <c r="A61">
        <v>52</v>
      </c>
      <c r="B61" s="17">
        <f t="shared" si="13"/>
        <v>1552.3125</v>
      </c>
      <c r="C61" s="17">
        <f t="shared" si="6"/>
        <v>1582.75</v>
      </c>
      <c r="D61" s="17">
        <f t="shared" si="14"/>
        <v>1567.53125</v>
      </c>
      <c r="E61" s="17">
        <f t="shared" si="0"/>
        <v>51.5</v>
      </c>
      <c r="F61" s="17">
        <f t="shared" si="1"/>
        <v>64.291666666666671</v>
      </c>
      <c r="G61" s="21">
        <f>INDEX('Life Tables'!$F$8:$F$123,MATCH(Engine!F61,'Life Tables'!$B$8:$B$123,1))</f>
        <v>8.3153300758564974E-4</v>
      </c>
      <c r="H61" s="8">
        <f t="shared" si="2"/>
        <v>0.87144222769857238</v>
      </c>
      <c r="I61">
        <f t="shared" si="3"/>
        <v>1</v>
      </c>
      <c r="K61" s="22" t="e">
        <f>$I61*IF($E61&gt;_xlfn.AGGREGATE(4,6,'KM Data'!$B$6:$B$310),NA(),INDEX('KM Data'!$C$6:$C$310,MATCH($E61,'KM Data'!$B$6:$B$310,1)))</f>
        <v>#N/A</v>
      </c>
      <c r="L61" s="21">
        <f t="shared" si="4"/>
        <v>0.20425928175570907</v>
      </c>
      <c r="M61" s="20">
        <f t="shared" si="7"/>
        <v>1.7532798988627918E-2</v>
      </c>
      <c r="N61" s="21">
        <f t="shared" si="15"/>
        <v>0.20425928175570907</v>
      </c>
      <c r="O61" s="21">
        <f t="shared" si="16"/>
        <v>0.96550963503989773</v>
      </c>
      <c r="P61" s="21">
        <f t="shared" si="17"/>
        <v>0.20425928175570907</v>
      </c>
      <c r="R61" s="22" t="e">
        <f>$I61*IF($E61&gt;_xlfn.AGGREGATE(4,6,'KM Data'!$E$6:$E$205),NA(),INDEX('KM Data'!$F$6:$F$205,MATCH($E61,'KM Data'!$E$6:$E$205,1)))</f>
        <v>#N/A</v>
      </c>
      <c r="S61" s="21">
        <f t="shared" si="5"/>
        <v>0.41700370456357905</v>
      </c>
      <c r="T61" s="8">
        <f t="shared" si="8"/>
        <v>1.0440367772806769E-2</v>
      </c>
      <c r="U61" s="21">
        <f t="shared" si="18"/>
        <v>0.41700370456357905</v>
      </c>
      <c r="V61" s="21">
        <f t="shared" si="19"/>
        <v>0.96550963503989773</v>
      </c>
      <c r="W61" s="21">
        <f t="shared" si="20"/>
        <v>0.41700370456357905</v>
      </c>
      <c r="Y61" s="23">
        <f t="shared" si="9"/>
        <v>0.20425928175570907</v>
      </c>
      <c r="Z61" s="6">
        <f t="shared" si="10"/>
        <v>0.21274442280786998</v>
      </c>
      <c r="AA61" s="6">
        <f t="shared" si="11"/>
        <v>0.58299629543642095</v>
      </c>
      <c r="AB61" s="6">
        <f t="shared" si="12"/>
        <v>1</v>
      </c>
    </row>
    <row r="62" spans="1:28" x14ac:dyDescent="0.35">
      <c r="A62">
        <v>53</v>
      </c>
      <c r="B62" s="17">
        <f t="shared" si="13"/>
        <v>1582.75</v>
      </c>
      <c r="C62" s="17">
        <f t="shared" si="6"/>
        <v>1613.1875</v>
      </c>
      <c r="D62" s="17">
        <f t="shared" si="14"/>
        <v>1597.96875</v>
      </c>
      <c r="E62" s="17">
        <f t="shared" si="0"/>
        <v>52.5</v>
      </c>
      <c r="F62" s="17">
        <f t="shared" si="1"/>
        <v>64.375</v>
      </c>
      <c r="G62" s="21">
        <f>INDEX('Life Tables'!$F$8:$F$123,MATCH(Engine!F62,'Life Tables'!$B$8:$B$123,1))</f>
        <v>8.3153300758564974E-4</v>
      </c>
      <c r="H62" s="8">
        <f t="shared" si="2"/>
        <v>0.87144222769857238</v>
      </c>
      <c r="I62">
        <f t="shared" si="3"/>
        <v>1</v>
      </c>
      <c r="K62" s="22" t="e">
        <f>$I62*IF($E62&gt;_xlfn.AGGREGATE(4,6,'KM Data'!$B$6:$B$310),NA(),INDEX('KM Data'!$C$6:$C$310,MATCH($E62,'KM Data'!$B$6:$B$310,1)))</f>
        <v>#N/A</v>
      </c>
      <c r="L62" s="21">
        <f t="shared" si="4"/>
        <v>0.2006780448271247</v>
      </c>
      <c r="M62" s="20">
        <f t="shared" si="7"/>
        <v>1.7325118244878257E-2</v>
      </c>
      <c r="N62" s="21">
        <f t="shared" si="15"/>
        <v>0.2006780448271247</v>
      </c>
      <c r="O62" s="21">
        <f t="shared" si="16"/>
        <v>0.9647067819092201</v>
      </c>
      <c r="P62" s="21">
        <f t="shared" si="17"/>
        <v>0.2006780448271247</v>
      </c>
      <c r="R62" s="22" t="e">
        <f>$I62*IF($E62&gt;_xlfn.AGGREGATE(4,6,'KM Data'!$E$6:$E$205),NA(),INDEX('KM Data'!$F$6:$F$205,MATCH($E62,'KM Data'!$E$6:$E$205,1)))</f>
        <v>#N/A</v>
      </c>
      <c r="S62" s="21">
        <f t="shared" si="5"/>
        <v>0.4126500325253124</v>
      </c>
      <c r="T62" s="8">
        <f t="shared" si="8"/>
        <v>1.0326201274505231E-2</v>
      </c>
      <c r="U62" s="21">
        <f t="shared" si="18"/>
        <v>0.4126500325253124</v>
      </c>
      <c r="V62" s="21">
        <f t="shared" si="19"/>
        <v>0.9647067819092201</v>
      </c>
      <c r="W62" s="21">
        <f t="shared" si="20"/>
        <v>0.4126500325253124</v>
      </c>
      <c r="Y62" s="23">
        <f t="shared" si="9"/>
        <v>0.2006780448271247</v>
      </c>
      <c r="Z62" s="6">
        <f t="shared" si="10"/>
        <v>0.2119719876981877</v>
      </c>
      <c r="AA62" s="6">
        <f t="shared" si="11"/>
        <v>0.5873499674746876</v>
      </c>
      <c r="AB62" s="6">
        <f t="shared" si="12"/>
        <v>1</v>
      </c>
    </row>
    <row r="63" spans="1:28" x14ac:dyDescent="0.35">
      <c r="A63">
        <v>54</v>
      </c>
      <c r="B63" s="17">
        <f t="shared" si="13"/>
        <v>1613.1875</v>
      </c>
      <c r="C63" s="17">
        <f t="shared" si="6"/>
        <v>1643.625</v>
      </c>
      <c r="D63" s="17">
        <f t="shared" si="14"/>
        <v>1628.40625</v>
      </c>
      <c r="E63" s="17">
        <f t="shared" si="0"/>
        <v>53.5</v>
      </c>
      <c r="F63" s="17">
        <f t="shared" si="1"/>
        <v>64.458333333333329</v>
      </c>
      <c r="G63" s="21">
        <f>INDEX('Life Tables'!$F$8:$F$123,MATCH(Engine!F63,'Life Tables'!$B$8:$B$123,1))</f>
        <v>8.3153300758564974E-4</v>
      </c>
      <c r="H63" s="8">
        <f t="shared" si="2"/>
        <v>0.87144222769857238</v>
      </c>
      <c r="I63">
        <f t="shared" si="3"/>
        <v>1</v>
      </c>
      <c r="K63" s="22" t="e">
        <f>$I63*IF($E63&gt;_xlfn.AGGREGATE(4,6,'KM Data'!$B$6:$B$310),NA(),INDEX('KM Data'!$C$6:$C$310,MATCH($E63,'KM Data'!$B$6:$B$310,1)))</f>
        <v>#N/A</v>
      </c>
      <c r="L63" s="21">
        <f t="shared" si="4"/>
        <v>0.19720127397134379</v>
      </c>
      <c r="M63" s="20">
        <f t="shared" si="7"/>
        <v>1.7123121093604809E-2</v>
      </c>
      <c r="N63" s="21">
        <f t="shared" si="15"/>
        <v>0.19720127397134379</v>
      </c>
      <c r="O63" s="21">
        <f t="shared" si="16"/>
        <v>0.96390459637742087</v>
      </c>
      <c r="P63" s="21">
        <f t="shared" si="17"/>
        <v>0.19720127397134379</v>
      </c>
      <c r="R63" s="22" t="e">
        <f>$I63*IF($E63&gt;_xlfn.AGGREGATE(4,6,'KM Data'!$E$6:$E$205),NA(),INDEX('KM Data'!$F$6:$F$205,MATCH($E63,'KM Data'!$E$6:$E$205,1)))</f>
        <v>#N/A</v>
      </c>
      <c r="S63" s="21">
        <f t="shared" si="5"/>
        <v>0.40838892523352488</v>
      </c>
      <c r="T63" s="8">
        <f t="shared" si="8"/>
        <v>1.0214993153654928E-2</v>
      </c>
      <c r="U63" s="21">
        <f t="shared" si="18"/>
        <v>0.40838892523352488</v>
      </c>
      <c r="V63" s="21">
        <f t="shared" si="19"/>
        <v>0.96390459637742087</v>
      </c>
      <c r="W63" s="21">
        <f t="shared" si="20"/>
        <v>0.40838892523352488</v>
      </c>
      <c r="Y63" s="23">
        <f t="shared" si="9"/>
        <v>0.19720127397134379</v>
      </c>
      <c r="Z63" s="6">
        <f t="shared" si="10"/>
        <v>0.21118765126218109</v>
      </c>
      <c r="AA63" s="6">
        <f t="shared" si="11"/>
        <v>0.59161107476647512</v>
      </c>
      <c r="AB63" s="6">
        <f t="shared" si="12"/>
        <v>1</v>
      </c>
    </row>
    <row r="64" spans="1:28" x14ac:dyDescent="0.35">
      <c r="A64">
        <v>55</v>
      </c>
      <c r="B64" s="17">
        <f t="shared" si="13"/>
        <v>1643.625</v>
      </c>
      <c r="C64" s="17">
        <f t="shared" si="6"/>
        <v>1674.0625</v>
      </c>
      <c r="D64" s="17">
        <f t="shared" si="14"/>
        <v>1658.84375</v>
      </c>
      <c r="E64" s="17">
        <f t="shared" si="0"/>
        <v>54.5</v>
      </c>
      <c r="F64" s="17">
        <f t="shared" si="1"/>
        <v>64.541666666666671</v>
      </c>
      <c r="G64" s="21">
        <f>INDEX('Life Tables'!$F$8:$F$123,MATCH(Engine!F64,'Life Tables'!$B$8:$B$123,1))</f>
        <v>8.3153300758564974E-4</v>
      </c>
      <c r="H64" s="8">
        <f t="shared" si="2"/>
        <v>0.87144222769857238</v>
      </c>
      <c r="I64">
        <f t="shared" si="3"/>
        <v>1</v>
      </c>
      <c r="K64" s="22" t="e">
        <f>$I64*IF($E64&gt;_xlfn.AGGREGATE(4,6,'KM Data'!$B$6:$B$310),NA(),INDEX('KM Data'!$C$6:$C$310,MATCH($E64,'KM Data'!$B$6:$B$310,1)))</f>
        <v>#N/A</v>
      </c>
      <c r="L64" s="21">
        <f t="shared" si="4"/>
        <v>0.19382457267731934</v>
      </c>
      <c r="M64" s="20">
        <f t="shared" si="7"/>
        <v>1.6926563318117926E-2</v>
      </c>
      <c r="N64" s="21">
        <f t="shared" si="15"/>
        <v>0.19382457267731934</v>
      </c>
      <c r="O64" s="21">
        <f t="shared" si="16"/>
        <v>0.96310307788936955</v>
      </c>
      <c r="P64" s="21">
        <f t="shared" si="17"/>
        <v>0.19382457267731934</v>
      </c>
      <c r="R64" s="22" t="e">
        <f>$I64*IF($E64&gt;_xlfn.AGGREGATE(4,6,'KM Data'!$E$6:$E$205),NA(),INDEX('KM Data'!$F$6:$F$205,MATCH($E64,'KM Data'!$E$6:$E$205,1)))</f>
        <v>#N/A</v>
      </c>
      <c r="S64" s="21">
        <f t="shared" si="5"/>
        <v>0.40421723515823593</v>
      </c>
      <c r="T64" s="8">
        <f t="shared" si="8"/>
        <v>1.0106621820464512E-2</v>
      </c>
      <c r="U64" s="21">
        <f t="shared" si="18"/>
        <v>0.40421723515823593</v>
      </c>
      <c r="V64" s="21">
        <f t="shared" si="19"/>
        <v>0.96310307788936955</v>
      </c>
      <c r="W64" s="21">
        <f t="shared" si="20"/>
        <v>0.40421723515823593</v>
      </c>
      <c r="Y64" s="23">
        <f t="shared" si="9"/>
        <v>0.19382457267731934</v>
      </c>
      <c r="Z64" s="6">
        <f t="shared" si="10"/>
        <v>0.21039266248091659</v>
      </c>
      <c r="AA64" s="6">
        <f t="shared" si="11"/>
        <v>0.59578276484176407</v>
      </c>
      <c r="AB64" s="6">
        <f t="shared" si="12"/>
        <v>1</v>
      </c>
    </row>
    <row r="65" spans="1:28" x14ac:dyDescent="0.35">
      <c r="A65">
        <v>56</v>
      </c>
      <c r="B65" s="17">
        <f t="shared" si="13"/>
        <v>1674.0625</v>
      </c>
      <c r="C65" s="17">
        <f t="shared" si="6"/>
        <v>1704.5</v>
      </c>
      <c r="D65" s="17">
        <f t="shared" si="14"/>
        <v>1689.28125</v>
      </c>
      <c r="E65" s="17">
        <f t="shared" si="0"/>
        <v>55.5</v>
      </c>
      <c r="F65" s="17">
        <f t="shared" si="1"/>
        <v>64.625</v>
      </c>
      <c r="G65" s="21">
        <f>INDEX('Life Tables'!$F$8:$F$123,MATCH(Engine!F65,'Life Tables'!$B$8:$B$123,1))</f>
        <v>8.3153300758564974E-4</v>
      </c>
      <c r="H65" s="8">
        <f t="shared" si="2"/>
        <v>0.87144222769857238</v>
      </c>
      <c r="I65">
        <f t="shared" si="3"/>
        <v>1</v>
      </c>
      <c r="K65" s="22" t="e">
        <f>$I65*IF($E65&gt;_xlfn.AGGREGATE(4,6,'KM Data'!$B$6:$B$310),NA(),INDEX('KM Data'!$C$6:$C$310,MATCH($E65,'KM Data'!$B$6:$B$310,1)))</f>
        <v>#N/A</v>
      </c>
      <c r="L65" s="21">
        <f t="shared" si="4"/>
        <v>0.19054378877528955</v>
      </c>
      <c r="M65" s="20">
        <f t="shared" si="7"/>
        <v>1.673521493255703E-2</v>
      </c>
      <c r="N65" s="21">
        <f t="shared" si="15"/>
        <v>0.19054378877528955</v>
      </c>
      <c r="O65" s="21">
        <f t="shared" si="16"/>
        <v>0.96230222589039716</v>
      </c>
      <c r="P65" s="21">
        <f t="shared" si="17"/>
        <v>0.19054378877528955</v>
      </c>
      <c r="R65" s="22" t="e">
        <f>$I65*IF($E65&gt;_xlfn.AGGREGATE(4,6,'KM Data'!$E$6:$E$205),NA(),INDEX('KM Data'!$F$6:$F$205,MATCH($E65,'KM Data'!$E$6:$E$205,1)))</f>
        <v>#N/A</v>
      </c>
      <c r="S65" s="21">
        <f t="shared" si="5"/>
        <v>0.40013196442917787</v>
      </c>
      <c r="T65" s="8">
        <f t="shared" si="8"/>
        <v>1.0000972497903993E-2</v>
      </c>
      <c r="U65" s="21">
        <f t="shared" si="18"/>
        <v>0.40013196442917787</v>
      </c>
      <c r="V65" s="21">
        <f t="shared" si="19"/>
        <v>0.96230222589039716</v>
      </c>
      <c r="W65" s="21">
        <f t="shared" si="20"/>
        <v>0.40013196442917787</v>
      </c>
      <c r="Y65" s="23">
        <f t="shared" si="9"/>
        <v>0.19054378877528955</v>
      </c>
      <c r="Z65" s="6">
        <f t="shared" si="10"/>
        <v>0.20958817565388832</v>
      </c>
      <c r="AA65" s="6">
        <f t="shared" si="11"/>
        <v>0.59986803557082213</v>
      </c>
      <c r="AB65" s="6">
        <f t="shared" si="12"/>
        <v>1</v>
      </c>
    </row>
    <row r="66" spans="1:28" x14ac:dyDescent="0.35">
      <c r="A66">
        <v>57</v>
      </c>
      <c r="B66" s="17">
        <f t="shared" si="13"/>
        <v>1704.5</v>
      </c>
      <c r="C66" s="17">
        <f t="shared" si="6"/>
        <v>1734.9375</v>
      </c>
      <c r="D66" s="17">
        <f t="shared" si="14"/>
        <v>1719.71875</v>
      </c>
      <c r="E66" s="17">
        <f t="shared" si="0"/>
        <v>56.5</v>
      </c>
      <c r="F66" s="17">
        <f t="shared" si="1"/>
        <v>64.708333333333329</v>
      </c>
      <c r="G66" s="21">
        <f>INDEX('Life Tables'!$F$8:$F$123,MATCH(Engine!F66,'Life Tables'!$B$8:$B$123,1))</f>
        <v>8.3153300758564974E-4</v>
      </c>
      <c r="H66" s="8">
        <f t="shared" si="2"/>
        <v>0.87144222769857238</v>
      </c>
      <c r="I66">
        <f t="shared" si="3"/>
        <v>1</v>
      </c>
      <c r="K66" s="22" t="e">
        <f>$I66*IF($E66&gt;_xlfn.AGGREGATE(4,6,'KM Data'!$B$6:$B$310),NA(),INDEX('KM Data'!$C$6:$C$310,MATCH($E66,'KM Data'!$B$6:$B$310,1)))</f>
        <v>#N/A</v>
      </c>
      <c r="L66" s="21">
        <f t="shared" si="4"/>
        <v>0.18735499751607132</v>
      </c>
      <c r="M66" s="20">
        <f t="shared" si="7"/>
        <v>1.6548859140700034E-2</v>
      </c>
      <c r="N66" s="21">
        <f t="shared" si="15"/>
        <v>0.18735499751607132</v>
      </c>
      <c r="O66" s="21">
        <f t="shared" si="16"/>
        <v>0.96150203982629612</v>
      </c>
      <c r="P66" s="21">
        <f t="shared" si="17"/>
        <v>0.18735499751607132</v>
      </c>
      <c r="R66" s="22" t="e">
        <f>$I66*IF($E66&gt;_xlfn.AGGREGATE(4,6,'KM Data'!$E$6:$E$205),NA(),INDEX('KM Data'!$F$6:$F$205,MATCH($E66,'KM Data'!$E$6:$E$205,1)))</f>
        <v>#N/A</v>
      </c>
      <c r="S66" s="21">
        <f t="shared" si="5"/>
        <v>0.39613025565738935</v>
      </c>
      <c r="T66" s="8">
        <f t="shared" si="8"/>
        <v>9.8979367410073626E-3</v>
      </c>
      <c r="U66" s="21">
        <f t="shared" si="18"/>
        <v>0.39613025565738935</v>
      </c>
      <c r="V66" s="21">
        <f t="shared" si="19"/>
        <v>0.96150203982629612</v>
      </c>
      <c r="W66" s="21">
        <f t="shared" si="20"/>
        <v>0.39613025565738935</v>
      </c>
      <c r="Y66" s="23">
        <f t="shared" si="9"/>
        <v>0.18735499751607132</v>
      </c>
      <c r="Z66" s="6">
        <f t="shared" si="10"/>
        <v>0.20877525814131803</v>
      </c>
      <c r="AA66" s="6">
        <f t="shared" si="11"/>
        <v>0.60386974434261065</v>
      </c>
      <c r="AB66" s="6">
        <f t="shared" si="12"/>
        <v>1</v>
      </c>
    </row>
    <row r="67" spans="1:28" x14ac:dyDescent="0.35">
      <c r="A67">
        <v>58</v>
      </c>
      <c r="B67" s="17">
        <f t="shared" si="13"/>
        <v>1734.9375</v>
      </c>
      <c r="C67" s="17">
        <f t="shared" si="6"/>
        <v>1765.375</v>
      </c>
      <c r="D67" s="17">
        <f t="shared" si="14"/>
        <v>1750.15625</v>
      </c>
      <c r="E67" s="17">
        <f t="shared" si="0"/>
        <v>57.5</v>
      </c>
      <c r="F67" s="17">
        <f t="shared" si="1"/>
        <v>64.791666666666671</v>
      </c>
      <c r="G67" s="21">
        <f>INDEX('Life Tables'!$F$8:$F$123,MATCH(Engine!F67,'Life Tables'!$B$8:$B$123,1))</f>
        <v>8.3153300758564974E-4</v>
      </c>
      <c r="H67" s="8">
        <f t="shared" si="2"/>
        <v>0.87144222769857238</v>
      </c>
      <c r="I67">
        <f t="shared" si="3"/>
        <v>1</v>
      </c>
      <c r="K67" s="22" t="e">
        <f>$I67*IF($E67&gt;_xlfn.AGGREGATE(4,6,'KM Data'!$B$6:$B$310),NA(),INDEX('KM Data'!$C$6:$C$310,MATCH($E67,'KM Data'!$B$6:$B$310,1)))</f>
        <v>#N/A</v>
      </c>
      <c r="L67" s="21">
        <f t="shared" si="4"/>
        <v>0.18425448605287165</v>
      </c>
      <c r="M67" s="20">
        <f t="shared" si="7"/>
        <v>1.6367291386009009E-2</v>
      </c>
      <c r="N67" s="21">
        <f t="shared" si="15"/>
        <v>0.18425448605287165</v>
      </c>
      <c r="O67" s="21">
        <f t="shared" si="16"/>
        <v>0.96070251914331961</v>
      </c>
      <c r="P67" s="21">
        <f t="shared" si="17"/>
        <v>0.18425448605287165</v>
      </c>
      <c r="R67" s="22" t="e">
        <f>$I67*IF($E67&gt;_xlfn.AGGREGATE(4,6,'KM Data'!$E$6:$E$205),NA(),INDEX('KM Data'!$F$6:$F$205,MATCH($E67,'KM Data'!$E$6:$E$205,1)))</f>
        <v>#N/A</v>
      </c>
      <c r="S67" s="21">
        <f t="shared" si="5"/>
        <v>0.39220938344569345</v>
      </c>
      <c r="T67" s="8">
        <f t="shared" si="8"/>
        <v>9.7974119968634588E-3</v>
      </c>
      <c r="U67" s="21">
        <f t="shared" si="18"/>
        <v>0.39220938344569345</v>
      </c>
      <c r="V67" s="21">
        <f t="shared" si="19"/>
        <v>0.96070251914331961</v>
      </c>
      <c r="W67" s="21">
        <f t="shared" si="20"/>
        <v>0.39220938344569345</v>
      </c>
      <c r="Y67" s="23">
        <f t="shared" si="9"/>
        <v>0.18425448605287165</v>
      </c>
      <c r="Z67" s="6">
        <f t="shared" si="10"/>
        <v>0.2079548973928218</v>
      </c>
      <c r="AA67" s="6">
        <f t="shared" si="11"/>
        <v>0.60779061655430655</v>
      </c>
      <c r="AB67" s="6">
        <f t="shared" si="12"/>
        <v>1</v>
      </c>
    </row>
    <row r="68" spans="1:28" x14ac:dyDescent="0.35">
      <c r="A68">
        <v>59</v>
      </c>
      <c r="B68" s="17">
        <f t="shared" si="13"/>
        <v>1765.375</v>
      </c>
      <c r="C68" s="17">
        <f t="shared" si="6"/>
        <v>1795.8125</v>
      </c>
      <c r="D68" s="17">
        <f t="shared" si="14"/>
        <v>1780.59375</v>
      </c>
      <c r="E68" s="17">
        <f t="shared" si="0"/>
        <v>58.5</v>
      </c>
      <c r="F68" s="17">
        <f t="shared" si="1"/>
        <v>64.875</v>
      </c>
      <c r="G68" s="21">
        <f>INDEX('Life Tables'!$F$8:$F$123,MATCH(Engine!F68,'Life Tables'!$B$8:$B$123,1))</f>
        <v>8.3153300758564974E-4</v>
      </c>
      <c r="H68" s="8">
        <f t="shared" si="2"/>
        <v>0.87144222769857238</v>
      </c>
      <c r="I68">
        <f t="shared" si="3"/>
        <v>1</v>
      </c>
      <c r="K68" s="22" t="e">
        <f>$I68*IF($E68&gt;_xlfn.AGGREGATE(4,6,'KM Data'!$B$6:$B$310),NA(),INDEX('KM Data'!$C$6:$C$310,MATCH($E68,'KM Data'!$B$6:$B$310,1)))</f>
        <v>#N/A</v>
      </c>
      <c r="L68" s="21">
        <f t="shared" si="4"/>
        <v>0.18123873919046496</v>
      </c>
      <c r="M68" s="20">
        <f t="shared" si="7"/>
        <v>1.6190318483601307E-2</v>
      </c>
      <c r="N68" s="21">
        <f t="shared" si="15"/>
        <v>0.18123873919046496</v>
      </c>
      <c r="O68" s="21">
        <f t="shared" si="16"/>
        <v>0.95990366328818122</v>
      </c>
      <c r="P68" s="21">
        <f t="shared" si="17"/>
        <v>0.18123873919046496</v>
      </c>
      <c r="R68" s="22" t="e">
        <f>$I68*IF($E68&gt;_xlfn.AGGREGATE(4,6,'KM Data'!$E$6:$E$205),NA(),INDEX('KM Data'!$F$6:$F$205,MATCH($E68,'KM Data'!$E$6:$E$205,1)))</f>
        <v>#N/A</v>
      </c>
      <c r="S68" s="21">
        <f t="shared" si="5"/>
        <v>0.38836674652704017</v>
      </c>
      <c r="T68" s="8">
        <f t="shared" si="8"/>
        <v>9.6993012012740465E-3</v>
      </c>
      <c r="U68" s="21">
        <f t="shared" si="18"/>
        <v>0.38836674652704017</v>
      </c>
      <c r="V68" s="21">
        <f t="shared" si="19"/>
        <v>0.95990366328818122</v>
      </c>
      <c r="W68" s="21">
        <f t="shared" si="20"/>
        <v>0.38836674652704017</v>
      </c>
      <c r="Y68" s="23">
        <f t="shared" si="9"/>
        <v>0.18123873919046496</v>
      </c>
      <c r="Z68" s="6">
        <f t="shared" si="10"/>
        <v>0.20712800733657522</v>
      </c>
      <c r="AA68" s="6">
        <f t="shared" si="11"/>
        <v>0.61163325347295983</v>
      </c>
      <c r="AB68" s="6">
        <f t="shared" si="12"/>
        <v>1</v>
      </c>
    </row>
    <row r="69" spans="1:28" x14ac:dyDescent="0.35">
      <c r="A69">
        <v>60</v>
      </c>
      <c r="B69" s="17">
        <f t="shared" si="13"/>
        <v>1795.8125</v>
      </c>
      <c r="C69" s="17">
        <f t="shared" si="6"/>
        <v>1826.25</v>
      </c>
      <c r="D69" s="17">
        <f t="shared" si="14"/>
        <v>1811.03125</v>
      </c>
      <c r="E69" s="17">
        <f t="shared" si="0"/>
        <v>59.5</v>
      </c>
      <c r="F69" s="17">
        <f t="shared" si="1"/>
        <v>64.958333333333329</v>
      </c>
      <c r="G69" s="21">
        <f>INDEX('Life Tables'!$F$8:$F$123,MATCH(Engine!F69,'Life Tables'!$B$8:$B$123,1))</f>
        <v>8.3153300758564974E-4</v>
      </c>
      <c r="H69" s="8">
        <f t="shared" si="2"/>
        <v>0.84197316685852419</v>
      </c>
      <c r="I69">
        <f t="shared" si="3"/>
        <v>1</v>
      </c>
      <c r="K69" s="22" t="e">
        <f>$I69*IF($E69&gt;_xlfn.AGGREGATE(4,6,'KM Data'!$B$6:$B$310),NA(),INDEX('KM Data'!$C$6:$C$310,MATCH($E69,'KM Data'!$B$6:$B$310,1)))</f>
        <v>#N/A</v>
      </c>
      <c r="L69" s="21">
        <f t="shared" si="4"/>
        <v>0.17830442628140497</v>
      </c>
      <c r="M69" s="20">
        <f t="shared" si="7"/>
        <v>1.601775782597592E-2</v>
      </c>
      <c r="N69" s="21">
        <f t="shared" si="15"/>
        <v>0.17830442628140497</v>
      </c>
      <c r="O69" s="21">
        <f t="shared" si="16"/>
        <v>0.95910547170805471</v>
      </c>
      <c r="P69" s="21">
        <f t="shared" si="17"/>
        <v>0.17830442628140497</v>
      </c>
      <c r="R69" s="22" t="e">
        <f>$I69*IF($E69&gt;_xlfn.AGGREGATE(4,6,'KM Data'!$E$6:$E$205),NA(),INDEX('KM Data'!$F$6:$F$205,MATCH($E69,'KM Data'!$E$6:$E$205,1)))</f>
        <v>#N/A</v>
      </c>
      <c r="S69" s="21">
        <f t="shared" si="5"/>
        <v>0.38459986047591554</v>
      </c>
      <c r="T69" s="8">
        <f t="shared" si="8"/>
        <v>9.6035124085536161E-3</v>
      </c>
      <c r="U69" s="21">
        <f t="shared" si="18"/>
        <v>0.38459986047591554</v>
      </c>
      <c r="V69" s="21">
        <f t="shared" si="19"/>
        <v>0.95910547170805471</v>
      </c>
      <c r="W69" s="21">
        <f t="shared" si="20"/>
        <v>0.38459986047591554</v>
      </c>
      <c r="Y69" s="23">
        <f t="shared" si="9"/>
        <v>0.17830442628140497</v>
      </c>
      <c r="Z69" s="6">
        <f t="shared" si="10"/>
        <v>0.20629543419451057</v>
      </c>
      <c r="AA69" s="6">
        <f t="shared" si="11"/>
        <v>0.61540013952408446</v>
      </c>
      <c r="AB69" s="6">
        <f t="shared" si="12"/>
        <v>1</v>
      </c>
    </row>
    <row r="70" spans="1:28" x14ac:dyDescent="0.35">
      <c r="A70">
        <v>61</v>
      </c>
      <c r="B70" s="17">
        <f t="shared" si="13"/>
        <v>1826.25</v>
      </c>
      <c r="C70" s="17">
        <f t="shared" si="6"/>
        <v>1856.6875</v>
      </c>
      <c r="D70" s="17">
        <f t="shared" si="14"/>
        <v>1841.46875</v>
      </c>
      <c r="E70" s="17">
        <f t="shared" si="0"/>
        <v>60.5</v>
      </c>
      <c r="F70" s="17">
        <f t="shared" si="1"/>
        <v>65.041666666666671</v>
      </c>
      <c r="G70" s="21">
        <f>INDEX('Life Tables'!$F$8:$F$123,MATCH(Engine!F70,'Life Tables'!$B$8:$B$123,1))</f>
        <v>9.0244655085336412E-4</v>
      </c>
      <c r="H70" s="8">
        <f t="shared" si="2"/>
        <v>0.84197316685852419</v>
      </c>
      <c r="I70">
        <f t="shared" si="3"/>
        <v>1</v>
      </c>
      <c r="K70" s="22" t="e">
        <f>$I70*IF($E70&gt;_xlfn.AGGREGATE(4,6,'KM Data'!$B$6:$B$310),NA(),INDEX('KM Data'!$C$6:$C$310,MATCH($E70,'KM Data'!$B$6:$B$310,1)))</f>
        <v>#N/A</v>
      </c>
      <c r="L70" s="21">
        <f t="shared" si="4"/>
        <v>0.17544838916192984</v>
      </c>
      <c r="M70" s="20">
        <f t="shared" si="7"/>
        <v>1.5849436655224758E-2</v>
      </c>
      <c r="N70" s="21">
        <f t="shared" si="15"/>
        <v>0.17544838916192984</v>
      </c>
      <c r="O70" s="21">
        <f t="shared" si="16"/>
        <v>0.9583079438505735</v>
      </c>
      <c r="P70" s="21">
        <f t="shared" si="17"/>
        <v>0.17544838916192984</v>
      </c>
      <c r="R70" s="22" t="e">
        <f>$I70*IF($E70&gt;_xlfn.AGGREGATE(4,6,'KM Data'!$E$6:$E$205),NA(),INDEX('KM Data'!$F$6:$F$205,MATCH($E70,'KM Data'!$E$6:$E$205,1)))</f>
        <v>#N/A</v>
      </c>
      <c r="S70" s="21">
        <f t="shared" si="5"/>
        <v>0.38090635094350711</v>
      </c>
      <c r="T70" s="8">
        <f t="shared" si="8"/>
        <v>9.5099584512970958E-3</v>
      </c>
      <c r="U70" s="21">
        <f t="shared" si="18"/>
        <v>0.38090635094350711</v>
      </c>
      <c r="V70" s="21">
        <f t="shared" si="19"/>
        <v>0.9583079438505735</v>
      </c>
      <c r="W70" s="21">
        <f t="shared" si="20"/>
        <v>0.38090635094350711</v>
      </c>
      <c r="Y70" s="23">
        <f t="shared" si="9"/>
        <v>0.17544838916192984</v>
      </c>
      <c r="Z70" s="6">
        <f t="shared" si="10"/>
        <v>0.20545796178157727</v>
      </c>
      <c r="AA70" s="6">
        <f t="shared" si="11"/>
        <v>0.61909364905649289</v>
      </c>
      <c r="AB70" s="6">
        <f t="shared" si="12"/>
        <v>1</v>
      </c>
    </row>
    <row r="71" spans="1:28" x14ac:dyDescent="0.35">
      <c r="A71">
        <v>62</v>
      </c>
      <c r="B71" s="17">
        <f t="shared" si="13"/>
        <v>1856.6875</v>
      </c>
      <c r="C71" s="17">
        <f t="shared" si="6"/>
        <v>1887.125</v>
      </c>
      <c r="D71" s="17">
        <f t="shared" si="14"/>
        <v>1871.90625</v>
      </c>
      <c r="E71" s="17">
        <f t="shared" si="0"/>
        <v>61.5</v>
      </c>
      <c r="F71" s="17">
        <f t="shared" si="1"/>
        <v>65.125</v>
      </c>
      <c r="G71" s="21">
        <f>INDEX('Life Tables'!$F$8:$F$123,MATCH(Engine!F71,'Life Tables'!$B$8:$B$123,1))</f>
        <v>9.0244655085336412E-4</v>
      </c>
      <c r="H71" s="8">
        <f t="shared" si="2"/>
        <v>0.84197316685852419</v>
      </c>
      <c r="I71">
        <f t="shared" si="3"/>
        <v>1</v>
      </c>
      <c r="K71" s="22" t="e">
        <f>$I71*IF($E71&gt;_xlfn.AGGREGATE(4,6,'KM Data'!$B$6:$B$310),NA(),INDEX('KM Data'!$C$6:$C$310,MATCH($E71,'KM Data'!$B$6:$B$310,1)))</f>
        <v>#N/A</v>
      </c>
      <c r="L71" s="21">
        <f t="shared" si="4"/>
        <v>0.17266763103164662</v>
      </c>
      <c r="M71" s="20">
        <f t="shared" si="7"/>
        <v>1.5685191395253151E-2</v>
      </c>
      <c r="N71" s="21">
        <f t="shared" si="15"/>
        <v>0.17266763103164662</v>
      </c>
      <c r="O71" s="21">
        <f t="shared" si="16"/>
        <v>0.95744312215199012</v>
      </c>
      <c r="P71" s="21">
        <f t="shared" si="17"/>
        <v>0.17266763103164662</v>
      </c>
      <c r="R71" s="22" t="e">
        <f>$I71*IF($E71&gt;_xlfn.AGGREGATE(4,6,'KM Data'!$E$6:$E$205),NA(),INDEX('KM Data'!$F$6:$F$205,MATCH($E71,'KM Data'!$E$6:$E$205,1)))</f>
        <v>#N/A</v>
      </c>
      <c r="S71" s="21">
        <f t="shared" si="5"/>
        <v>0.37728394737219917</v>
      </c>
      <c r="T71" s="8">
        <f t="shared" si="8"/>
        <v>9.4185566273043975E-3</v>
      </c>
      <c r="U71" s="21">
        <f t="shared" si="18"/>
        <v>0.37728394737219917</v>
      </c>
      <c r="V71" s="21">
        <f t="shared" si="19"/>
        <v>0.95744312215199012</v>
      </c>
      <c r="W71" s="21">
        <f t="shared" si="20"/>
        <v>0.37728394737219917</v>
      </c>
      <c r="Y71" s="23">
        <f t="shared" si="9"/>
        <v>0.17266763103164662</v>
      </c>
      <c r="Z71" s="6">
        <f t="shared" si="10"/>
        <v>0.20461631634055255</v>
      </c>
      <c r="AA71" s="6">
        <f t="shared" si="11"/>
        <v>0.62271605262780083</v>
      </c>
      <c r="AB71" s="6">
        <f t="shared" si="12"/>
        <v>1</v>
      </c>
    </row>
    <row r="72" spans="1:28" x14ac:dyDescent="0.35">
      <c r="A72">
        <v>63</v>
      </c>
      <c r="B72" s="17">
        <f t="shared" si="13"/>
        <v>1887.125</v>
      </c>
      <c r="C72" s="17">
        <f t="shared" si="6"/>
        <v>1917.5625</v>
      </c>
      <c r="D72" s="17">
        <f t="shared" si="14"/>
        <v>1902.34375</v>
      </c>
      <c r="E72" s="17">
        <f t="shared" si="0"/>
        <v>62.5</v>
      </c>
      <c r="F72" s="17">
        <f t="shared" si="1"/>
        <v>65.208333333333329</v>
      </c>
      <c r="G72" s="21">
        <f>INDEX('Life Tables'!$F$8:$F$123,MATCH(Engine!F72,'Life Tables'!$B$8:$B$123,1))</f>
        <v>9.0244655085336412E-4</v>
      </c>
      <c r="H72" s="8">
        <f t="shared" si="2"/>
        <v>0.84197316685852419</v>
      </c>
      <c r="I72">
        <f t="shared" si="3"/>
        <v>1</v>
      </c>
      <c r="K72" s="22" t="e">
        <f>$I72*IF($E72&gt;_xlfn.AGGREGATE(4,6,'KM Data'!$B$6:$B$310),NA(),INDEX('KM Data'!$C$6:$C$310,MATCH($E72,'KM Data'!$B$6:$B$310,1)))</f>
        <v>#N/A</v>
      </c>
      <c r="L72" s="21">
        <f t="shared" si="4"/>
        <v>0.16995930619115029</v>
      </c>
      <c r="M72" s="20">
        <f t="shared" si="7"/>
        <v>1.5524867038288481E-2</v>
      </c>
      <c r="N72" s="21">
        <f t="shared" si="15"/>
        <v>0.16995930619115029</v>
      </c>
      <c r="O72" s="21">
        <f t="shared" si="16"/>
        <v>0.95657908090876576</v>
      </c>
      <c r="P72" s="21">
        <f t="shared" si="17"/>
        <v>0.16995930619115029</v>
      </c>
      <c r="R72" s="22" t="e">
        <f>$I72*IF($E72&gt;_xlfn.AGGREGATE(4,6,'KM Data'!$E$6:$E$205),NA(),INDEX('KM Data'!$F$6:$F$205,MATCH($E72,'KM Data'!$E$6:$E$205,1)))</f>
        <v>#N/A</v>
      </c>
      <c r="S72" s="21">
        <f t="shared" si="5"/>
        <v>0.37373047714930119</v>
      </c>
      <c r="T72" s="8">
        <f t="shared" si="8"/>
        <v>9.3292284111392565E-3</v>
      </c>
      <c r="U72" s="21">
        <f t="shared" si="18"/>
        <v>0.37373047714930119</v>
      </c>
      <c r="V72" s="21">
        <f t="shared" si="19"/>
        <v>0.95657908090876576</v>
      </c>
      <c r="W72" s="21">
        <f t="shared" si="20"/>
        <v>0.37373047714930119</v>
      </c>
      <c r="Y72" s="23">
        <f t="shared" si="9"/>
        <v>0.16995930619115029</v>
      </c>
      <c r="Z72" s="6">
        <f t="shared" si="10"/>
        <v>0.20377117095815089</v>
      </c>
      <c r="AA72" s="6">
        <f t="shared" si="11"/>
        <v>0.62626952285069881</v>
      </c>
      <c r="AB72" s="6">
        <f t="shared" si="12"/>
        <v>1</v>
      </c>
    </row>
    <row r="73" spans="1:28" x14ac:dyDescent="0.35">
      <c r="A73">
        <v>64</v>
      </c>
      <c r="B73" s="17">
        <f t="shared" si="13"/>
        <v>1917.5625</v>
      </c>
      <c r="C73" s="17">
        <f t="shared" si="6"/>
        <v>1948</v>
      </c>
      <c r="D73" s="17">
        <f t="shared" si="14"/>
        <v>1932.78125</v>
      </c>
      <c r="E73" s="17">
        <f t="shared" ref="E73:E136" si="21">D73/Days_per_Month</f>
        <v>63.5</v>
      </c>
      <c r="F73" s="17">
        <f t="shared" ref="F73:F136" si="22">Patient_Baseline_Age+(D73/365.25)</f>
        <v>65.291666666666671</v>
      </c>
      <c r="G73" s="21">
        <f>INDEX('Life Tables'!$F$8:$F$123,MATCH(Engine!F73,'Life Tables'!$B$8:$B$123,1))</f>
        <v>9.0244655085336412E-4</v>
      </c>
      <c r="H73" s="8">
        <f t="shared" ref="H73:H136" si="23">1/(1+Discount_Rate)^ROUNDDOWN(A73/12,0)</f>
        <v>0.84197316685852419</v>
      </c>
      <c r="I73">
        <f t="shared" ref="I73:I136" si="24">IF(E73&lt;Min_Time_Horizon__5_Years___60_Months,1,IF(C73/Days_per_Year&lt;Max_Time_Horizon__in_Years,1,NA()))</f>
        <v>1</v>
      </c>
      <c r="K73" s="22" t="e">
        <f>$I73*IF($E73&gt;_xlfn.AGGREGATE(4,6,'KM Data'!$B$6:$B$310),NA(),INDEX('KM Data'!$C$6:$C$310,MATCH($E73,'KM Data'!$B$6:$B$310,1)))</f>
        <v>#N/A</v>
      </c>
      <c r="L73" s="21">
        <f t="shared" ref="L73:L136" si="25">$I73*CHOOSE(MATCH(K$4,label_curves,0),
    EXP(-$E73*EXP(L$5)),
    1-((EXP(GAMMALN(EXP(L$5)))*_xlfn.GAMMA.DIST(EXP(L$6)*$E73,EXP(L$5),1,TRUE))/_xlfn.GAMMA(EXP(L$5))),
    IF($E73=0,1, IF(L$7&gt;0,1,0) + IF(L$7&gt;0,-1,1) * IFERROR(_xlfn.GAMMA.DIST((L$7^-2)*EXP(L$7*((LN($E73)-(L$5))/EXP(L$6))),L$7^-2,1,TRUE),0)),
    EXP(-(EXP(L$5)/L$6)*(EXP(L$6*$E73)-1)),
    1/(1+($E73/EXP(L$5))^EXP(L$6)),
    1-IFERROR(_xlfn.LOGNORM.DIST($E73,L$5,EXP(L$6),TRUE),0),
    EXP(-(($E73/EXP(L$5))^EXP(L$6)))
)</f>
        <v>0.16732071056061293</v>
      </c>
      <c r="M73" s="20">
        <f t="shared" si="7"/>
        <v>1.5368316580535168E-2</v>
      </c>
      <c r="N73" s="21">
        <f t="shared" si="15"/>
        <v>0.16732071056061293</v>
      </c>
      <c r="O73" s="21">
        <f t="shared" si="16"/>
        <v>0.95571581941658112</v>
      </c>
      <c r="P73" s="21">
        <f t="shared" si="17"/>
        <v>0.16732071056061293</v>
      </c>
      <c r="R73" s="22" t="e">
        <f>$I73*IF($E73&gt;_xlfn.AGGREGATE(4,6,'KM Data'!$E$6:$E$205),NA(),INDEX('KM Data'!$F$6:$F$205,MATCH($E73,'KM Data'!$E$6:$E$205,1)))</f>
        <v>#N/A</v>
      </c>
      <c r="S73" s="21">
        <f t="shared" ref="S73:S136" si="26">$I73*CHOOSE(MATCH(R$4,label_curves,0),
    EXP(-$E73*EXP(S$5)),
    1-((EXP(GAMMALN(EXP(S$5)))*_xlfn.GAMMA.DIST(EXP(S$6)*$E73,EXP(S$5),1,TRUE))/_xlfn.GAMMA(EXP(S$5))),
    IF($E73=0,1, IF(S$7&gt;0,1,0) + IF(S$7&gt;0,-1,1) * IFERROR(_xlfn.GAMMA.DIST((S$7^-2)*EXP(S$7*((LN($E73)-(S$5))/EXP(S$6))),S$7^-2,1,TRUE),0)),
    EXP(-(EXP(S$5)/S$6)*(EXP(S$6*$E73)-1)),
    1/(1+($E73/EXP(S$5))^EXP(S$6)),
    1-IFERROR(_xlfn.LOGNORM.DIST($E73,S$5,EXP(S$6),TRUE),0),
    EXP(-(($E73/EXP(S$5))^EXP(S$6)))
)</f>
        <v>0.37024386016377131</v>
      </c>
      <c r="T73" s="8">
        <f t="shared" si="8"/>
        <v>9.2418991880718337E-3</v>
      </c>
      <c r="U73" s="21">
        <f t="shared" si="18"/>
        <v>0.37024386016377131</v>
      </c>
      <c r="V73" s="21">
        <f t="shared" si="19"/>
        <v>0.95571581941658112</v>
      </c>
      <c r="W73" s="21">
        <f t="shared" si="20"/>
        <v>0.37024386016377131</v>
      </c>
      <c r="Y73" s="23">
        <f t="shared" si="9"/>
        <v>0.16732071056061293</v>
      </c>
      <c r="Z73" s="6">
        <f t="shared" si="10"/>
        <v>0.20292314960315838</v>
      </c>
      <c r="AA73" s="6">
        <f t="shared" si="11"/>
        <v>0.62975613983622869</v>
      </c>
      <c r="AB73" s="6">
        <f t="shared" si="12"/>
        <v>1</v>
      </c>
    </row>
    <row r="74" spans="1:28" x14ac:dyDescent="0.35">
      <c r="A74">
        <v>65</v>
      </c>
      <c r="B74" s="17">
        <f t="shared" si="13"/>
        <v>1948</v>
      </c>
      <c r="C74" s="17">
        <f t="shared" ref="C74:C137" si="27">B74+Days_per_Month</f>
        <v>1978.4375</v>
      </c>
      <c r="D74" s="17">
        <f t="shared" si="14"/>
        <v>1963.21875</v>
      </c>
      <c r="E74" s="17">
        <f t="shared" si="21"/>
        <v>64.5</v>
      </c>
      <c r="F74" s="17">
        <f t="shared" si="22"/>
        <v>65.375</v>
      </c>
      <c r="G74" s="21">
        <f>INDEX('Life Tables'!$F$8:$F$123,MATCH(Engine!F74,'Life Tables'!$B$8:$B$123,1))</f>
        <v>9.0244655085336412E-4</v>
      </c>
      <c r="H74" s="8">
        <f t="shared" si="23"/>
        <v>0.84197316685852419</v>
      </c>
      <c r="I74">
        <f t="shared" si="24"/>
        <v>1</v>
      </c>
      <c r="K74" s="22" t="e">
        <f>$I74*IF($E74&gt;_xlfn.AGGREGATE(4,6,'KM Data'!$B$6:$B$310),NA(),INDEX('KM Data'!$C$6:$C$310,MATCH($E74,'KM Data'!$B$6:$B$310,1)))</f>
        <v>#N/A</v>
      </c>
      <c r="L74" s="21">
        <f t="shared" si="25"/>
        <v>0.16474927291023733</v>
      </c>
      <c r="M74" s="20">
        <f t="shared" ref="M74:M137" si="28">1-(L75/L74)</f>
        <v>1.5215400502413101E-2</v>
      </c>
      <c r="N74" s="21">
        <f t="shared" si="15"/>
        <v>0.16474927291023733</v>
      </c>
      <c r="O74" s="21">
        <f t="shared" si="16"/>
        <v>0.95485333697175268</v>
      </c>
      <c r="P74" s="21">
        <f t="shared" si="17"/>
        <v>0.16474927291023733</v>
      </c>
      <c r="R74" s="22" t="e">
        <f>$I74*IF($E74&gt;_xlfn.AGGREGATE(4,6,'KM Data'!$E$6:$E$205),NA(),INDEX('KM Data'!$F$6:$F$205,MATCH($E74,'KM Data'!$E$6:$E$205,1)))</f>
        <v>#N/A</v>
      </c>
      <c r="S74" s="21">
        <f t="shared" si="26"/>
        <v>0.36682210373313517</v>
      </c>
      <c r="T74" s="8">
        <f t="shared" ref="T74:T137" si="29">1-(S75/S74)</f>
        <v>9.156498008386138E-3</v>
      </c>
      <c r="U74" s="21">
        <f t="shared" si="18"/>
        <v>0.36682210373313517</v>
      </c>
      <c r="V74" s="21">
        <f t="shared" si="19"/>
        <v>0.95485333697175268</v>
      </c>
      <c r="W74" s="21">
        <f t="shared" si="20"/>
        <v>0.36682210373313517</v>
      </c>
      <c r="Y74" s="23">
        <f t="shared" ref="Y74:Y137" si="30">N74</f>
        <v>0.16474927291023733</v>
      </c>
      <c r="Z74" s="6">
        <f t="shared" ref="Z74:Z137" si="31">U74-N74</f>
        <v>0.20207283082289784</v>
      </c>
      <c r="AA74" s="6">
        <f t="shared" ref="AA74:AA137" si="32">1-U74</f>
        <v>0.63317789626686483</v>
      </c>
      <c r="AB74" s="6">
        <f t="shared" ref="AB74:AB137" si="33">SUM(Y74:AA74)</f>
        <v>1</v>
      </c>
    </row>
    <row r="75" spans="1:28" x14ac:dyDescent="0.35">
      <c r="A75">
        <v>66</v>
      </c>
      <c r="B75" s="17">
        <f t="shared" ref="B75:B138" si="34">C74</f>
        <v>1978.4375</v>
      </c>
      <c r="C75" s="17">
        <f t="shared" si="27"/>
        <v>2008.875</v>
      </c>
      <c r="D75" s="17">
        <f t="shared" ref="D75:D138" si="35">AVERAGE(B75:C75)</f>
        <v>1993.65625</v>
      </c>
      <c r="E75" s="17">
        <f t="shared" si="21"/>
        <v>65.5</v>
      </c>
      <c r="F75" s="17">
        <f t="shared" si="22"/>
        <v>65.458333333333329</v>
      </c>
      <c r="G75" s="21">
        <f>INDEX('Life Tables'!$F$8:$F$123,MATCH(Engine!F75,'Life Tables'!$B$8:$B$123,1))</f>
        <v>9.0244655085336412E-4</v>
      </c>
      <c r="H75" s="8">
        <f t="shared" si="23"/>
        <v>0.84197316685852419</v>
      </c>
      <c r="I75">
        <f t="shared" si="24"/>
        <v>1</v>
      </c>
      <c r="K75" s="22" t="e">
        <f>$I75*IF($E75&gt;_xlfn.AGGREGATE(4,6,'KM Data'!$B$6:$B$310),NA(),INDEX('KM Data'!$C$6:$C$310,MATCH($E75,'KM Data'!$B$6:$B$310,1)))</f>
        <v>#N/A</v>
      </c>
      <c r="L75" s="21">
        <f t="shared" si="25"/>
        <v>0.16224254674042671</v>
      </c>
      <c r="M75" s="20">
        <f t="shared" si="28"/>
        <v>1.5065986289278022E-2</v>
      </c>
      <c r="N75" s="21">
        <f t="shared" ref="N75:N138" si="36">$I75*MIN(N74,U75,P75)</f>
        <v>0.16224254674042671</v>
      </c>
      <c r="O75" s="21">
        <f t="shared" ref="O75:O138" si="37">I75*O74*(1-G74)</f>
        <v>0.95399163287123168</v>
      </c>
      <c r="P75" s="21">
        <f t="shared" ref="P75:P138" si="38">$I75*P74*(1-MAX($G74,M74))</f>
        <v>0.16224254674042671</v>
      </c>
      <c r="R75" s="22" t="e">
        <f>$I75*IF($E75&gt;_xlfn.AGGREGATE(4,6,'KM Data'!$E$6:$E$205),NA(),INDEX('KM Data'!$F$6:$F$205,MATCH($E75,'KM Data'!$E$6:$E$205,1)))</f>
        <v>#N/A</v>
      </c>
      <c r="S75" s="21">
        <f t="shared" si="26"/>
        <v>0.36346329787087073</v>
      </c>
      <c r="T75" s="8">
        <f t="shared" si="29"/>
        <v>9.0729573602337243E-3</v>
      </c>
      <c r="U75" s="21">
        <f t="shared" ref="U75:U138" si="39">$I75*MIN(U74,W75)</f>
        <v>0.36346329787087073</v>
      </c>
      <c r="V75" s="21">
        <f t="shared" ref="V75:V138" si="40">I75*V74*(1-G74)</f>
        <v>0.95399163287123168</v>
      </c>
      <c r="W75" s="21">
        <f t="shared" ref="W75:W138" si="41">$I75*W74*(1-MAX($G74,T74))</f>
        <v>0.36346329787087073</v>
      </c>
      <c r="Y75" s="23">
        <f t="shared" si="30"/>
        <v>0.16224254674042671</v>
      </c>
      <c r="Z75" s="6">
        <f t="shared" si="31"/>
        <v>0.20122075113044402</v>
      </c>
      <c r="AA75" s="6">
        <f t="shared" si="32"/>
        <v>0.63653670212912927</v>
      </c>
      <c r="AB75" s="6">
        <f t="shared" si="33"/>
        <v>1</v>
      </c>
    </row>
    <row r="76" spans="1:28" x14ac:dyDescent="0.35">
      <c r="A76">
        <v>67</v>
      </c>
      <c r="B76" s="17">
        <f t="shared" si="34"/>
        <v>2008.875</v>
      </c>
      <c r="C76" s="17">
        <f t="shared" si="27"/>
        <v>2039.3125</v>
      </c>
      <c r="D76" s="17">
        <f t="shared" si="35"/>
        <v>2024.09375</v>
      </c>
      <c r="E76" s="17">
        <f t="shared" si="21"/>
        <v>66.5</v>
      </c>
      <c r="F76" s="17">
        <f t="shared" si="22"/>
        <v>65.541666666666671</v>
      </c>
      <c r="G76" s="21">
        <f>INDEX('Life Tables'!$F$8:$F$123,MATCH(Engine!F76,'Life Tables'!$B$8:$B$123,1))</f>
        <v>9.0244655085336412E-4</v>
      </c>
      <c r="H76" s="8">
        <f t="shared" si="23"/>
        <v>0.84197316685852419</v>
      </c>
      <c r="I76">
        <f t="shared" si="24"/>
        <v>1</v>
      </c>
      <c r="K76" s="22" t="e">
        <f>$I76*IF($E76&gt;_xlfn.AGGREGATE(4,6,'KM Data'!$B$6:$B$310),NA(),INDEX('KM Data'!$C$6:$C$310,MATCH($E76,'KM Data'!$B$6:$B$310,1)))</f>
        <v>#N/A</v>
      </c>
      <c r="L76" s="21">
        <f t="shared" si="25"/>
        <v>0.15979820275569789</v>
      </c>
      <c r="M76" s="20">
        <f t="shared" si="28"/>
        <v>1.4919947988986326E-2</v>
      </c>
      <c r="N76" s="21">
        <f t="shared" si="36"/>
        <v>0.15979820275569789</v>
      </c>
      <c r="O76" s="21">
        <f t="shared" si="37"/>
        <v>0.95313070641260411</v>
      </c>
      <c r="P76" s="21">
        <f t="shared" si="38"/>
        <v>0.15979820275569789</v>
      </c>
      <c r="R76" s="22" t="e">
        <f>$I76*IF($E76&gt;_xlfn.AGGREGATE(4,6,'KM Data'!$E$6:$E$205),NA(),INDEX('KM Data'!$F$6:$F$205,MATCH($E76,'KM Data'!$E$6:$E$205,1)))</f>
        <v>#N/A</v>
      </c>
      <c r="S76" s="21">
        <f t="shared" si="26"/>
        <v>0.36016561086727839</v>
      </c>
      <c r="T76" s="8">
        <f t="shared" si="29"/>
        <v>8.9912129594243995E-3</v>
      </c>
      <c r="U76" s="21">
        <f t="shared" si="39"/>
        <v>0.36016561086727839</v>
      </c>
      <c r="V76" s="21">
        <f t="shared" si="40"/>
        <v>0.95313070641260411</v>
      </c>
      <c r="W76" s="21">
        <f t="shared" si="41"/>
        <v>0.36016561086727839</v>
      </c>
      <c r="Y76" s="23">
        <f t="shared" si="30"/>
        <v>0.15979820275569789</v>
      </c>
      <c r="Z76" s="6">
        <f t="shared" si="31"/>
        <v>0.20036740811158049</v>
      </c>
      <c r="AA76" s="6">
        <f t="shared" si="32"/>
        <v>0.63983438913272161</v>
      </c>
      <c r="AB76" s="6">
        <f t="shared" si="33"/>
        <v>1</v>
      </c>
    </row>
    <row r="77" spans="1:28" x14ac:dyDescent="0.35">
      <c r="A77">
        <v>68</v>
      </c>
      <c r="B77" s="17">
        <f t="shared" si="34"/>
        <v>2039.3125</v>
      </c>
      <c r="C77" s="17">
        <f t="shared" si="27"/>
        <v>2069.75</v>
      </c>
      <c r="D77" s="17">
        <f t="shared" si="35"/>
        <v>2054.53125</v>
      </c>
      <c r="E77" s="17">
        <f t="shared" si="21"/>
        <v>67.5</v>
      </c>
      <c r="F77" s="17">
        <f t="shared" si="22"/>
        <v>65.625</v>
      </c>
      <c r="G77" s="21">
        <f>INDEX('Life Tables'!$F$8:$F$123,MATCH(Engine!F77,'Life Tables'!$B$8:$B$123,1))</f>
        <v>9.0244655085336412E-4</v>
      </c>
      <c r="H77" s="8">
        <f t="shared" si="23"/>
        <v>0.84197316685852419</v>
      </c>
      <c r="I77">
        <f t="shared" si="24"/>
        <v>1</v>
      </c>
      <c r="K77" s="22" t="e">
        <f>$I77*IF($E77&gt;_xlfn.AGGREGATE(4,6,'KM Data'!$B$6:$B$310),NA(),INDEX('KM Data'!$C$6:$C$310,MATCH($E77,'KM Data'!$B$6:$B$310,1)))</f>
        <v>#N/A</v>
      </c>
      <c r="L77" s="21">
        <f t="shared" si="25"/>
        <v>0.15741402188184939</v>
      </c>
      <c r="M77" s="20">
        <f t="shared" si="28"/>
        <v>1.4777165802971504E-2</v>
      </c>
      <c r="N77" s="21">
        <f t="shared" si="36"/>
        <v>0.15741402188184939</v>
      </c>
      <c r="O77" s="21">
        <f t="shared" si="37"/>
        <v>0.95227055689408968</v>
      </c>
      <c r="P77" s="21">
        <f t="shared" si="38"/>
        <v>0.15741402188184939</v>
      </c>
      <c r="R77" s="22" t="e">
        <f>$I77*IF($E77&gt;_xlfn.AGGREGATE(4,6,'KM Data'!$E$6:$E$205),NA(),INDEX('KM Data'!$F$6:$F$205,MATCH($E77,'KM Data'!$E$6:$E$205,1)))</f>
        <v>#N/A</v>
      </c>
      <c r="S77" s="21">
        <f t="shared" si="26"/>
        <v>0.35692728515930949</v>
      </c>
      <c r="T77" s="8">
        <f t="shared" si="29"/>
        <v>8.9112035546519142E-3</v>
      </c>
      <c r="U77" s="21">
        <f t="shared" si="39"/>
        <v>0.35692728515930949</v>
      </c>
      <c r="V77" s="21">
        <f t="shared" si="40"/>
        <v>0.95227055689408968</v>
      </c>
      <c r="W77" s="21">
        <f t="shared" si="41"/>
        <v>0.35692728515930949</v>
      </c>
      <c r="Y77" s="23">
        <f t="shared" si="30"/>
        <v>0.15741402188184939</v>
      </c>
      <c r="Z77" s="6">
        <f t="shared" si="31"/>
        <v>0.19951326327746011</v>
      </c>
      <c r="AA77" s="6">
        <f t="shared" si="32"/>
        <v>0.64307271484069051</v>
      </c>
      <c r="AB77" s="6">
        <f t="shared" si="33"/>
        <v>1</v>
      </c>
    </row>
    <row r="78" spans="1:28" x14ac:dyDescent="0.35">
      <c r="A78">
        <v>69</v>
      </c>
      <c r="B78" s="17">
        <f t="shared" si="34"/>
        <v>2069.75</v>
      </c>
      <c r="C78" s="17">
        <f t="shared" si="27"/>
        <v>2100.1875</v>
      </c>
      <c r="D78" s="17">
        <f t="shared" si="35"/>
        <v>2084.96875</v>
      </c>
      <c r="E78" s="17">
        <f t="shared" si="21"/>
        <v>68.5</v>
      </c>
      <c r="F78" s="17">
        <f t="shared" si="22"/>
        <v>65.708333333333329</v>
      </c>
      <c r="G78" s="21">
        <f>INDEX('Life Tables'!$F$8:$F$123,MATCH(Engine!F78,'Life Tables'!$B$8:$B$123,1))</f>
        <v>9.0244655085336412E-4</v>
      </c>
      <c r="H78" s="8">
        <f t="shared" si="23"/>
        <v>0.84197316685852419</v>
      </c>
      <c r="I78">
        <f t="shared" si="24"/>
        <v>1</v>
      </c>
      <c r="K78" s="22" t="e">
        <f>$I78*IF($E78&gt;_xlfn.AGGREGATE(4,6,'KM Data'!$B$6:$B$310),NA(),INDEX('KM Data'!$C$6:$C$310,MATCH($E78,'KM Data'!$B$6:$B$310,1)))</f>
        <v>#N/A</v>
      </c>
      <c r="L78" s="21">
        <f t="shared" si="25"/>
        <v>0.15508788878078872</v>
      </c>
      <c r="M78" s="20">
        <f t="shared" si="28"/>
        <v>1.4637525707923094E-2</v>
      </c>
      <c r="N78" s="21">
        <f t="shared" si="36"/>
        <v>0.15508788878078872</v>
      </c>
      <c r="O78" s="21">
        <f t="shared" si="37"/>
        <v>0.95141118361454136</v>
      </c>
      <c r="P78" s="21">
        <f t="shared" si="38"/>
        <v>0.15508788878078872</v>
      </c>
      <c r="R78" s="22" t="e">
        <f>$I78*IF($E78&gt;_xlfn.AGGREGATE(4,6,'KM Data'!$E$6:$E$205),NA(),INDEX('KM Data'!$F$6:$F$205,MATCH($E78,'KM Data'!$E$6:$E$205,1)))</f>
        <v>#N/A</v>
      </c>
      <c r="S78" s="21">
        <f t="shared" si="26"/>
        <v>0.3537466334670456</v>
      </c>
      <c r="T78" s="8">
        <f t="shared" si="29"/>
        <v>8.8328707468695589E-3</v>
      </c>
      <c r="U78" s="21">
        <f t="shared" si="39"/>
        <v>0.3537466334670456</v>
      </c>
      <c r="V78" s="21">
        <f t="shared" si="40"/>
        <v>0.95141118361454136</v>
      </c>
      <c r="W78" s="21">
        <f t="shared" si="41"/>
        <v>0.3537466334670456</v>
      </c>
      <c r="Y78" s="23">
        <f t="shared" si="30"/>
        <v>0.15508788878078872</v>
      </c>
      <c r="Z78" s="6">
        <f t="shared" si="31"/>
        <v>0.19865874468625688</v>
      </c>
      <c r="AA78" s="6">
        <f t="shared" si="32"/>
        <v>0.6462533665329544</v>
      </c>
      <c r="AB78" s="6">
        <f t="shared" si="33"/>
        <v>1</v>
      </c>
    </row>
    <row r="79" spans="1:28" x14ac:dyDescent="0.35">
      <c r="A79">
        <v>70</v>
      </c>
      <c r="B79" s="17">
        <f t="shared" si="34"/>
        <v>2100.1875</v>
      </c>
      <c r="C79" s="17">
        <f t="shared" si="27"/>
        <v>2130.625</v>
      </c>
      <c r="D79" s="17">
        <f t="shared" si="35"/>
        <v>2115.40625</v>
      </c>
      <c r="E79" s="17">
        <f t="shared" si="21"/>
        <v>69.5</v>
      </c>
      <c r="F79" s="17">
        <f t="shared" si="22"/>
        <v>65.791666666666671</v>
      </c>
      <c r="G79" s="21">
        <f>INDEX('Life Tables'!$F$8:$F$123,MATCH(Engine!F79,'Life Tables'!$B$8:$B$123,1))</f>
        <v>9.0244655085336412E-4</v>
      </c>
      <c r="H79" s="8">
        <f t="shared" si="23"/>
        <v>0.84197316685852419</v>
      </c>
      <c r="I79">
        <f t="shared" si="24"/>
        <v>1</v>
      </c>
      <c r="K79" s="22" t="e">
        <f>$I79*IF($E79&gt;_xlfn.AGGREGATE(4,6,'KM Data'!$B$6:$B$310),NA(),INDEX('KM Data'!$C$6:$C$310,MATCH($E79,'KM Data'!$B$6:$B$310,1)))</f>
        <v>#N/A</v>
      </c>
      <c r="L79" s="21">
        <f t="shared" si="25"/>
        <v>0.15281778582177241</v>
      </c>
      <c r="M79" s="20">
        <f t="shared" si="28"/>
        <v>1.4500919105375654E-2</v>
      </c>
      <c r="N79" s="21">
        <f t="shared" si="36"/>
        <v>0.15281778582177241</v>
      </c>
      <c r="O79" s="21">
        <f t="shared" si="37"/>
        <v>0.95055258587344504</v>
      </c>
      <c r="P79" s="21">
        <f t="shared" si="38"/>
        <v>0.15281778582177241</v>
      </c>
      <c r="R79" s="22" t="e">
        <f>$I79*IF($E79&gt;_xlfn.AGGREGATE(4,6,'KM Data'!$E$6:$E$205),NA(),INDEX('KM Data'!$F$6:$F$205,MATCH($E79,'KM Data'!$E$6:$E$205,1)))</f>
        <v>#N/A</v>
      </c>
      <c r="S79" s="21">
        <f t="shared" si="26"/>
        <v>0.35062203517649093</v>
      </c>
      <c r="T79" s="8">
        <f t="shared" si="29"/>
        <v>8.7561588216015229E-3</v>
      </c>
      <c r="U79" s="21">
        <f t="shared" si="39"/>
        <v>0.35062203517649093</v>
      </c>
      <c r="V79" s="21">
        <f t="shared" si="40"/>
        <v>0.95055258587344504</v>
      </c>
      <c r="W79" s="21">
        <f t="shared" si="41"/>
        <v>0.35062203517649093</v>
      </c>
      <c r="Y79" s="23">
        <f t="shared" si="30"/>
        <v>0.15281778582177241</v>
      </c>
      <c r="Z79" s="6">
        <f t="shared" si="31"/>
        <v>0.19780424935471852</v>
      </c>
      <c r="AA79" s="6">
        <f t="shared" si="32"/>
        <v>0.64937796482350907</v>
      </c>
      <c r="AB79" s="6">
        <f t="shared" si="33"/>
        <v>1</v>
      </c>
    </row>
    <row r="80" spans="1:28" x14ac:dyDescent="0.35">
      <c r="A80">
        <v>71</v>
      </c>
      <c r="B80" s="17">
        <f t="shared" si="34"/>
        <v>2130.625</v>
      </c>
      <c r="C80" s="17">
        <f t="shared" si="27"/>
        <v>2161.0625</v>
      </c>
      <c r="D80" s="17">
        <f t="shared" si="35"/>
        <v>2145.84375</v>
      </c>
      <c r="E80" s="17">
        <f t="shared" si="21"/>
        <v>70.5</v>
      </c>
      <c r="F80" s="17">
        <f t="shared" si="22"/>
        <v>65.875</v>
      </c>
      <c r="G80" s="21">
        <f>INDEX('Life Tables'!$F$8:$F$123,MATCH(Engine!F80,'Life Tables'!$B$8:$B$123,1))</f>
        <v>9.0244655085336412E-4</v>
      </c>
      <c r="H80" s="8">
        <f t="shared" si="23"/>
        <v>0.84197316685852419</v>
      </c>
      <c r="I80">
        <f t="shared" si="24"/>
        <v>1</v>
      </c>
      <c r="K80" s="22" t="e">
        <f>$I80*IF($E80&gt;_xlfn.AGGREGATE(4,6,'KM Data'!$B$6:$B$310),NA(),INDEX('KM Data'!$C$6:$C$310,MATCH($E80,'KM Data'!$B$6:$B$310,1)))</f>
        <v>#N/A</v>
      </c>
      <c r="L80" s="21">
        <f t="shared" si="25"/>
        <v>0.15060178747170827</v>
      </c>
      <c r="M80" s="20">
        <f t="shared" si="28"/>
        <v>1.436724249683119E-2</v>
      </c>
      <c r="N80" s="21">
        <f t="shared" si="36"/>
        <v>0.15060178747170827</v>
      </c>
      <c r="O80" s="21">
        <f t="shared" si="37"/>
        <v>0.94969476297091882</v>
      </c>
      <c r="P80" s="21">
        <f t="shared" si="38"/>
        <v>0.15060178747170827</v>
      </c>
      <c r="R80" s="22" t="e">
        <f>$I80*IF($E80&gt;_xlfn.AGGREGATE(4,6,'KM Data'!$E$6:$E$205),NA(),INDEX('KM Data'!$F$6:$F$205,MATCH($E80,'KM Data'!$E$6:$E$205,1)))</f>
        <v>#N/A</v>
      </c>
      <c r="S80" s="21">
        <f t="shared" si="26"/>
        <v>0.34755193295013243</v>
      </c>
      <c r="T80" s="8">
        <f t="shared" si="29"/>
        <v>8.6810145931062177E-3</v>
      </c>
      <c r="U80" s="21">
        <f t="shared" si="39"/>
        <v>0.34755193295013243</v>
      </c>
      <c r="V80" s="21">
        <f t="shared" si="40"/>
        <v>0.94969476297091882</v>
      </c>
      <c r="W80" s="21">
        <f t="shared" si="41"/>
        <v>0.34755193295013243</v>
      </c>
      <c r="Y80" s="23">
        <f t="shared" si="30"/>
        <v>0.15060178747170827</v>
      </c>
      <c r="Z80" s="6">
        <f t="shared" si="31"/>
        <v>0.19695014547842415</v>
      </c>
      <c r="AA80" s="6">
        <f t="shared" si="32"/>
        <v>0.65244806704986757</v>
      </c>
      <c r="AB80" s="6">
        <f t="shared" si="33"/>
        <v>1</v>
      </c>
    </row>
    <row r="81" spans="1:28" x14ac:dyDescent="0.35">
      <c r="A81">
        <v>72</v>
      </c>
      <c r="B81" s="17">
        <f t="shared" si="34"/>
        <v>2161.0625</v>
      </c>
      <c r="C81" s="17">
        <f t="shared" si="27"/>
        <v>2191.5</v>
      </c>
      <c r="D81" s="17">
        <f t="shared" si="35"/>
        <v>2176.28125</v>
      </c>
      <c r="E81" s="17">
        <f t="shared" si="21"/>
        <v>71.5</v>
      </c>
      <c r="F81" s="17">
        <f t="shared" si="22"/>
        <v>65.958333333333329</v>
      </c>
      <c r="G81" s="21">
        <f>INDEX('Life Tables'!$F$8:$F$123,MATCH(Engine!F81,'Life Tables'!$B$8:$B$123,1))</f>
        <v>9.0244655085336412E-4</v>
      </c>
      <c r="H81" s="8">
        <f t="shared" si="23"/>
        <v>0.81350064430775282</v>
      </c>
      <c r="I81">
        <f t="shared" si="24"/>
        <v>1</v>
      </c>
      <c r="K81" s="22" t="e">
        <f>$I81*IF($E81&gt;_xlfn.AGGREGATE(4,6,'KM Data'!$B$6:$B$310),NA(),INDEX('KM Data'!$C$6:$C$310,MATCH($E81,'KM Data'!$B$6:$B$310,1)))</f>
        <v>#N/A</v>
      </c>
      <c r="L81" s="21">
        <f t="shared" si="25"/>
        <v>0.148438055070646</v>
      </c>
      <c r="M81" s="20">
        <f t="shared" si="28"/>
        <v>1.4236397182250338E-2</v>
      </c>
      <c r="N81" s="21">
        <f t="shared" si="36"/>
        <v>0.148438055070646</v>
      </c>
      <c r="O81" s="21">
        <f t="shared" si="37"/>
        <v>0.94883771420771224</v>
      </c>
      <c r="P81" s="21">
        <f t="shared" si="38"/>
        <v>0.148438055070646</v>
      </c>
      <c r="R81" s="22" t="e">
        <f>$I81*IF($E81&gt;_xlfn.AGGREGATE(4,6,'KM Data'!$E$6:$E$205),NA(),INDEX('KM Data'!$F$6:$F$205,MATCH($E81,'KM Data'!$E$6:$E$205,1)))</f>
        <v>#N/A</v>
      </c>
      <c r="S81" s="21">
        <f t="shared" si="26"/>
        <v>0.34453482954833003</v>
      </c>
      <c r="T81" s="8">
        <f t="shared" si="29"/>
        <v>8.6073872594412126E-3</v>
      </c>
      <c r="U81" s="21">
        <f t="shared" si="39"/>
        <v>0.34453482954833003</v>
      </c>
      <c r="V81" s="21">
        <f t="shared" si="40"/>
        <v>0.94883771420771224</v>
      </c>
      <c r="W81" s="21">
        <f t="shared" si="41"/>
        <v>0.34453482954833003</v>
      </c>
      <c r="Y81" s="23">
        <f t="shared" si="30"/>
        <v>0.148438055070646</v>
      </c>
      <c r="Z81" s="6">
        <f t="shared" si="31"/>
        <v>0.19609677447768403</v>
      </c>
      <c r="AA81" s="6">
        <f t="shared" si="32"/>
        <v>0.65546517045166997</v>
      </c>
      <c r="AB81" s="6">
        <f t="shared" si="33"/>
        <v>1</v>
      </c>
    </row>
    <row r="82" spans="1:28" x14ac:dyDescent="0.35">
      <c r="A82">
        <v>73</v>
      </c>
      <c r="B82" s="17">
        <f t="shared" si="34"/>
        <v>2191.5</v>
      </c>
      <c r="C82" s="17">
        <f t="shared" si="27"/>
        <v>2221.9375</v>
      </c>
      <c r="D82" s="17">
        <f t="shared" si="35"/>
        <v>2206.71875</v>
      </c>
      <c r="E82" s="17">
        <f t="shared" si="21"/>
        <v>72.5</v>
      </c>
      <c r="F82" s="17">
        <f t="shared" si="22"/>
        <v>66.041666666666671</v>
      </c>
      <c r="G82" s="21">
        <f>INDEX('Life Tables'!$F$8:$F$123,MATCH(Engine!F82,'Life Tables'!$B$8:$B$123,1))</f>
        <v>9.9985793693413427E-4</v>
      </c>
      <c r="H82" s="8">
        <f t="shared" si="23"/>
        <v>0.81350064430775282</v>
      </c>
      <c r="I82">
        <f t="shared" si="24"/>
        <v>1</v>
      </c>
      <c r="K82" s="22" t="e">
        <f>$I82*IF($E82&gt;_xlfn.AGGREGATE(4,6,'KM Data'!$B$6:$B$310),NA(),INDEX('KM Data'!$C$6:$C$310,MATCH($E82,'KM Data'!$B$6:$B$310,1)))</f>
        <v>#N/A</v>
      </c>
      <c r="L82" s="21">
        <f t="shared" si="25"/>
        <v>0.14632483196169954</v>
      </c>
      <c r="M82" s="20">
        <f t="shared" si="28"/>
        <v>1.4108288979939654E-2</v>
      </c>
      <c r="N82" s="21">
        <f t="shared" si="36"/>
        <v>0.14632483196169954</v>
      </c>
      <c r="O82" s="21">
        <f t="shared" si="37"/>
        <v>0.94798143888520592</v>
      </c>
      <c r="P82" s="21">
        <f t="shared" si="38"/>
        <v>0.14632483196169954</v>
      </c>
      <c r="R82" s="22" t="e">
        <f>$I82*IF($E82&gt;_xlfn.AGGREGATE(4,6,'KM Data'!$E$6:$E$205),NA(),INDEX('KM Data'!$F$6:$F$205,MATCH($E82,'KM Data'!$E$6:$E$205,1)))</f>
        <v>#N/A</v>
      </c>
      <c r="S82" s="21">
        <f t="shared" si="26"/>
        <v>0.34156928484604199</v>
      </c>
      <c r="T82" s="8">
        <f t="shared" si="29"/>
        <v>8.5352282675034141E-3</v>
      </c>
      <c r="U82" s="21">
        <f t="shared" si="39"/>
        <v>0.34156928484604199</v>
      </c>
      <c r="V82" s="21">
        <f t="shared" si="40"/>
        <v>0.94798143888520592</v>
      </c>
      <c r="W82" s="21">
        <f t="shared" si="41"/>
        <v>0.34156928484604199</v>
      </c>
      <c r="Y82" s="23">
        <f t="shared" si="30"/>
        <v>0.14632483196169954</v>
      </c>
      <c r="Z82" s="6">
        <f t="shared" si="31"/>
        <v>0.19524445288434245</v>
      </c>
      <c r="AA82" s="6">
        <f t="shared" si="32"/>
        <v>0.65843071515395801</v>
      </c>
      <c r="AB82" s="6">
        <f t="shared" si="33"/>
        <v>1</v>
      </c>
    </row>
    <row r="83" spans="1:28" x14ac:dyDescent="0.35">
      <c r="A83">
        <v>74</v>
      </c>
      <c r="B83" s="17">
        <f t="shared" si="34"/>
        <v>2221.9375</v>
      </c>
      <c r="C83" s="17">
        <f t="shared" si="27"/>
        <v>2252.375</v>
      </c>
      <c r="D83" s="17">
        <f t="shared" si="35"/>
        <v>2237.15625</v>
      </c>
      <c r="E83" s="17">
        <f t="shared" si="21"/>
        <v>73.5</v>
      </c>
      <c r="F83" s="17">
        <f t="shared" si="22"/>
        <v>66.125</v>
      </c>
      <c r="G83" s="21">
        <f>INDEX('Life Tables'!$F$8:$F$123,MATCH(Engine!F83,'Life Tables'!$B$8:$B$123,1))</f>
        <v>9.9985793693413427E-4</v>
      </c>
      <c r="H83" s="8">
        <f t="shared" si="23"/>
        <v>0.81350064430775282</v>
      </c>
      <c r="I83">
        <f t="shared" si="24"/>
        <v>1</v>
      </c>
      <c r="K83" s="22" t="e">
        <f>$I83*IF($E83&gt;_xlfn.AGGREGATE(4,6,'KM Data'!$B$6:$B$310),NA(),INDEX('KM Data'!$C$6:$C$310,MATCH($E83,'KM Data'!$B$6:$B$310,1)))</f>
        <v>#N/A</v>
      </c>
      <c r="L83" s="21">
        <f t="shared" si="25"/>
        <v>0.14426043894744278</v>
      </c>
      <c r="M83" s="20">
        <f t="shared" si="28"/>
        <v>1.3982827966088407E-2</v>
      </c>
      <c r="N83" s="21">
        <f t="shared" si="36"/>
        <v>0.14426043894744278</v>
      </c>
      <c r="O83" s="21">
        <f t="shared" si="37"/>
        <v>0.94703359211947036</v>
      </c>
      <c r="P83" s="21">
        <f t="shared" si="38"/>
        <v>0.14426043894744278</v>
      </c>
      <c r="R83" s="22" t="e">
        <f>$I83*IF($E83&gt;_xlfn.AGGREGATE(4,6,'KM Data'!$E$6:$E$205),NA(),INDEX('KM Data'!$F$6:$F$205,MATCH($E83,'KM Data'!$E$6:$E$205,1)))</f>
        <v>#N/A</v>
      </c>
      <c r="S83" s="21">
        <f t="shared" si="26"/>
        <v>0.33865391303071313</v>
      </c>
      <c r="T83" s="8">
        <f t="shared" si="29"/>
        <v>8.4644911872892026E-3</v>
      </c>
      <c r="U83" s="21">
        <f t="shared" si="39"/>
        <v>0.33865391303071313</v>
      </c>
      <c r="V83" s="21">
        <f t="shared" si="40"/>
        <v>0.94703359211947036</v>
      </c>
      <c r="W83" s="21">
        <f t="shared" si="41"/>
        <v>0.33865391303071313</v>
      </c>
      <c r="Y83" s="23">
        <f t="shared" si="30"/>
        <v>0.14426043894744278</v>
      </c>
      <c r="Z83" s="6">
        <f t="shared" si="31"/>
        <v>0.19439347408327035</v>
      </c>
      <c r="AA83" s="6">
        <f t="shared" si="32"/>
        <v>0.66134608696928687</v>
      </c>
      <c r="AB83" s="6">
        <f t="shared" si="33"/>
        <v>1</v>
      </c>
    </row>
    <row r="84" spans="1:28" x14ac:dyDescent="0.35">
      <c r="A84">
        <v>75</v>
      </c>
      <c r="B84" s="17">
        <f t="shared" si="34"/>
        <v>2252.375</v>
      </c>
      <c r="C84" s="17">
        <f t="shared" si="27"/>
        <v>2282.8125</v>
      </c>
      <c r="D84" s="17">
        <f t="shared" si="35"/>
        <v>2267.59375</v>
      </c>
      <c r="E84" s="17">
        <f t="shared" si="21"/>
        <v>74.5</v>
      </c>
      <c r="F84" s="17">
        <f t="shared" si="22"/>
        <v>66.208333333333329</v>
      </c>
      <c r="G84" s="21">
        <f>INDEX('Life Tables'!$F$8:$F$123,MATCH(Engine!F84,'Life Tables'!$B$8:$B$123,1))</f>
        <v>9.9985793693413427E-4</v>
      </c>
      <c r="H84" s="8">
        <f t="shared" si="23"/>
        <v>0.81350064430775282</v>
      </c>
      <c r="I84">
        <f t="shared" si="24"/>
        <v>1</v>
      </c>
      <c r="K84" s="22" t="e">
        <f>$I84*IF($E84&gt;_xlfn.AGGREGATE(4,6,'KM Data'!$B$6:$B$310),NA(),INDEX('KM Data'!$C$6:$C$310,MATCH($E84,'KM Data'!$B$6:$B$310,1)))</f>
        <v>#N/A</v>
      </c>
      <c r="L84" s="21">
        <f t="shared" si="25"/>
        <v>0.14224327004732829</v>
      </c>
      <c r="M84" s="20">
        <f t="shared" si="28"/>
        <v>1.3859928232349161E-2</v>
      </c>
      <c r="N84" s="21">
        <f t="shared" si="36"/>
        <v>0.14224327004732829</v>
      </c>
      <c r="O84" s="21">
        <f t="shared" si="37"/>
        <v>0.94608669306584647</v>
      </c>
      <c r="P84" s="21">
        <f t="shared" si="38"/>
        <v>0.14224327004732829</v>
      </c>
      <c r="R84" s="22" t="e">
        <f>$I84*IF($E84&gt;_xlfn.AGGREGATE(4,6,'KM Data'!$E$6:$E$205),NA(),INDEX('KM Data'!$F$6:$F$205,MATCH($E84,'KM Data'!$E$6:$E$205,1)))</f>
        <v>#N/A</v>
      </c>
      <c r="S84" s="21">
        <f t="shared" si="26"/>
        <v>0.33578737996832364</v>
      </c>
      <c r="T84" s="8">
        <f t="shared" si="29"/>
        <v>8.3951315945981486E-3</v>
      </c>
      <c r="U84" s="21">
        <f t="shared" si="39"/>
        <v>0.33578737996832364</v>
      </c>
      <c r="V84" s="21">
        <f t="shared" si="40"/>
        <v>0.94608669306584647</v>
      </c>
      <c r="W84" s="21">
        <f t="shared" si="41"/>
        <v>0.33578737996832364</v>
      </c>
      <c r="Y84" s="23">
        <f t="shared" si="30"/>
        <v>0.14224327004732829</v>
      </c>
      <c r="Z84" s="6">
        <f t="shared" si="31"/>
        <v>0.19354410992099536</v>
      </c>
      <c r="AA84" s="6">
        <f t="shared" si="32"/>
        <v>0.66421262003167636</v>
      </c>
      <c r="AB84" s="6">
        <f t="shared" si="33"/>
        <v>1</v>
      </c>
    </row>
    <row r="85" spans="1:28" x14ac:dyDescent="0.35">
      <c r="A85">
        <v>76</v>
      </c>
      <c r="B85" s="17">
        <f t="shared" si="34"/>
        <v>2282.8125</v>
      </c>
      <c r="C85" s="17">
        <f t="shared" si="27"/>
        <v>2313.25</v>
      </c>
      <c r="D85" s="17">
        <f t="shared" si="35"/>
        <v>2298.03125</v>
      </c>
      <c r="E85" s="17">
        <f t="shared" si="21"/>
        <v>75.5</v>
      </c>
      <c r="F85" s="17">
        <f t="shared" si="22"/>
        <v>66.291666666666671</v>
      </c>
      <c r="G85" s="21">
        <f>INDEX('Life Tables'!$F$8:$F$123,MATCH(Engine!F85,'Life Tables'!$B$8:$B$123,1))</f>
        <v>9.9985793693413427E-4</v>
      </c>
      <c r="H85" s="8">
        <f t="shared" si="23"/>
        <v>0.81350064430775282</v>
      </c>
      <c r="I85">
        <f t="shared" si="24"/>
        <v>1</v>
      </c>
      <c r="K85" s="22" t="e">
        <f>$I85*IF($E85&gt;_xlfn.AGGREGATE(4,6,'KM Data'!$B$6:$B$310),NA(),INDEX('KM Data'!$C$6:$C$310,MATCH($E85,'KM Data'!$B$6:$B$310,1)))</f>
        <v>#N/A</v>
      </c>
      <c r="L85" s="21">
        <f t="shared" si="25"/>
        <v>0.14027178853293765</v>
      </c>
      <c r="M85" s="20">
        <f t="shared" si="28"/>
        <v>1.3739507659995431E-2</v>
      </c>
      <c r="N85" s="21">
        <f t="shared" si="36"/>
        <v>0.14027178853293765</v>
      </c>
      <c r="O85" s="21">
        <f t="shared" si="37"/>
        <v>0.9451407407767568</v>
      </c>
      <c r="P85" s="21">
        <f t="shared" si="38"/>
        <v>0.14027178853293765</v>
      </c>
      <c r="R85" s="22" t="e">
        <f>$I85*IF($E85&gt;_xlfn.AGGREGATE(4,6,'KM Data'!$E$6:$E$205),NA(),INDEX('KM Data'!$F$6:$F$205,MATCH($E85,'KM Data'!$E$6:$E$205,1)))</f>
        <v>#N/A</v>
      </c>
      <c r="S85" s="21">
        <f t="shared" si="26"/>
        <v>0.33296840072568423</v>
      </c>
      <c r="T85" s="8">
        <f t="shared" si="29"/>
        <v>8.3271069615530324E-3</v>
      </c>
      <c r="U85" s="21">
        <f t="shared" si="39"/>
        <v>0.33296840072568423</v>
      </c>
      <c r="V85" s="21">
        <f t="shared" si="40"/>
        <v>0.9451407407767568</v>
      </c>
      <c r="W85" s="21">
        <f t="shared" si="41"/>
        <v>0.33296840072568423</v>
      </c>
      <c r="Y85" s="23">
        <f t="shared" si="30"/>
        <v>0.14027178853293765</v>
      </c>
      <c r="Z85" s="6">
        <f t="shared" si="31"/>
        <v>0.19269661219274659</v>
      </c>
      <c r="AA85" s="6">
        <f t="shared" si="32"/>
        <v>0.66703159927431577</v>
      </c>
      <c r="AB85" s="6">
        <f t="shared" si="33"/>
        <v>1</v>
      </c>
    </row>
    <row r="86" spans="1:28" x14ac:dyDescent="0.35">
      <c r="A86">
        <v>77</v>
      </c>
      <c r="B86" s="17">
        <f t="shared" si="34"/>
        <v>2313.25</v>
      </c>
      <c r="C86" s="17">
        <f t="shared" si="27"/>
        <v>2343.6875</v>
      </c>
      <c r="D86" s="17">
        <f t="shared" si="35"/>
        <v>2328.46875</v>
      </c>
      <c r="E86" s="17">
        <f t="shared" si="21"/>
        <v>76.5</v>
      </c>
      <c r="F86" s="17">
        <f t="shared" si="22"/>
        <v>66.375</v>
      </c>
      <c r="G86" s="21">
        <f>INDEX('Life Tables'!$F$8:$F$123,MATCH(Engine!F86,'Life Tables'!$B$8:$B$123,1))</f>
        <v>9.9985793693413427E-4</v>
      </c>
      <c r="H86" s="8">
        <f t="shared" si="23"/>
        <v>0.81350064430775282</v>
      </c>
      <c r="I86">
        <f t="shared" si="24"/>
        <v>1</v>
      </c>
      <c r="K86" s="22" t="e">
        <f>$I86*IF($E86&gt;_xlfn.AGGREGATE(4,6,'KM Data'!$B$6:$B$310),NA(),INDEX('KM Data'!$C$6:$C$310,MATCH($E86,'KM Data'!$B$6:$B$310,1)))</f>
        <v>#N/A</v>
      </c>
      <c r="L86" s="21">
        <f t="shared" si="25"/>
        <v>0.13834452321990809</v>
      </c>
      <c r="M86" s="20">
        <f t="shared" si="28"/>
        <v>1.3621487709341351E-2</v>
      </c>
      <c r="N86" s="21">
        <f t="shared" si="36"/>
        <v>0.13834452321990809</v>
      </c>
      <c r="O86" s="21">
        <f t="shared" si="37"/>
        <v>0.94419573430557135</v>
      </c>
      <c r="P86" s="21">
        <f t="shared" si="38"/>
        <v>0.13834452321990809</v>
      </c>
      <c r="R86" s="22" t="e">
        <f>$I86*IF($E86&gt;_xlfn.AGGREGATE(4,6,'KM Data'!$E$6:$E$205),NA(),INDEX('KM Data'!$F$6:$F$205,MATCH($E86,'KM Data'!$E$6:$E$205,1)))</f>
        <v>#N/A</v>
      </c>
      <c r="S86" s="21">
        <f t="shared" si="26"/>
        <v>0.3301957372380242</v>
      </c>
      <c r="T86" s="8">
        <f t="shared" si="29"/>
        <v>8.2603765543096674E-3</v>
      </c>
      <c r="U86" s="21">
        <f t="shared" si="39"/>
        <v>0.3301957372380242</v>
      </c>
      <c r="V86" s="21">
        <f t="shared" si="40"/>
        <v>0.94419573430557135</v>
      </c>
      <c r="W86" s="21">
        <f t="shared" si="41"/>
        <v>0.3301957372380242</v>
      </c>
      <c r="Y86" s="23">
        <f t="shared" si="30"/>
        <v>0.13834452321990809</v>
      </c>
      <c r="Z86" s="6">
        <f t="shared" si="31"/>
        <v>0.19185121401811611</v>
      </c>
      <c r="AA86" s="6">
        <f t="shared" si="32"/>
        <v>0.6698042627619758</v>
      </c>
      <c r="AB86" s="6">
        <f t="shared" si="33"/>
        <v>1</v>
      </c>
    </row>
    <row r="87" spans="1:28" x14ac:dyDescent="0.35">
      <c r="A87">
        <v>78</v>
      </c>
      <c r="B87" s="17">
        <f t="shared" si="34"/>
        <v>2343.6875</v>
      </c>
      <c r="C87" s="17">
        <f t="shared" si="27"/>
        <v>2374.125</v>
      </c>
      <c r="D87" s="17">
        <f t="shared" si="35"/>
        <v>2358.90625</v>
      </c>
      <c r="E87" s="17">
        <f t="shared" si="21"/>
        <v>77.5</v>
      </c>
      <c r="F87" s="17">
        <f t="shared" si="22"/>
        <v>66.458333333333329</v>
      </c>
      <c r="G87" s="21">
        <f>INDEX('Life Tables'!$F$8:$F$123,MATCH(Engine!F87,'Life Tables'!$B$8:$B$123,1))</f>
        <v>9.9985793693413427E-4</v>
      </c>
      <c r="H87" s="8">
        <f t="shared" si="23"/>
        <v>0.81350064430775282</v>
      </c>
      <c r="I87">
        <f t="shared" si="24"/>
        <v>1</v>
      </c>
      <c r="K87" s="22" t="e">
        <f>$I87*IF($E87&gt;_xlfn.AGGREGATE(4,6,'KM Data'!$B$6:$B$310),NA(),INDEX('KM Data'!$C$6:$C$310,MATCH($E87,'KM Data'!$B$6:$B$310,1)))</f>
        <v>#N/A</v>
      </c>
      <c r="L87" s="21">
        <f t="shared" si="25"/>
        <v>0.13646006499721341</v>
      </c>
      <c r="M87" s="20">
        <f t="shared" si="28"/>
        <v>1.3505793223233753E-2</v>
      </c>
      <c r="N87" s="21">
        <f t="shared" si="36"/>
        <v>0.13646006499721341</v>
      </c>
      <c r="O87" s="21">
        <f t="shared" si="37"/>
        <v>0.94325167270660659</v>
      </c>
      <c r="P87" s="21">
        <f t="shared" si="38"/>
        <v>0.13646006499721341</v>
      </c>
      <c r="R87" s="22" t="e">
        <f>$I87*IF($E87&gt;_xlfn.AGGREGATE(4,6,'KM Data'!$E$6:$E$205),NA(),INDEX('KM Data'!$F$6:$F$205,MATCH($E87,'KM Data'!$E$6:$E$205,1)))</f>
        <v>#N/A</v>
      </c>
      <c r="S87" s="21">
        <f t="shared" si="26"/>
        <v>0.32746819611181022</v>
      </c>
      <c r="T87" s="8">
        <f t="shared" si="29"/>
        <v>8.1949013374098545E-3</v>
      </c>
      <c r="U87" s="21">
        <f t="shared" si="39"/>
        <v>0.32746819611181022</v>
      </c>
      <c r="V87" s="21">
        <f t="shared" si="40"/>
        <v>0.94325167270660659</v>
      </c>
      <c r="W87" s="21">
        <f t="shared" si="41"/>
        <v>0.32746819611181022</v>
      </c>
      <c r="Y87" s="23">
        <f t="shared" si="30"/>
        <v>0.13646006499721341</v>
      </c>
      <c r="Z87" s="6">
        <f t="shared" si="31"/>
        <v>0.1910081311145968</v>
      </c>
      <c r="AA87" s="6">
        <f t="shared" si="32"/>
        <v>0.67253180388818978</v>
      </c>
      <c r="AB87" s="6">
        <f t="shared" si="33"/>
        <v>1</v>
      </c>
    </row>
    <row r="88" spans="1:28" x14ac:dyDescent="0.35">
      <c r="A88">
        <v>79</v>
      </c>
      <c r="B88" s="17">
        <f t="shared" si="34"/>
        <v>2374.125</v>
      </c>
      <c r="C88" s="17">
        <f t="shared" si="27"/>
        <v>2404.5625</v>
      </c>
      <c r="D88" s="17">
        <f t="shared" si="35"/>
        <v>2389.34375</v>
      </c>
      <c r="E88" s="17">
        <f t="shared" si="21"/>
        <v>78.5</v>
      </c>
      <c r="F88" s="17">
        <f t="shared" si="22"/>
        <v>66.541666666666671</v>
      </c>
      <c r="G88" s="21">
        <f>INDEX('Life Tables'!$F$8:$F$123,MATCH(Engine!F88,'Life Tables'!$B$8:$B$123,1))</f>
        <v>9.9985793693413427E-4</v>
      </c>
      <c r="H88" s="8">
        <f t="shared" si="23"/>
        <v>0.81350064430775282</v>
      </c>
      <c r="I88">
        <f t="shared" si="24"/>
        <v>1</v>
      </c>
      <c r="K88" s="22" t="e">
        <f>$I88*IF($E88&gt;_xlfn.AGGREGATE(4,6,'KM Data'!$B$6:$B$310),NA(),INDEX('KM Data'!$C$6:$C$310,MATCH($E88,'KM Data'!$B$6:$B$310,1)))</f>
        <v>#N/A</v>
      </c>
      <c r="L88" s="21">
        <f t="shared" si="25"/>
        <v>0.13461706357613201</v>
      </c>
      <c r="M88" s="20">
        <f t="shared" si="28"/>
        <v>1.3392352243503991E-2</v>
      </c>
      <c r="N88" s="21">
        <f t="shared" si="36"/>
        <v>0.13461706357613201</v>
      </c>
      <c r="O88" s="21">
        <f t="shared" si="37"/>
        <v>0.94230855503512445</v>
      </c>
      <c r="P88" s="21">
        <f t="shared" si="38"/>
        <v>0.13461706357613201</v>
      </c>
      <c r="R88" s="22" t="e">
        <f>$I88*IF($E88&gt;_xlfn.AGGREGATE(4,6,'KM Data'!$E$6:$E$205),NA(),INDEX('KM Data'!$F$6:$F$205,MATCH($E88,'KM Data'!$E$6:$E$205,1)))</f>
        <v>#N/A</v>
      </c>
      <c r="S88" s="21">
        <f t="shared" si="26"/>
        <v>0.32478462655353435</v>
      </c>
      <c r="T88" s="8">
        <f t="shared" si="29"/>
        <v>8.1306438842813078E-3</v>
      </c>
      <c r="U88" s="21">
        <f t="shared" si="39"/>
        <v>0.32478462655353435</v>
      </c>
      <c r="V88" s="21">
        <f t="shared" si="40"/>
        <v>0.94230855503512445</v>
      </c>
      <c r="W88" s="21">
        <f t="shared" si="41"/>
        <v>0.32478462655353435</v>
      </c>
      <c r="Y88" s="23">
        <f t="shared" si="30"/>
        <v>0.13461706357613201</v>
      </c>
      <c r="Z88" s="6">
        <f t="shared" si="31"/>
        <v>0.19016756297740234</v>
      </c>
      <c r="AA88" s="6">
        <f t="shared" si="32"/>
        <v>0.67521537344646565</v>
      </c>
      <c r="AB88" s="6">
        <f t="shared" si="33"/>
        <v>1</v>
      </c>
    </row>
    <row r="89" spans="1:28" x14ac:dyDescent="0.35">
      <c r="A89">
        <v>80</v>
      </c>
      <c r="B89" s="17">
        <f t="shared" si="34"/>
        <v>2404.5625</v>
      </c>
      <c r="C89" s="17">
        <f t="shared" si="27"/>
        <v>2435</v>
      </c>
      <c r="D89" s="17">
        <f t="shared" si="35"/>
        <v>2419.78125</v>
      </c>
      <c r="E89" s="17">
        <f t="shared" si="21"/>
        <v>79.5</v>
      </c>
      <c r="F89" s="17">
        <f t="shared" si="22"/>
        <v>66.625</v>
      </c>
      <c r="G89" s="21">
        <f>INDEX('Life Tables'!$F$8:$F$123,MATCH(Engine!F89,'Life Tables'!$B$8:$B$123,1))</f>
        <v>9.9985793693413427E-4</v>
      </c>
      <c r="H89" s="8">
        <f t="shared" si="23"/>
        <v>0.81350064430775282</v>
      </c>
      <c r="I89">
        <f t="shared" si="24"/>
        <v>1</v>
      </c>
      <c r="K89" s="22" t="e">
        <f>$I89*IF($E89&gt;_xlfn.AGGREGATE(4,6,'KM Data'!$B$6:$B$310),NA(),INDEX('KM Data'!$C$6:$C$310,MATCH($E89,'KM Data'!$B$6:$B$310,1)))</f>
        <v>#N/A</v>
      </c>
      <c r="L89" s="21">
        <f t="shared" si="25"/>
        <v>0.13281422444273427</v>
      </c>
      <c r="M89" s="20">
        <f t="shared" si="28"/>
        <v>1.3281095839410839E-2</v>
      </c>
      <c r="N89" s="21">
        <f t="shared" si="36"/>
        <v>0.13281422444273427</v>
      </c>
      <c r="O89" s="21">
        <f t="shared" si="37"/>
        <v>0.94136638034733167</v>
      </c>
      <c r="P89" s="21">
        <f t="shared" si="38"/>
        <v>0.13281422444273427</v>
      </c>
      <c r="R89" s="22" t="e">
        <f>$I89*IF($E89&gt;_xlfn.AGGREGATE(4,6,'KM Data'!$E$6:$E$205),NA(),INDEX('KM Data'!$F$6:$F$205,MATCH($E89,'KM Data'!$E$6:$E$205,1)))</f>
        <v>#N/A</v>
      </c>
      <c r="S89" s="21">
        <f t="shared" si="26"/>
        <v>0.32214391841593826</v>
      </c>
      <c r="T89" s="8">
        <f t="shared" si="29"/>
        <v>8.0675682934218118E-3</v>
      </c>
      <c r="U89" s="21">
        <f t="shared" si="39"/>
        <v>0.32214391841593826</v>
      </c>
      <c r="V89" s="21">
        <f t="shared" si="40"/>
        <v>0.94136638034733167</v>
      </c>
      <c r="W89" s="21">
        <f t="shared" si="41"/>
        <v>0.32214391841593826</v>
      </c>
      <c r="Y89" s="23">
        <f t="shared" si="30"/>
        <v>0.13281422444273427</v>
      </c>
      <c r="Z89" s="6">
        <f t="shared" si="31"/>
        <v>0.18932969397320398</v>
      </c>
      <c r="AA89" s="6">
        <f t="shared" si="32"/>
        <v>0.67785608158406174</v>
      </c>
      <c r="AB89" s="6">
        <f t="shared" si="33"/>
        <v>1</v>
      </c>
    </row>
    <row r="90" spans="1:28" x14ac:dyDescent="0.35">
      <c r="A90">
        <v>81</v>
      </c>
      <c r="B90" s="17">
        <f t="shared" si="34"/>
        <v>2435</v>
      </c>
      <c r="C90" s="17">
        <f t="shared" si="27"/>
        <v>2465.4375</v>
      </c>
      <c r="D90" s="17">
        <f t="shared" si="35"/>
        <v>2450.21875</v>
      </c>
      <c r="E90" s="17">
        <f t="shared" si="21"/>
        <v>80.5</v>
      </c>
      <c r="F90" s="17">
        <f t="shared" si="22"/>
        <v>66.708333333333329</v>
      </c>
      <c r="G90" s="21">
        <f>INDEX('Life Tables'!$F$8:$F$123,MATCH(Engine!F90,'Life Tables'!$B$8:$B$123,1))</f>
        <v>9.9985793693413427E-4</v>
      </c>
      <c r="H90" s="8">
        <f t="shared" si="23"/>
        <v>0.81350064430775282</v>
      </c>
      <c r="I90">
        <f t="shared" si="24"/>
        <v>1</v>
      </c>
      <c r="K90" s="22" t="e">
        <f>$I90*IF($E90&gt;_xlfn.AGGREGATE(4,6,'KM Data'!$B$6:$B$310),NA(),INDEX('KM Data'!$C$6:$C$310,MATCH($E90,'KM Data'!$B$6:$B$310,1)))</f>
        <v>#N/A</v>
      </c>
      <c r="L90" s="21">
        <f t="shared" si="25"/>
        <v>0.1310503059990733</v>
      </c>
      <c r="M90" s="20">
        <f t="shared" si="28"/>
        <v>1.3171957947113233E-2</v>
      </c>
      <c r="N90" s="21">
        <f t="shared" si="36"/>
        <v>0.1310503059990733</v>
      </c>
      <c r="O90" s="21">
        <f t="shared" si="37"/>
        <v>0.94042514770037844</v>
      </c>
      <c r="P90" s="21">
        <f t="shared" si="38"/>
        <v>0.1310503059990733</v>
      </c>
      <c r="R90" s="22" t="e">
        <f>$I90*IF($E90&gt;_xlfn.AGGREGATE(4,6,'KM Data'!$E$6:$E$205),NA(),INDEX('KM Data'!$F$6:$F$205,MATCH($E90,'KM Data'!$E$6:$E$205,1)))</f>
        <v>#N/A</v>
      </c>
      <c r="S90" s="21">
        <f t="shared" si="26"/>
        <v>0.31954500035380717</v>
      </c>
      <c r="T90" s="8">
        <f t="shared" si="29"/>
        <v>8.0056401098290708E-3</v>
      </c>
      <c r="U90" s="21">
        <f t="shared" si="39"/>
        <v>0.31954500035380717</v>
      </c>
      <c r="V90" s="21">
        <f t="shared" si="40"/>
        <v>0.94042514770037844</v>
      </c>
      <c r="W90" s="21">
        <f t="shared" si="41"/>
        <v>0.31954500035380717</v>
      </c>
      <c r="Y90" s="23">
        <f t="shared" si="30"/>
        <v>0.1310503059990733</v>
      </c>
      <c r="Z90" s="6">
        <f t="shared" si="31"/>
        <v>0.18849469435473387</v>
      </c>
      <c r="AA90" s="6">
        <f t="shared" si="32"/>
        <v>0.68045499964619283</v>
      </c>
      <c r="AB90" s="6">
        <f t="shared" si="33"/>
        <v>1</v>
      </c>
    </row>
    <row r="91" spans="1:28" x14ac:dyDescent="0.35">
      <c r="A91">
        <v>82</v>
      </c>
      <c r="B91" s="17">
        <f t="shared" si="34"/>
        <v>2465.4375</v>
      </c>
      <c r="C91" s="17">
        <f t="shared" si="27"/>
        <v>2495.875</v>
      </c>
      <c r="D91" s="17">
        <f t="shared" si="35"/>
        <v>2480.65625</v>
      </c>
      <c r="E91" s="17">
        <f t="shared" si="21"/>
        <v>81.5</v>
      </c>
      <c r="F91" s="17">
        <f t="shared" si="22"/>
        <v>66.791666666666671</v>
      </c>
      <c r="G91" s="21">
        <f>INDEX('Life Tables'!$F$8:$F$123,MATCH(Engine!F91,'Life Tables'!$B$8:$B$123,1))</f>
        <v>9.9985793693413427E-4</v>
      </c>
      <c r="H91" s="8">
        <f t="shared" si="23"/>
        <v>0.81350064430775282</v>
      </c>
      <c r="I91">
        <f t="shared" si="24"/>
        <v>1</v>
      </c>
      <c r="K91" s="22" t="e">
        <f>$I91*IF($E91&gt;_xlfn.AGGREGATE(4,6,'KM Data'!$B$6:$B$310),NA(),INDEX('KM Data'!$C$6:$C$310,MATCH($E91,'KM Data'!$B$6:$B$310,1)))</f>
        <v>#N/A</v>
      </c>
      <c r="L91" s="21">
        <f t="shared" si="25"/>
        <v>0.12932411687949719</v>
      </c>
      <c r="M91" s="20">
        <f t="shared" si="28"/>
        <v>1.3064875219415795E-2</v>
      </c>
      <c r="N91" s="21">
        <f t="shared" si="36"/>
        <v>0.12932411687949719</v>
      </c>
      <c r="O91" s="21">
        <f t="shared" si="37"/>
        <v>0.93948485615235777</v>
      </c>
      <c r="P91" s="21">
        <f t="shared" si="38"/>
        <v>0.12932411687949719</v>
      </c>
      <c r="R91" s="22" t="e">
        <f>$I91*IF($E91&gt;_xlfn.AGGREGATE(4,6,'KM Data'!$E$6:$E$205),NA(),INDEX('KM Data'!$F$6:$F$205,MATCH($E91,'KM Data'!$E$6:$E$205,1)))</f>
        <v>#N/A</v>
      </c>
      <c r="S91" s="21">
        <f t="shared" si="26"/>
        <v>0.31698683808207939</v>
      </c>
      <c r="T91" s="8">
        <f t="shared" si="29"/>
        <v>7.9448262513303058E-3</v>
      </c>
      <c r="U91" s="21">
        <f t="shared" si="39"/>
        <v>0.31698683808207939</v>
      </c>
      <c r="V91" s="21">
        <f t="shared" si="40"/>
        <v>0.93948485615235777</v>
      </c>
      <c r="W91" s="21">
        <f t="shared" si="41"/>
        <v>0.31698683808207939</v>
      </c>
      <c r="Y91" s="23">
        <f t="shared" si="30"/>
        <v>0.12932411687949719</v>
      </c>
      <c r="Z91" s="6">
        <f t="shared" si="31"/>
        <v>0.18766272120258221</v>
      </c>
      <c r="AA91" s="6">
        <f t="shared" si="32"/>
        <v>0.68301316191792061</v>
      </c>
      <c r="AB91" s="6">
        <f t="shared" si="33"/>
        <v>1</v>
      </c>
    </row>
    <row r="92" spans="1:28" x14ac:dyDescent="0.35">
      <c r="A92">
        <v>83</v>
      </c>
      <c r="B92" s="17">
        <f t="shared" si="34"/>
        <v>2495.875</v>
      </c>
      <c r="C92" s="17">
        <f t="shared" si="27"/>
        <v>2526.3125</v>
      </c>
      <c r="D92" s="17">
        <f t="shared" si="35"/>
        <v>2511.09375</v>
      </c>
      <c r="E92" s="17">
        <f t="shared" si="21"/>
        <v>82.5</v>
      </c>
      <c r="F92" s="17">
        <f t="shared" si="22"/>
        <v>66.875</v>
      </c>
      <c r="G92" s="21">
        <f>INDEX('Life Tables'!$F$8:$F$123,MATCH(Engine!F92,'Life Tables'!$B$8:$B$123,1))</f>
        <v>9.9985793693413427E-4</v>
      </c>
      <c r="H92" s="8">
        <f t="shared" si="23"/>
        <v>0.81350064430775282</v>
      </c>
      <c r="I92">
        <f t="shared" si="24"/>
        <v>1</v>
      </c>
      <c r="K92" s="22" t="e">
        <f>$I92*IF($E92&gt;_xlfn.AGGREGATE(4,6,'KM Data'!$B$6:$B$310),NA(),INDEX('KM Data'!$C$6:$C$310,MATCH($E92,'KM Data'!$B$6:$B$310,1)))</f>
        <v>#N/A</v>
      </c>
      <c r="L92" s="21">
        <f t="shared" si="25"/>
        <v>0.12763451342960541</v>
      </c>
      <c r="M92" s="20">
        <f t="shared" si="28"/>
        <v>1.2959786884956137E-2</v>
      </c>
      <c r="N92" s="21">
        <f t="shared" si="36"/>
        <v>0.12763451342960541</v>
      </c>
      <c r="O92" s="21">
        <f t="shared" si="37"/>
        <v>0.93854550476230436</v>
      </c>
      <c r="P92" s="21">
        <f t="shared" si="38"/>
        <v>0.12763451342960541</v>
      </c>
      <c r="R92" s="22" t="e">
        <f>$I92*IF($E92&gt;_xlfn.AGGREGATE(4,6,'KM Data'!$E$6:$E$205),NA(),INDEX('KM Data'!$F$6:$F$205,MATCH($E92,'KM Data'!$E$6:$E$205,1)))</f>
        <v>#N/A</v>
      </c>
      <c r="S92" s="21">
        <f t="shared" si="26"/>
        <v>0.31446843272955871</v>
      </c>
      <c r="T92" s="8">
        <f t="shared" si="29"/>
        <v>7.8850949394149161E-3</v>
      </c>
      <c r="U92" s="21">
        <f t="shared" si="39"/>
        <v>0.31446843272955871</v>
      </c>
      <c r="V92" s="21">
        <f t="shared" si="40"/>
        <v>0.93854550476230436</v>
      </c>
      <c r="W92" s="21">
        <f t="shared" si="41"/>
        <v>0.31446843272955871</v>
      </c>
      <c r="Y92" s="23">
        <f t="shared" si="30"/>
        <v>0.12763451342960541</v>
      </c>
      <c r="Z92" s="6">
        <f t="shared" si="31"/>
        <v>0.1868339192999533</v>
      </c>
      <c r="AA92" s="6">
        <f t="shared" si="32"/>
        <v>0.68553156727044129</v>
      </c>
      <c r="AB92" s="6">
        <f t="shared" si="33"/>
        <v>1</v>
      </c>
    </row>
    <row r="93" spans="1:28" x14ac:dyDescent="0.35">
      <c r="A93">
        <v>84</v>
      </c>
      <c r="B93" s="17">
        <f t="shared" si="34"/>
        <v>2526.3125</v>
      </c>
      <c r="C93" s="17">
        <f t="shared" si="27"/>
        <v>2556.75</v>
      </c>
      <c r="D93" s="17">
        <f t="shared" si="35"/>
        <v>2541.53125</v>
      </c>
      <c r="E93" s="17">
        <f t="shared" si="21"/>
        <v>83.5</v>
      </c>
      <c r="F93" s="17">
        <f t="shared" si="22"/>
        <v>66.958333333333329</v>
      </c>
      <c r="G93" s="21">
        <f>INDEX('Life Tables'!$F$8:$F$123,MATCH(Engine!F93,'Life Tables'!$B$8:$B$123,1))</f>
        <v>9.9985793693413427E-4</v>
      </c>
      <c r="H93" s="8">
        <f t="shared" si="23"/>
        <v>0.78599096068381913</v>
      </c>
      <c r="I93">
        <f t="shared" si="24"/>
        <v>1</v>
      </c>
      <c r="K93" s="22" t="e">
        <f>$I93*IF($E93&gt;_xlfn.AGGREGATE(4,6,'KM Data'!$B$6:$B$310),NA(),INDEX('KM Data'!$C$6:$C$310,MATCH($E93,'KM Data'!$B$6:$B$310,1)))</f>
        <v>#N/A</v>
      </c>
      <c r="L93" s="21">
        <f t="shared" si="25"/>
        <v>0.12598039733639266</v>
      </c>
      <c r="M93" s="20">
        <f t="shared" si="28"/>
        <v>1.2856634616184803E-2</v>
      </c>
      <c r="N93" s="21">
        <f t="shared" si="36"/>
        <v>0.12598039733639266</v>
      </c>
      <c r="O93" s="21">
        <f t="shared" si="37"/>
        <v>0.93760709259019392</v>
      </c>
      <c r="P93" s="21">
        <f t="shared" si="38"/>
        <v>0.12598039733639266</v>
      </c>
      <c r="R93" s="22" t="e">
        <f>$I93*IF($E93&gt;_xlfn.AGGREGATE(4,6,'KM Data'!$E$6:$E$205),NA(),INDEX('KM Data'!$F$6:$F$205,MATCH($E93,'KM Data'!$E$6:$E$205,1)))</f>
        <v>#N/A</v>
      </c>
      <c r="S93" s="21">
        <f t="shared" si="26"/>
        <v>0.31198881928203714</v>
      </c>
      <c r="T93" s="8">
        <f t="shared" si="29"/>
        <v>7.8264156342724434E-3</v>
      </c>
      <c r="U93" s="21">
        <f t="shared" si="39"/>
        <v>0.31198881928203714</v>
      </c>
      <c r="V93" s="21">
        <f t="shared" si="40"/>
        <v>0.93760709259019392</v>
      </c>
      <c r="W93" s="21">
        <f t="shared" si="41"/>
        <v>0.31198881928203714</v>
      </c>
      <c r="Y93" s="23">
        <f t="shared" si="30"/>
        <v>0.12598039733639266</v>
      </c>
      <c r="Z93" s="6">
        <f t="shared" si="31"/>
        <v>0.18600842194564449</v>
      </c>
      <c r="AA93" s="6">
        <f t="shared" si="32"/>
        <v>0.68801118071796286</v>
      </c>
      <c r="AB93" s="6">
        <f t="shared" si="33"/>
        <v>1</v>
      </c>
    </row>
    <row r="94" spans="1:28" x14ac:dyDescent="0.35">
      <c r="A94">
        <v>85</v>
      </c>
      <c r="B94" s="17">
        <f t="shared" si="34"/>
        <v>2556.75</v>
      </c>
      <c r="C94" s="17">
        <f t="shared" si="27"/>
        <v>2587.1875</v>
      </c>
      <c r="D94" s="17">
        <f t="shared" si="35"/>
        <v>2571.96875</v>
      </c>
      <c r="E94" s="17">
        <f t="shared" si="21"/>
        <v>84.5</v>
      </c>
      <c r="F94" s="17">
        <f t="shared" si="22"/>
        <v>67.041666666666671</v>
      </c>
      <c r="G94" s="21">
        <f>INDEX('Life Tables'!$F$8:$F$123,MATCH(Engine!F94,'Life Tables'!$B$8:$B$123,1))</f>
        <v>1.0999443932893094E-3</v>
      </c>
      <c r="H94" s="8">
        <f t="shared" si="23"/>
        <v>0.78599096068381913</v>
      </c>
      <c r="I94">
        <f t="shared" si="24"/>
        <v>1</v>
      </c>
      <c r="K94" s="22" t="e">
        <f>$I94*IF($E94&gt;_xlfn.AGGREGATE(4,6,'KM Data'!$B$6:$B$310),NA(),INDEX('KM Data'!$C$6:$C$310,MATCH($E94,'KM Data'!$B$6:$B$310,1)))</f>
        <v>#N/A</v>
      </c>
      <c r="L94" s="21">
        <f t="shared" si="25"/>
        <v>0.12436071339903687</v>
      </c>
      <c r="M94" s="20">
        <f t="shared" si="28"/>
        <v>1.2755362405483361E-2</v>
      </c>
      <c r="N94" s="21">
        <f t="shared" si="36"/>
        <v>0.12436071339903687</v>
      </c>
      <c r="O94" s="21">
        <f t="shared" si="37"/>
        <v>0.93666961869694187</v>
      </c>
      <c r="P94" s="21">
        <f t="shared" si="38"/>
        <v>0.12436071339903687</v>
      </c>
      <c r="R94" s="22" t="e">
        <f>$I94*IF($E94&gt;_xlfn.AGGREGATE(4,6,'KM Data'!$E$6:$E$205),NA(),INDEX('KM Data'!$F$6:$F$205,MATCH($E94,'KM Data'!$E$6:$E$205,1)))</f>
        <v>#N/A</v>
      </c>
      <c r="S94" s="21">
        <f t="shared" si="26"/>
        <v>0.30954706510909002</v>
      </c>
      <c r="T94" s="8">
        <f t="shared" si="29"/>
        <v>7.7687589737444052E-3</v>
      </c>
      <c r="U94" s="21">
        <f t="shared" si="39"/>
        <v>0.30954706510909002</v>
      </c>
      <c r="V94" s="21">
        <f t="shared" si="40"/>
        <v>0.93666961869694187</v>
      </c>
      <c r="W94" s="21">
        <f t="shared" si="41"/>
        <v>0.30954706510909002</v>
      </c>
      <c r="Y94" s="23">
        <f t="shared" si="30"/>
        <v>0.12436071339903687</v>
      </c>
      <c r="Z94" s="6">
        <f t="shared" si="31"/>
        <v>0.18518635171005315</v>
      </c>
      <c r="AA94" s="6">
        <f t="shared" si="32"/>
        <v>0.69045293489090998</v>
      </c>
      <c r="AB94" s="6">
        <f t="shared" si="33"/>
        <v>1</v>
      </c>
    </row>
    <row r="95" spans="1:28" x14ac:dyDescent="0.35">
      <c r="A95">
        <v>86</v>
      </c>
      <c r="B95" s="17">
        <f t="shared" si="34"/>
        <v>2587.1875</v>
      </c>
      <c r="C95" s="17">
        <f t="shared" si="27"/>
        <v>2617.625</v>
      </c>
      <c r="D95" s="17">
        <f t="shared" si="35"/>
        <v>2602.40625</v>
      </c>
      <c r="E95" s="17">
        <f t="shared" si="21"/>
        <v>85.5</v>
      </c>
      <c r="F95" s="17">
        <f t="shared" si="22"/>
        <v>67.125</v>
      </c>
      <c r="G95" s="21">
        <f>INDEX('Life Tables'!$F$8:$F$123,MATCH(Engine!F95,'Life Tables'!$B$8:$B$123,1))</f>
        <v>1.0999443932893094E-3</v>
      </c>
      <c r="H95" s="8">
        <f t="shared" si="23"/>
        <v>0.78599096068381913</v>
      </c>
      <c r="I95">
        <f t="shared" si="24"/>
        <v>1</v>
      </c>
      <c r="K95" s="22" t="e">
        <f>$I95*IF($E95&gt;_xlfn.AGGREGATE(4,6,'KM Data'!$B$6:$B$310),NA(),INDEX('KM Data'!$C$6:$C$310,MATCH($E95,'KM Data'!$B$6:$B$310,1)))</f>
        <v>#N/A</v>
      </c>
      <c r="L95" s="21">
        <f t="shared" si="25"/>
        <v>0.12277444743062771</v>
      </c>
      <c r="M95" s="20">
        <f t="shared" si="28"/>
        <v>1.2655916448825577E-2</v>
      </c>
      <c r="N95" s="21">
        <f t="shared" si="36"/>
        <v>0.12277444743062771</v>
      </c>
      <c r="O95" s="21">
        <f t="shared" si="37"/>
        <v>0.9356393342014917</v>
      </c>
      <c r="P95" s="21">
        <f t="shared" si="38"/>
        <v>0.12277444743062771</v>
      </c>
      <c r="R95" s="22" t="e">
        <f>$I95*IF($E95&gt;_xlfn.AGGREGATE(4,6,'KM Data'!$E$6:$E$205),NA(),INDEX('KM Data'!$F$6:$F$205,MATCH($E95,'KM Data'!$E$6:$E$205,1)))</f>
        <v>#N/A</v>
      </c>
      <c r="S95" s="21">
        <f t="shared" si="26"/>
        <v>0.30714226856922755</v>
      </c>
      <c r="T95" s="8">
        <f t="shared" si="29"/>
        <v>7.7120967158781362E-3</v>
      </c>
      <c r="U95" s="21">
        <f t="shared" si="39"/>
        <v>0.30714226856922755</v>
      </c>
      <c r="V95" s="21">
        <f t="shared" si="40"/>
        <v>0.9356393342014917</v>
      </c>
      <c r="W95" s="21">
        <f t="shared" si="41"/>
        <v>0.30714226856922755</v>
      </c>
      <c r="Y95" s="23">
        <f t="shared" si="30"/>
        <v>0.12277444743062771</v>
      </c>
      <c r="Z95" s="6">
        <f t="shared" si="31"/>
        <v>0.18436782113859984</v>
      </c>
      <c r="AA95" s="6">
        <f t="shared" si="32"/>
        <v>0.69285773143077245</v>
      </c>
      <c r="AB95" s="6">
        <f t="shared" si="33"/>
        <v>1</v>
      </c>
    </row>
    <row r="96" spans="1:28" x14ac:dyDescent="0.35">
      <c r="A96">
        <v>87</v>
      </c>
      <c r="B96" s="17">
        <f t="shared" si="34"/>
        <v>2617.625</v>
      </c>
      <c r="C96" s="17">
        <f t="shared" si="27"/>
        <v>2648.0625</v>
      </c>
      <c r="D96" s="17">
        <f t="shared" si="35"/>
        <v>2632.84375</v>
      </c>
      <c r="E96" s="17">
        <f t="shared" si="21"/>
        <v>86.5</v>
      </c>
      <c r="F96" s="17">
        <f t="shared" si="22"/>
        <v>67.208333333333329</v>
      </c>
      <c r="G96" s="21">
        <f>INDEX('Life Tables'!$F$8:$F$123,MATCH(Engine!F96,'Life Tables'!$B$8:$B$123,1))</f>
        <v>1.0999443932893094E-3</v>
      </c>
      <c r="H96" s="8">
        <f t="shared" si="23"/>
        <v>0.78599096068381913</v>
      </c>
      <c r="I96">
        <f t="shared" si="24"/>
        <v>1</v>
      </c>
      <c r="K96" s="22" t="e">
        <f>$I96*IF($E96&gt;_xlfn.AGGREGATE(4,6,'KM Data'!$B$6:$B$310),NA(),INDEX('KM Data'!$C$6:$C$310,MATCH($E96,'KM Data'!$B$6:$B$310,1)))</f>
        <v>#N/A</v>
      </c>
      <c r="L96" s="21">
        <f t="shared" si="25"/>
        <v>0.12122062428189495</v>
      </c>
      <c r="M96" s="20">
        <f t="shared" si="28"/>
        <v>1.2558245036476623E-2</v>
      </c>
      <c r="N96" s="21">
        <f t="shared" si="36"/>
        <v>0.12122062428189495</v>
      </c>
      <c r="O96" s="21">
        <f t="shared" si="37"/>
        <v>0.93461018296169585</v>
      </c>
      <c r="P96" s="21">
        <f t="shared" si="38"/>
        <v>0.12122062428189495</v>
      </c>
      <c r="R96" s="22" t="e">
        <f>$I96*IF($E96&gt;_xlfn.AGGREGATE(4,6,'KM Data'!$E$6:$E$205),NA(),INDEX('KM Data'!$F$6:$F$205,MATCH($E96,'KM Data'!$E$6:$E$205,1)))</f>
        <v>#N/A</v>
      </c>
      <c r="S96" s="21">
        <f t="shared" si="26"/>
        <v>0.30477355768848746</v>
      </c>
      <c r="T96" s="8">
        <f t="shared" si="29"/>
        <v>7.6564016848884586E-3</v>
      </c>
      <c r="U96" s="21">
        <f t="shared" si="39"/>
        <v>0.30477355768848746</v>
      </c>
      <c r="V96" s="21">
        <f t="shared" si="40"/>
        <v>0.93461018296169585</v>
      </c>
      <c r="W96" s="21">
        <f t="shared" si="41"/>
        <v>0.30477355768848746</v>
      </c>
      <c r="Y96" s="23">
        <f t="shared" si="30"/>
        <v>0.12122062428189495</v>
      </c>
      <c r="Z96" s="6">
        <f t="shared" si="31"/>
        <v>0.18355293340659251</v>
      </c>
      <c r="AA96" s="6">
        <f t="shared" si="32"/>
        <v>0.69522644231151254</v>
      </c>
      <c r="AB96" s="6">
        <f t="shared" si="33"/>
        <v>1</v>
      </c>
    </row>
    <row r="97" spans="1:28" x14ac:dyDescent="0.35">
      <c r="A97">
        <v>88</v>
      </c>
      <c r="B97" s="17">
        <f t="shared" si="34"/>
        <v>2648.0625</v>
      </c>
      <c r="C97" s="17">
        <f t="shared" si="27"/>
        <v>2678.5</v>
      </c>
      <c r="D97" s="17">
        <f t="shared" si="35"/>
        <v>2663.28125</v>
      </c>
      <c r="E97" s="17">
        <f t="shared" si="21"/>
        <v>87.5</v>
      </c>
      <c r="F97" s="17">
        <f t="shared" si="22"/>
        <v>67.291666666666671</v>
      </c>
      <c r="G97" s="21">
        <f>INDEX('Life Tables'!$F$8:$F$123,MATCH(Engine!F97,'Life Tables'!$B$8:$B$123,1))</f>
        <v>1.0999443932893094E-3</v>
      </c>
      <c r="H97" s="8">
        <f t="shared" si="23"/>
        <v>0.78599096068381913</v>
      </c>
      <c r="I97">
        <f t="shared" si="24"/>
        <v>1</v>
      </c>
      <c r="K97" s="22" t="e">
        <f>$I97*IF($E97&gt;_xlfn.AGGREGATE(4,6,'KM Data'!$B$6:$B$310),NA(),INDEX('KM Data'!$C$6:$C$310,MATCH($E97,'KM Data'!$B$6:$B$310,1)))</f>
        <v>#N/A</v>
      </c>
      <c r="L97" s="21">
        <f t="shared" si="25"/>
        <v>0.11969830597868825</v>
      </c>
      <c r="M97" s="20">
        <f t="shared" si="28"/>
        <v>1.246229845019875E-2</v>
      </c>
      <c r="N97" s="21">
        <f t="shared" si="36"/>
        <v>0.11969830597868825</v>
      </c>
      <c r="O97" s="21">
        <f t="shared" si="37"/>
        <v>0.93358216373103609</v>
      </c>
      <c r="P97" s="21">
        <f t="shared" si="38"/>
        <v>0.11969830597868825</v>
      </c>
      <c r="R97" s="22" t="e">
        <f>$I97*IF($E97&gt;_xlfn.AGGREGATE(4,6,'KM Data'!$E$6:$E$205),NA(),INDEX('KM Data'!$F$6:$F$205,MATCH($E97,'KM Data'!$E$6:$E$205,1)))</f>
        <v>#N/A</v>
      </c>
      <c r="S97" s="21">
        <f t="shared" si="26"/>
        <v>0.30244008890789187</v>
      </c>
      <c r="T97" s="8">
        <f t="shared" si="29"/>
        <v>7.6016477202347499E-3</v>
      </c>
      <c r="U97" s="21">
        <f t="shared" si="39"/>
        <v>0.30244008890789187</v>
      </c>
      <c r="V97" s="21">
        <f t="shared" si="40"/>
        <v>0.93358216373103609</v>
      </c>
      <c r="W97" s="21">
        <f t="shared" si="41"/>
        <v>0.30244008890789187</v>
      </c>
      <c r="Y97" s="23">
        <f t="shared" si="30"/>
        <v>0.11969830597868825</v>
      </c>
      <c r="Z97" s="6">
        <f t="shared" si="31"/>
        <v>0.18274178292920362</v>
      </c>
      <c r="AA97" s="6">
        <f t="shared" si="32"/>
        <v>0.69755991109210813</v>
      </c>
      <c r="AB97" s="6">
        <f t="shared" si="33"/>
        <v>1</v>
      </c>
    </row>
    <row r="98" spans="1:28" x14ac:dyDescent="0.35">
      <c r="A98">
        <v>89</v>
      </c>
      <c r="B98" s="17">
        <f t="shared" si="34"/>
        <v>2678.5</v>
      </c>
      <c r="C98" s="17">
        <f t="shared" si="27"/>
        <v>2708.9375</v>
      </c>
      <c r="D98" s="17">
        <f t="shared" si="35"/>
        <v>2693.71875</v>
      </c>
      <c r="E98" s="17">
        <f t="shared" si="21"/>
        <v>88.5</v>
      </c>
      <c r="F98" s="17">
        <f t="shared" si="22"/>
        <v>67.375</v>
      </c>
      <c r="G98" s="21">
        <f>INDEX('Life Tables'!$F$8:$F$123,MATCH(Engine!F98,'Life Tables'!$B$8:$B$123,1))</f>
        <v>1.0999443932893094E-3</v>
      </c>
      <c r="H98" s="8">
        <f t="shared" si="23"/>
        <v>0.78599096068381913</v>
      </c>
      <c r="I98">
        <f t="shared" si="24"/>
        <v>1</v>
      </c>
      <c r="K98" s="22" t="e">
        <f>$I98*IF($E98&gt;_xlfn.AGGREGATE(4,6,'KM Data'!$B$6:$B$310),NA(),INDEX('KM Data'!$C$6:$C$310,MATCH($E98,'KM Data'!$B$6:$B$310,1)))</f>
        <v>#N/A</v>
      </c>
      <c r="L98" s="21">
        <f t="shared" si="25"/>
        <v>0.11820658996559863</v>
      </c>
      <c r="M98" s="20">
        <f t="shared" si="28"/>
        <v>1.2368028866537983E-2</v>
      </c>
      <c r="N98" s="21">
        <f t="shared" si="36"/>
        <v>0.11820658996559863</v>
      </c>
      <c r="O98" s="21">
        <f t="shared" si="37"/>
        <v>0.93255527526436521</v>
      </c>
      <c r="P98" s="21">
        <f t="shared" si="38"/>
        <v>0.11820658996559863</v>
      </c>
      <c r="R98" s="22" t="e">
        <f>$I98*IF($E98&gt;_xlfn.AGGREGATE(4,6,'KM Data'!$E$6:$E$205),NA(),INDEX('KM Data'!$F$6:$F$205,MATCH($E98,'KM Data'!$E$6:$E$205,1)))</f>
        <v>#N/A</v>
      </c>
      <c r="S98" s="21">
        <f t="shared" si="26"/>
        <v>0.30014104589553758</v>
      </c>
      <c r="T98" s="8">
        <f t="shared" si="29"/>
        <v>7.547809628655644E-3</v>
      </c>
      <c r="U98" s="21">
        <f t="shared" si="39"/>
        <v>0.30014104589553758</v>
      </c>
      <c r="V98" s="21">
        <f t="shared" si="40"/>
        <v>0.93255527526436521</v>
      </c>
      <c r="W98" s="21">
        <f t="shared" si="41"/>
        <v>0.30014104589553758</v>
      </c>
      <c r="Y98" s="23">
        <f t="shared" si="30"/>
        <v>0.11820658996559863</v>
      </c>
      <c r="Z98" s="6">
        <f t="shared" si="31"/>
        <v>0.18193445592993895</v>
      </c>
      <c r="AA98" s="6">
        <f t="shared" si="32"/>
        <v>0.69985895410446242</v>
      </c>
      <c r="AB98" s="6">
        <f t="shared" si="33"/>
        <v>1</v>
      </c>
    </row>
    <row r="99" spans="1:28" x14ac:dyDescent="0.35">
      <c r="A99">
        <v>90</v>
      </c>
      <c r="B99" s="17">
        <f t="shared" si="34"/>
        <v>2708.9375</v>
      </c>
      <c r="C99" s="17">
        <f t="shared" si="27"/>
        <v>2739.375</v>
      </c>
      <c r="D99" s="17">
        <f t="shared" si="35"/>
        <v>2724.15625</v>
      </c>
      <c r="E99" s="17">
        <f t="shared" si="21"/>
        <v>89.5</v>
      </c>
      <c r="F99" s="17">
        <f t="shared" si="22"/>
        <v>67.458333333333329</v>
      </c>
      <c r="G99" s="21">
        <f>INDEX('Life Tables'!$F$8:$F$123,MATCH(Engine!F99,'Life Tables'!$B$8:$B$123,1))</f>
        <v>1.0999443932893094E-3</v>
      </c>
      <c r="H99" s="8">
        <f t="shared" si="23"/>
        <v>0.78599096068381913</v>
      </c>
      <c r="I99">
        <f t="shared" si="24"/>
        <v>1</v>
      </c>
      <c r="K99" s="22" t="e">
        <f>$I99*IF($E99&gt;_xlfn.AGGREGATE(4,6,'KM Data'!$B$6:$B$310),NA(),INDEX('KM Data'!$C$6:$C$310,MATCH($E99,'KM Data'!$B$6:$B$310,1)))</f>
        <v>#N/A</v>
      </c>
      <c r="L99" s="21">
        <f t="shared" si="25"/>
        <v>0.11674460744868909</v>
      </c>
      <c r="M99" s="20">
        <f t="shared" si="28"/>
        <v>1.227539026574942E-2</v>
      </c>
      <c r="N99" s="21">
        <f t="shared" si="36"/>
        <v>0.11674460744868909</v>
      </c>
      <c r="O99" s="21">
        <f t="shared" si="37"/>
        <v>0.93152951631790581</v>
      </c>
      <c r="P99" s="21">
        <f t="shared" si="38"/>
        <v>0.11674460744868909</v>
      </c>
      <c r="R99" s="22" t="e">
        <f>$I99*IF($E99&gt;_xlfn.AGGREGATE(4,6,'KM Data'!$E$6:$E$205),NA(),INDEX('KM Data'!$F$6:$F$205,MATCH($E99,'KM Data'!$E$6:$E$205,1)))</f>
        <v>#N/A</v>
      </c>
      <c r="S99" s="21">
        <f t="shared" si="26"/>
        <v>0.29787563841937248</v>
      </c>
      <c r="T99" s="8">
        <f t="shared" si="29"/>
        <v>7.4948631389124554E-3</v>
      </c>
      <c r="U99" s="21">
        <f t="shared" si="39"/>
        <v>0.29787563841937248</v>
      </c>
      <c r="V99" s="21">
        <f t="shared" si="40"/>
        <v>0.93152951631790581</v>
      </c>
      <c r="W99" s="21">
        <f t="shared" si="41"/>
        <v>0.29787563841937248</v>
      </c>
      <c r="Y99" s="23">
        <f t="shared" si="30"/>
        <v>0.11674460744868909</v>
      </c>
      <c r="Z99" s="6">
        <f t="shared" si="31"/>
        <v>0.18113103097068339</v>
      </c>
      <c r="AA99" s="6">
        <f t="shared" si="32"/>
        <v>0.70212436158062752</v>
      </c>
      <c r="AB99" s="6">
        <f t="shared" si="33"/>
        <v>1</v>
      </c>
    </row>
    <row r="100" spans="1:28" x14ac:dyDescent="0.35">
      <c r="A100">
        <v>91</v>
      </c>
      <c r="B100" s="17">
        <f t="shared" si="34"/>
        <v>2739.375</v>
      </c>
      <c r="C100" s="17">
        <f t="shared" si="27"/>
        <v>2769.8125</v>
      </c>
      <c r="D100" s="17">
        <f t="shared" si="35"/>
        <v>2754.59375</v>
      </c>
      <c r="E100" s="17">
        <f t="shared" si="21"/>
        <v>90.5</v>
      </c>
      <c r="F100" s="17">
        <f t="shared" si="22"/>
        <v>67.541666666666671</v>
      </c>
      <c r="G100" s="21">
        <f>INDEX('Life Tables'!$F$8:$F$123,MATCH(Engine!F100,'Life Tables'!$B$8:$B$123,1))</f>
        <v>1.0999443932893094E-3</v>
      </c>
      <c r="H100" s="8">
        <f t="shared" si="23"/>
        <v>0.78599096068381913</v>
      </c>
      <c r="I100">
        <f t="shared" si="24"/>
        <v>1</v>
      </c>
      <c r="K100" s="22" t="e">
        <f>$I100*IF($E100&gt;_xlfn.AGGREGATE(4,6,'KM Data'!$B$6:$B$310),NA(),INDEX('KM Data'!$C$6:$C$310,MATCH($E100,'KM Data'!$B$6:$B$310,1)))</f>
        <v>#N/A</v>
      </c>
      <c r="L100" s="21">
        <f t="shared" si="25"/>
        <v>0.11531152183083471</v>
      </c>
      <c r="M100" s="20">
        <f t="shared" si="28"/>
        <v>1.2184338346018952E-2</v>
      </c>
      <c r="N100" s="21">
        <f t="shared" si="36"/>
        <v>0.11531152183083471</v>
      </c>
      <c r="O100" s="21">
        <f t="shared" si="37"/>
        <v>0.93050488564924838</v>
      </c>
      <c r="P100" s="21">
        <f t="shared" si="38"/>
        <v>0.11531152183083471</v>
      </c>
      <c r="R100" s="22" t="e">
        <f>$I100*IF($E100&gt;_xlfn.AGGREGATE(4,6,'KM Data'!$E$6:$E$205),NA(),INDEX('KM Data'!$F$6:$F$205,MATCH($E100,'KM Data'!$E$6:$E$205,1)))</f>
        <v>#N/A</v>
      </c>
      <c r="S100" s="21">
        <f t="shared" si="26"/>
        <v>0.29564310127700311</v>
      </c>
      <c r="T100" s="8">
        <f t="shared" si="29"/>
        <v>7.4427848591084311E-3</v>
      </c>
      <c r="U100" s="21">
        <f t="shared" si="39"/>
        <v>0.29564310127700311</v>
      </c>
      <c r="V100" s="21">
        <f t="shared" si="40"/>
        <v>0.93050488564924838</v>
      </c>
      <c r="W100" s="21">
        <f t="shared" si="41"/>
        <v>0.29564310127700311</v>
      </c>
      <c r="Y100" s="23">
        <f t="shared" si="30"/>
        <v>0.11531152183083471</v>
      </c>
      <c r="Z100" s="6">
        <f t="shared" si="31"/>
        <v>0.1803315794461684</v>
      </c>
      <c r="AA100" s="6">
        <f t="shared" si="32"/>
        <v>0.70435689872299689</v>
      </c>
      <c r="AB100" s="6">
        <f t="shared" si="33"/>
        <v>1</v>
      </c>
    </row>
    <row r="101" spans="1:28" x14ac:dyDescent="0.35">
      <c r="A101">
        <v>92</v>
      </c>
      <c r="B101" s="17">
        <f t="shared" si="34"/>
        <v>2769.8125</v>
      </c>
      <c r="C101" s="17">
        <f t="shared" si="27"/>
        <v>2800.25</v>
      </c>
      <c r="D101" s="17">
        <f t="shared" si="35"/>
        <v>2785.03125</v>
      </c>
      <c r="E101" s="17">
        <f t="shared" si="21"/>
        <v>91.5</v>
      </c>
      <c r="F101" s="17">
        <f t="shared" si="22"/>
        <v>67.625</v>
      </c>
      <c r="G101" s="21">
        <f>INDEX('Life Tables'!$F$8:$F$123,MATCH(Engine!F101,'Life Tables'!$B$8:$B$123,1))</f>
        <v>1.0999443932893094E-3</v>
      </c>
      <c r="H101" s="8">
        <f t="shared" si="23"/>
        <v>0.78599096068381913</v>
      </c>
      <c r="I101">
        <f t="shared" si="24"/>
        <v>1</v>
      </c>
      <c r="K101" s="22" t="e">
        <f>$I101*IF($E101&gt;_xlfn.AGGREGATE(4,6,'KM Data'!$B$6:$B$310),NA(),INDEX('KM Data'!$C$6:$C$310,MATCH($E101,'KM Data'!$B$6:$B$310,1)))</f>
        <v>#N/A</v>
      </c>
      <c r="L101" s="21">
        <f t="shared" si="25"/>
        <v>0.11390652723365347</v>
      </c>
      <c r="M101" s="20">
        <f t="shared" si="28"/>
        <v>1.2094830442561544E-2</v>
      </c>
      <c r="N101" s="21">
        <f t="shared" si="36"/>
        <v>0.11390652723365347</v>
      </c>
      <c r="O101" s="21">
        <f t="shared" si="37"/>
        <v>0.9294813820173502</v>
      </c>
      <c r="P101" s="21">
        <f t="shared" si="38"/>
        <v>0.11390652723365347</v>
      </c>
      <c r="R101" s="22" t="e">
        <f>$I101*IF($E101&gt;_xlfn.AGGREGATE(4,6,'KM Data'!$E$6:$E$205),NA(),INDEX('KM Data'!$F$6:$F$205,MATCH($E101,'KM Data'!$E$6:$E$205,1)))</f>
        <v>#N/A</v>
      </c>
      <c r="S101" s="21">
        <f t="shared" si="26"/>
        <v>0.29344269327911876</v>
      </c>
      <c r="T101" s="8">
        <f t="shared" si="29"/>
        <v>7.3915522363789954E-3</v>
      </c>
      <c r="U101" s="21">
        <f t="shared" si="39"/>
        <v>0.29344269327911876</v>
      </c>
      <c r="V101" s="21">
        <f t="shared" si="40"/>
        <v>0.9294813820173502</v>
      </c>
      <c r="W101" s="21">
        <f t="shared" si="41"/>
        <v>0.29344269327911876</v>
      </c>
      <c r="Y101" s="23">
        <f t="shared" si="30"/>
        <v>0.11390652723365347</v>
      </c>
      <c r="Z101" s="6">
        <f t="shared" si="31"/>
        <v>0.1795361660454653</v>
      </c>
      <c r="AA101" s="6">
        <f t="shared" si="32"/>
        <v>0.70655730672088124</v>
      </c>
      <c r="AB101" s="6">
        <f t="shared" si="33"/>
        <v>1</v>
      </c>
    </row>
    <row r="102" spans="1:28" x14ac:dyDescent="0.35">
      <c r="A102">
        <v>93</v>
      </c>
      <c r="B102" s="17">
        <f t="shared" si="34"/>
        <v>2800.25</v>
      </c>
      <c r="C102" s="17">
        <f t="shared" si="27"/>
        <v>2830.6875</v>
      </c>
      <c r="D102" s="17">
        <f t="shared" si="35"/>
        <v>2815.46875</v>
      </c>
      <c r="E102" s="17">
        <f t="shared" si="21"/>
        <v>92.5</v>
      </c>
      <c r="F102" s="17">
        <f t="shared" si="22"/>
        <v>67.708333333333329</v>
      </c>
      <c r="G102" s="21">
        <f>INDEX('Life Tables'!$F$8:$F$123,MATCH(Engine!F102,'Life Tables'!$B$8:$B$123,1))</f>
        <v>1.0999443932893094E-3</v>
      </c>
      <c r="H102" s="8">
        <f t="shared" si="23"/>
        <v>0.78599096068381913</v>
      </c>
      <c r="I102">
        <f t="shared" si="24"/>
        <v>1</v>
      </c>
      <c r="K102" s="22" t="e">
        <f>$I102*IF($E102&gt;_xlfn.AGGREGATE(4,6,'KM Data'!$B$6:$B$310),NA(),INDEX('KM Data'!$C$6:$C$310,MATCH($E102,'KM Data'!$B$6:$B$310,1)))</f>
        <v>#N/A</v>
      </c>
      <c r="L102" s="21">
        <f t="shared" si="25"/>
        <v>0.1125288471004614</v>
      </c>
      <c r="M102" s="20">
        <f t="shared" si="28"/>
        <v>1.2006825451330583E-2</v>
      </c>
      <c r="N102" s="21">
        <f t="shared" si="36"/>
        <v>0.1125288471004614</v>
      </c>
      <c r="O102" s="21">
        <f t="shared" si="37"/>
        <v>0.92845900418253346</v>
      </c>
      <c r="P102" s="21">
        <f t="shared" si="38"/>
        <v>0.1125288471004614</v>
      </c>
      <c r="R102" s="22" t="e">
        <f>$I102*IF($E102&gt;_xlfn.AGGREGATE(4,6,'KM Data'!$E$6:$E$205),NA(),INDEX('KM Data'!$F$6:$F$205,MATCH($E102,'KM Data'!$E$6:$E$205,1)))</f>
        <v>#N/A</v>
      </c>
      <c r="S102" s="21">
        <f t="shared" si="26"/>
        <v>0.29127369628336242</v>
      </c>
      <c r="T102" s="8">
        <f t="shared" si="29"/>
        <v>7.3411435188095453E-3</v>
      </c>
      <c r="U102" s="21">
        <f t="shared" si="39"/>
        <v>0.29127369628336242</v>
      </c>
      <c r="V102" s="21">
        <f t="shared" si="40"/>
        <v>0.92845900418253346</v>
      </c>
      <c r="W102" s="21">
        <f t="shared" si="41"/>
        <v>0.29127369628336242</v>
      </c>
      <c r="Y102" s="23">
        <f t="shared" si="30"/>
        <v>0.1125288471004614</v>
      </c>
      <c r="Z102" s="6">
        <f t="shared" si="31"/>
        <v>0.17874484918290101</v>
      </c>
      <c r="AA102" s="6">
        <f t="shared" si="32"/>
        <v>0.70872630371663758</v>
      </c>
      <c r="AB102" s="6">
        <f t="shared" si="33"/>
        <v>1</v>
      </c>
    </row>
    <row r="103" spans="1:28" x14ac:dyDescent="0.35">
      <c r="A103">
        <v>94</v>
      </c>
      <c r="B103" s="17">
        <f t="shared" si="34"/>
        <v>2830.6875</v>
      </c>
      <c r="C103" s="17">
        <f t="shared" si="27"/>
        <v>2861.125</v>
      </c>
      <c r="D103" s="17">
        <f t="shared" si="35"/>
        <v>2845.90625</v>
      </c>
      <c r="E103" s="17">
        <f t="shared" si="21"/>
        <v>93.5</v>
      </c>
      <c r="F103" s="17">
        <f t="shared" si="22"/>
        <v>67.791666666666671</v>
      </c>
      <c r="G103" s="21">
        <f>INDEX('Life Tables'!$F$8:$F$123,MATCH(Engine!F103,'Life Tables'!$B$8:$B$123,1))</f>
        <v>1.0999443932893094E-3</v>
      </c>
      <c r="H103" s="8">
        <f t="shared" si="23"/>
        <v>0.78599096068381913</v>
      </c>
      <c r="I103">
        <f t="shared" si="24"/>
        <v>1</v>
      </c>
      <c r="K103" s="22" t="e">
        <f>$I103*IF($E103&gt;_xlfn.AGGREGATE(4,6,'KM Data'!$B$6:$B$310),NA(),INDEX('KM Data'!$C$6:$C$310,MATCH($E103,'KM Data'!$B$6:$B$310,1)))</f>
        <v>#N/A</v>
      </c>
      <c r="L103" s="21">
        <f t="shared" si="25"/>
        <v>0.1111777328750867</v>
      </c>
      <c r="M103" s="20">
        <f t="shared" si="28"/>
        <v>1.1920283756989725E-2</v>
      </c>
      <c r="N103" s="21">
        <f t="shared" si="36"/>
        <v>0.1111777328750867</v>
      </c>
      <c r="O103" s="21">
        <f t="shared" si="37"/>
        <v>0.92743775090648395</v>
      </c>
      <c r="P103" s="21">
        <f t="shared" si="38"/>
        <v>0.1111777328750867</v>
      </c>
      <c r="R103" s="22" t="e">
        <f>$I103*IF($E103&gt;_xlfn.AGGREGATE(4,6,'KM Data'!$E$6:$E$205),NA(),INDEX('KM Data'!$F$6:$F$205,MATCH($E103,'KM Data'!$E$6:$E$205,1)))</f>
        <v>#N/A</v>
      </c>
      <c r="S103" s="21">
        <f t="shared" si="26"/>
        <v>0.28913541427569212</v>
      </c>
      <c r="T103" s="8">
        <f t="shared" si="29"/>
        <v>7.2915377194460174E-3</v>
      </c>
      <c r="U103" s="21">
        <f t="shared" si="39"/>
        <v>0.28913541427569212</v>
      </c>
      <c r="V103" s="21">
        <f t="shared" si="40"/>
        <v>0.92743775090648395</v>
      </c>
      <c r="W103" s="21">
        <f t="shared" si="41"/>
        <v>0.28913541427569212</v>
      </c>
      <c r="Y103" s="23">
        <f t="shared" si="30"/>
        <v>0.1111777328750867</v>
      </c>
      <c r="Z103" s="6">
        <f t="shared" si="31"/>
        <v>0.17795768140060542</v>
      </c>
      <c r="AA103" s="6">
        <f t="shared" si="32"/>
        <v>0.71086458572430788</v>
      </c>
      <c r="AB103" s="6">
        <f t="shared" si="33"/>
        <v>1</v>
      </c>
    </row>
    <row r="104" spans="1:28" x14ac:dyDescent="0.35">
      <c r="A104">
        <v>95</v>
      </c>
      <c r="B104" s="17">
        <f t="shared" si="34"/>
        <v>2861.125</v>
      </c>
      <c r="C104" s="17">
        <f t="shared" si="27"/>
        <v>2891.5625</v>
      </c>
      <c r="D104" s="17">
        <f t="shared" si="35"/>
        <v>2876.34375</v>
      </c>
      <c r="E104" s="17">
        <f t="shared" si="21"/>
        <v>94.5</v>
      </c>
      <c r="F104" s="17">
        <f t="shared" si="22"/>
        <v>67.875</v>
      </c>
      <c r="G104" s="21">
        <f>INDEX('Life Tables'!$F$8:$F$123,MATCH(Engine!F104,'Life Tables'!$B$8:$B$123,1))</f>
        <v>1.0999443932893094E-3</v>
      </c>
      <c r="H104" s="8">
        <f t="shared" si="23"/>
        <v>0.78599096068381913</v>
      </c>
      <c r="I104">
        <f t="shared" si="24"/>
        <v>1</v>
      </c>
      <c r="K104" s="22" t="e">
        <f>$I104*IF($E104&gt;_xlfn.AGGREGATE(4,6,'KM Data'!$B$6:$B$310),NA(),INDEX('KM Data'!$C$6:$C$310,MATCH($E104,'KM Data'!$B$6:$B$310,1)))</f>
        <v>#N/A</v>
      </c>
      <c r="L104" s="21">
        <f t="shared" si="25"/>
        <v>0.10985246275175686</v>
      </c>
      <c r="M104" s="20">
        <f t="shared" si="28"/>
        <v>1.1835167164906957E-2</v>
      </c>
      <c r="N104" s="21">
        <f t="shared" si="36"/>
        <v>0.10985246275175686</v>
      </c>
      <c r="O104" s="21">
        <f t="shared" si="37"/>
        <v>0.92641762095224955</v>
      </c>
      <c r="P104" s="21">
        <f t="shared" si="38"/>
        <v>0.10985246275175686</v>
      </c>
      <c r="R104" s="22" t="e">
        <f>$I104*IF($E104&gt;_xlfn.AGGREGATE(4,6,'KM Data'!$E$6:$E$205),NA(),INDEX('KM Data'!$F$6:$F$205,MATCH($E104,'KM Data'!$E$6:$E$205,1)))</f>
        <v>#N/A</v>
      </c>
      <c r="S104" s="21">
        <f t="shared" si="26"/>
        <v>0.28702717249647325</v>
      </c>
      <c r="T104" s="8">
        <f t="shared" si="29"/>
        <v>7.2427145822510086E-3</v>
      </c>
      <c r="U104" s="21">
        <f t="shared" si="39"/>
        <v>0.28702717249647325</v>
      </c>
      <c r="V104" s="21">
        <f t="shared" si="40"/>
        <v>0.92641762095224955</v>
      </c>
      <c r="W104" s="21">
        <f t="shared" si="41"/>
        <v>0.28702717249647325</v>
      </c>
      <c r="Y104" s="23">
        <f t="shared" si="30"/>
        <v>0.10985246275175686</v>
      </c>
      <c r="Z104" s="6">
        <f t="shared" si="31"/>
        <v>0.17717470974471639</v>
      </c>
      <c r="AA104" s="6">
        <f t="shared" si="32"/>
        <v>0.71297282750352675</v>
      </c>
      <c r="AB104" s="6">
        <f t="shared" si="33"/>
        <v>1</v>
      </c>
    </row>
    <row r="105" spans="1:28" x14ac:dyDescent="0.35">
      <c r="A105">
        <v>96</v>
      </c>
      <c r="B105" s="17">
        <f t="shared" si="34"/>
        <v>2891.5625</v>
      </c>
      <c r="C105" s="17">
        <f t="shared" si="27"/>
        <v>2922</v>
      </c>
      <c r="D105" s="17">
        <f t="shared" si="35"/>
        <v>2906.78125</v>
      </c>
      <c r="E105" s="17">
        <f t="shared" si="21"/>
        <v>95.5</v>
      </c>
      <c r="F105" s="17">
        <f t="shared" si="22"/>
        <v>67.958333333333329</v>
      </c>
      <c r="G105" s="21">
        <f>INDEX('Life Tables'!$F$8:$F$123,MATCH(Engine!F105,'Life Tables'!$B$8:$B$123,1))</f>
        <v>1.0999443932893094E-3</v>
      </c>
      <c r="H105" s="8">
        <f t="shared" si="23"/>
        <v>0.75941155621625056</v>
      </c>
      <c r="I105">
        <f t="shared" si="24"/>
        <v>1</v>
      </c>
      <c r="K105" s="22" t="e">
        <f>$I105*IF($E105&gt;_xlfn.AGGREGATE(4,6,'KM Data'!$B$6:$B$310),NA(),INDEX('KM Data'!$C$6:$C$310,MATCH($E105,'KM Data'!$B$6:$B$310,1)))</f>
        <v>#N/A</v>
      </c>
      <c r="L105" s="21">
        <f t="shared" si="25"/>
        <v>0.10855234049161311</v>
      </c>
      <c r="M105" s="20">
        <f t="shared" si="28"/>
        <v>1.1751438836859918E-2</v>
      </c>
      <c r="N105" s="21">
        <f t="shared" si="36"/>
        <v>0.10855234049161311</v>
      </c>
      <c r="O105" s="21">
        <f t="shared" si="37"/>
        <v>0.92539861308423865</v>
      </c>
      <c r="P105" s="21">
        <f t="shared" si="38"/>
        <v>0.10855234049161311</v>
      </c>
      <c r="R105" s="22" t="e">
        <f>$I105*IF($E105&gt;_xlfn.AGGREGATE(4,6,'KM Data'!$E$6:$E$205),NA(),INDEX('KM Data'!$F$6:$F$205,MATCH($E105,'KM Data'!$E$6:$E$205,1)))</f>
        <v>#N/A</v>
      </c>
      <c r="S105" s="21">
        <f t="shared" si="26"/>
        <v>0.28494831660873077</v>
      </c>
      <c r="T105" s="8">
        <f t="shared" si="29"/>
        <v>7.1946545498892123E-3</v>
      </c>
      <c r="U105" s="21">
        <f t="shared" si="39"/>
        <v>0.28494831660873077</v>
      </c>
      <c r="V105" s="21">
        <f t="shared" si="40"/>
        <v>0.92539861308423865</v>
      </c>
      <c r="W105" s="21">
        <f t="shared" si="41"/>
        <v>0.28494831660873077</v>
      </c>
      <c r="Y105" s="23">
        <f t="shared" si="30"/>
        <v>0.10855234049161311</v>
      </c>
      <c r="Z105" s="6">
        <f t="shared" si="31"/>
        <v>0.17639597611711766</v>
      </c>
      <c r="AA105" s="6">
        <f t="shared" si="32"/>
        <v>0.71505168339126923</v>
      </c>
      <c r="AB105" s="6">
        <f t="shared" si="33"/>
        <v>1</v>
      </c>
    </row>
    <row r="106" spans="1:28" x14ac:dyDescent="0.35">
      <c r="A106">
        <v>97</v>
      </c>
      <c r="B106" s="17">
        <f t="shared" si="34"/>
        <v>2922</v>
      </c>
      <c r="C106" s="17">
        <f t="shared" si="27"/>
        <v>2952.4375</v>
      </c>
      <c r="D106" s="17">
        <f t="shared" si="35"/>
        <v>2937.21875</v>
      </c>
      <c r="E106" s="17">
        <f t="shared" si="21"/>
        <v>96.5</v>
      </c>
      <c r="F106" s="17">
        <f t="shared" si="22"/>
        <v>68.041666666666671</v>
      </c>
      <c r="G106" s="21">
        <f>INDEX('Life Tables'!$F$8:$F$123,MATCH(Engine!F106,'Life Tables'!$B$8:$B$123,1))</f>
        <v>1.2116875502521385E-3</v>
      </c>
      <c r="H106" s="8">
        <f t="shared" si="23"/>
        <v>0.75941155621625056</v>
      </c>
      <c r="I106">
        <f t="shared" si="24"/>
        <v>1</v>
      </c>
      <c r="K106" s="22" t="e">
        <f>$I106*IF($E106&gt;_xlfn.AGGREGATE(4,6,'KM Data'!$B$6:$B$310),NA(),INDEX('KM Data'!$C$6:$C$310,MATCH($E106,'KM Data'!$B$6:$B$310,1)))</f>
        <v>#N/A</v>
      </c>
      <c r="L106" s="21">
        <f t="shared" si="25"/>
        <v>0.10727669430172793</v>
      </c>
      <c r="M106" s="20">
        <f t="shared" si="28"/>
        <v>1.1669063230282162E-2</v>
      </c>
      <c r="N106" s="21">
        <f t="shared" si="36"/>
        <v>0.10727669430172793</v>
      </c>
      <c r="O106" s="21">
        <f t="shared" si="37"/>
        <v>0.92438072606821897</v>
      </c>
      <c r="P106" s="21">
        <f t="shared" si="38"/>
        <v>0.10727669430172793</v>
      </c>
      <c r="R106" s="22" t="e">
        <f>$I106*IF($E106&gt;_xlfn.AGGREGATE(4,6,'KM Data'!$E$6:$E$205),NA(),INDEX('KM Data'!$F$6:$F$205,MATCH($E106,'KM Data'!$E$6:$E$205,1)))</f>
        <v>#N/A</v>
      </c>
      <c r="S106" s="21">
        <f t="shared" si="26"/>
        <v>0.28289821190615849</v>
      </c>
      <c r="T106" s="8">
        <f t="shared" si="29"/>
        <v>7.147338733228481E-3</v>
      </c>
      <c r="U106" s="21">
        <f t="shared" si="39"/>
        <v>0.28289821190615849</v>
      </c>
      <c r="V106" s="21">
        <f t="shared" si="40"/>
        <v>0.92438072606821897</v>
      </c>
      <c r="W106" s="21">
        <f t="shared" si="41"/>
        <v>0.28289821190615849</v>
      </c>
      <c r="Y106" s="23">
        <f t="shared" si="30"/>
        <v>0.10727669430172793</v>
      </c>
      <c r="Z106" s="6">
        <f t="shared" si="31"/>
        <v>0.17562151760443057</v>
      </c>
      <c r="AA106" s="6">
        <f t="shared" si="32"/>
        <v>0.71710178809384151</v>
      </c>
      <c r="AB106" s="6">
        <f t="shared" si="33"/>
        <v>1</v>
      </c>
    </row>
    <row r="107" spans="1:28" x14ac:dyDescent="0.35">
      <c r="A107">
        <v>98</v>
      </c>
      <c r="B107" s="17">
        <f t="shared" si="34"/>
        <v>2952.4375</v>
      </c>
      <c r="C107" s="17">
        <f t="shared" si="27"/>
        <v>2982.875</v>
      </c>
      <c r="D107" s="17">
        <f t="shared" si="35"/>
        <v>2967.65625</v>
      </c>
      <c r="E107" s="17">
        <f t="shared" si="21"/>
        <v>97.5</v>
      </c>
      <c r="F107" s="17">
        <f t="shared" si="22"/>
        <v>68.125</v>
      </c>
      <c r="G107" s="21">
        <f>INDEX('Life Tables'!$F$8:$F$123,MATCH(Engine!F107,'Life Tables'!$B$8:$B$123,1))</f>
        <v>1.2116875502521385E-3</v>
      </c>
      <c r="H107" s="8">
        <f t="shared" si="23"/>
        <v>0.75941155621625056</v>
      </c>
      <c r="I107">
        <f t="shared" si="24"/>
        <v>1</v>
      </c>
      <c r="K107" s="22" t="e">
        <f>$I107*IF($E107&gt;_xlfn.AGGREGATE(4,6,'KM Data'!$B$6:$B$310),NA(),INDEX('KM Data'!$C$6:$C$310,MATCH($E107,'KM Data'!$B$6:$B$310,1)))</f>
        <v>#N/A</v>
      </c>
      <c r="L107" s="21">
        <f t="shared" si="25"/>
        <v>0.10602487577278541</v>
      </c>
      <c r="M107" s="20">
        <f t="shared" si="28"/>
        <v>1.1588006040748833E-2</v>
      </c>
      <c r="N107" s="21">
        <f t="shared" si="36"/>
        <v>0.10602487577278541</v>
      </c>
      <c r="O107" s="21">
        <f t="shared" si="37"/>
        <v>0.92326066545074903</v>
      </c>
      <c r="P107" s="21">
        <f t="shared" si="38"/>
        <v>0.10602487577278541</v>
      </c>
      <c r="R107" s="22" t="e">
        <f>$I107*IF($E107&gt;_xlfn.AGGREGATE(4,6,'KM Data'!$E$6:$E$205),NA(),INDEX('KM Data'!$F$6:$F$205,MATCH($E107,'KM Data'!$E$6:$E$205,1)))</f>
        <v>#N/A</v>
      </c>
      <c r="S107" s="21">
        <f t="shared" si="26"/>
        <v>0.28087624255864052</v>
      </c>
      <c r="T107" s="8">
        <f t="shared" si="29"/>
        <v>7.1007488824411658E-3</v>
      </c>
      <c r="U107" s="21">
        <f t="shared" si="39"/>
        <v>0.28087624255864052</v>
      </c>
      <c r="V107" s="21">
        <f t="shared" si="40"/>
        <v>0.92326066545074903</v>
      </c>
      <c r="W107" s="21">
        <f t="shared" si="41"/>
        <v>0.28087624255864052</v>
      </c>
      <c r="Y107" s="23">
        <f t="shared" si="30"/>
        <v>0.10602487577278541</v>
      </c>
      <c r="Z107" s="6">
        <f t="shared" si="31"/>
        <v>0.17485136678585511</v>
      </c>
      <c r="AA107" s="6">
        <f t="shared" si="32"/>
        <v>0.71912375744135948</v>
      </c>
      <c r="AB107" s="6">
        <f t="shared" si="33"/>
        <v>1</v>
      </c>
    </row>
    <row r="108" spans="1:28" x14ac:dyDescent="0.35">
      <c r="A108">
        <v>99</v>
      </c>
      <c r="B108" s="17">
        <f t="shared" si="34"/>
        <v>2982.875</v>
      </c>
      <c r="C108" s="17">
        <f t="shared" si="27"/>
        <v>3013.3125</v>
      </c>
      <c r="D108" s="17">
        <f t="shared" si="35"/>
        <v>2998.09375</v>
      </c>
      <c r="E108" s="17">
        <f t="shared" si="21"/>
        <v>98.5</v>
      </c>
      <c r="F108" s="17">
        <f t="shared" si="22"/>
        <v>68.208333333333329</v>
      </c>
      <c r="G108" s="21">
        <f>INDEX('Life Tables'!$F$8:$F$123,MATCH(Engine!F108,'Life Tables'!$B$8:$B$123,1))</f>
        <v>1.2116875502521385E-3</v>
      </c>
      <c r="H108" s="8">
        <f t="shared" si="23"/>
        <v>0.75941155621625056</v>
      </c>
      <c r="I108">
        <f t="shared" si="24"/>
        <v>1</v>
      </c>
      <c r="K108" s="22" t="e">
        <f>$I108*IF($E108&gt;_xlfn.AGGREGATE(4,6,'KM Data'!$B$6:$B$310),NA(),INDEX('KM Data'!$C$6:$C$310,MATCH($E108,'KM Data'!$B$6:$B$310,1)))</f>
        <v>#N/A</v>
      </c>
      <c r="L108" s="21">
        <f t="shared" si="25"/>
        <v>0.10479625887186073</v>
      </c>
      <c r="M108" s="20">
        <f t="shared" si="28"/>
        <v>1.1508234147560858E-2</v>
      </c>
      <c r="N108" s="21">
        <f t="shared" si="36"/>
        <v>0.10479625887186073</v>
      </c>
      <c r="O108" s="21">
        <f t="shared" si="37"/>
        <v>0.92214196199678489</v>
      </c>
      <c r="P108" s="21">
        <f t="shared" si="38"/>
        <v>0.10479625887186073</v>
      </c>
      <c r="R108" s="22" t="e">
        <f>$I108*IF($E108&gt;_xlfn.AGGREGATE(4,6,'KM Data'!$E$6:$E$205),NA(),INDEX('KM Data'!$F$6:$F$205,MATCH($E108,'KM Data'!$E$6:$E$205,1)))</f>
        <v>#N/A</v>
      </c>
      <c r="S108" s="21">
        <f t="shared" si="26"/>
        <v>0.27888181089318798</v>
      </c>
      <c r="T108" s="8">
        <f t="shared" si="29"/>
        <v>7.0548673596232403E-3</v>
      </c>
      <c r="U108" s="21">
        <f t="shared" si="39"/>
        <v>0.27888181089318798</v>
      </c>
      <c r="V108" s="21">
        <f t="shared" si="40"/>
        <v>0.92214196199678489</v>
      </c>
      <c r="W108" s="21">
        <f t="shared" si="41"/>
        <v>0.27888181089318798</v>
      </c>
      <c r="Y108" s="23">
        <f t="shared" si="30"/>
        <v>0.10479625887186073</v>
      </c>
      <c r="Z108" s="6">
        <f t="shared" si="31"/>
        <v>0.17408555202132725</v>
      </c>
      <c r="AA108" s="6">
        <f t="shared" si="32"/>
        <v>0.72111818910681202</v>
      </c>
      <c r="AB108" s="6">
        <f t="shared" si="33"/>
        <v>1</v>
      </c>
    </row>
    <row r="109" spans="1:28" x14ac:dyDescent="0.35">
      <c r="A109">
        <v>100</v>
      </c>
      <c r="B109" s="17">
        <f t="shared" si="34"/>
        <v>3013.3125</v>
      </c>
      <c r="C109" s="17">
        <f t="shared" si="27"/>
        <v>3043.75</v>
      </c>
      <c r="D109" s="17">
        <f t="shared" si="35"/>
        <v>3028.53125</v>
      </c>
      <c r="E109" s="17">
        <f t="shared" si="21"/>
        <v>99.5</v>
      </c>
      <c r="F109" s="17">
        <f t="shared" si="22"/>
        <v>68.291666666666671</v>
      </c>
      <c r="G109" s="21">
        <f>INDEX('Life Tables'!$F$8:$F$123,MATCH(Engine!F109,'Life Tables'!$B$8:$B$123,1))</f>
        <v>1.2116875502521385E-3</v>
      </c>
      <c r="H109" s="8">
        <f t="shared" si="23"/>
        <v>0.75941155621625056</v>
      </c>
      <c r="I109">
        <f t="shared" si="24"/>
        <v>1</v>
      </c>
      <c r="K109" s="22" t="e">
        <f>$I109*IF($E109&gt;_xlfn.AGGREGATE(4,6,'KM Data'!$B$6:$B$310),NA(),INDEX('KM Data'!$C$6:$C$310,MATCH($E109,'KM Data'!$B$6:$B$310,1)))</f>
        <v>#N/A</v>
      </c>
      <c r="L109" s="21">
        <f t="shared" si="25"/>
        <v>0.10359023898697495</v>
      </c>
      <c r="M109" s="20">
        <f t="shared" si="28"/>
        <v>1.142971556220973E-2</v>
      </c>
      <c r="N109" s="21">
        <f t="shared" si="36"/>
        <v>0.10359023898697495</v>
      </c>
      <c r="O109" s="21">
        <f t="shared" si="37"/>
        <v>0.92102461406186831</v>
      </c>
      <c r="P109" s="21">
        <f t="shared" si="38"/>
        <v>0.10359023898697495</v>
      </c>
      <c r="R109" s="22" t="e">
        <f>$I109*IF($E109&gt;_xlfn.AGGREGATE(4,6,'KM Data'!$E$6:$E$205),NA(),INDEX('KM Data'!$F$6:$F$205,MATCH($E109,'KM Data'!$E$6:$E$205,1)))</f>
        <v>#N/A</v>
      </c>
      <c r="S109" s="21">
        <f t="shared" si="26"/>
        <v>0.27691433670832499</v>
      </c>
      <c r="T109" s="8">
        <f t="shared" si="29"/>
        <v>7.0096771128181912E-3</v>
      </c>
      <c r="U109" s="21">
        <f t="shared" si="39"/>
        <v>0.27691433670832499</v>
      </c>
      <c r="V109" s="21">
        <f t="shared" si="40"/>
        <v>0.92102461406186831</v>
      </c>
      <c r="W109" s="21">
        <f t="shared" si="41"/>
        <v>0.27691433670832499</v>
      </c>
      <c r="Y109" s="23">
        <f t="shared" si="30"/>
        <v>0.10359023898697495</v>
      </c>
      <c r="Z109" s="6">
        <f t="shared" si="31"/>
        <v>0.17332409772135005</v>
      </c>
      <c r="AA109" s="6">
        <f t="shared" si="32"/>
        <v>0.72308566329167501</v>
      </c>
      <c r="AB109" s="6">
        <f t="shared" si="33"/>
        <v>1</v>
      </c>
    </row>
    <row r="110" spans="1:28" x14ac:dyDescent="0.35">
      <c r="A110">
        <v>101</v>
      </c>
      <c r="B110" s="17">
        <f t="shared" si="34"/>
        <v>3043.75</v>
      </c>
      <c r="C110" s="17">
        <f t="shared" si="27"/>
        <v>3074.1875</v>
      </c>
      <c r="D110" s="17">
        <f t="shared" si="35"/>
        <v>3058.96875</v>
      </c>
      <c r="E110" s="17">
        <f t="shared" si="21"/>
        <v>100.5</v>
      </c>
      <c r="F110" s="17">
        <f t="shared" si="22"/>
        <v>68.375</v>
      </c>
      <c r="G110" s="21">
        <f>INDEX('Life Tables'!$F$8:$F$123,MATCH(Engine!F110,'Life Tables'!$B$8:$B$123,1))</f>
        <v>1.2116875502521385E-3</v>
      </c>
      <c r="H110" s="8">
        <f t="shared" si="23"/>
        <v>0.75941155621625056</v>
      </c>
      <c r="I110">
        <f t="shared" si="24"/>
        <v>1</v>
      </c>
      <c r="K110" s="22" t="e">
        <f>$I110*IF($E110&gt;_xlfn.AGGREGATE(4,6,'KM Data'!$B$6:$B$310),NA(),INDEX('KM Data'!$C$6:$C$310,MATCH($E110,'KM Data'!$B$6:$B$310,1)))</f>
        <v>#N/A</v>
      </c>
      <c r="L110" s="21">
        <f t="shared" si="25"/>
        <v>0.1024062320203325</v>
      </c>
      <c r="M110" s="20">
        <f t="shared" si="28"/>
        <v>1.1352419379521694E-2</v>
      </c>
      <c r="N110" s="21">
        <f t="shared" si="36"/>
        <v>0.1024062320203325</v>
      </c>
      <c r="O110" s="21">
        <f t="shared" si="37"/>
        <v>0.91990862000353379</v>
      </c>
      <c r="P110" s="21">
        <f t="shared" si="38"/>
        <v>0.1024062320203325</v>
      </c>
      <c r="R110" s="22" t="e">
        <f>$I110*IF($E110&gt;_xlfn.AGGREGATE(4,6,'KM Data'!$E$6:$E$205),NA(),INDEX('KM Data'!$F$6:$F$205,MATCH($E110,'KM Data'!$E$6:$E$205,1)))</f>
        <v>#N/A</v>
      </c>
      <c r="S110" s="21">
        <f t="shared" si="26"/>
        <v>0.27497325662008942</v>
      </c>
      <c r="T110" s="8">
        <f t="shared" si="29"/>
        <v>6.9651616513805026E-3</v>
      </c>
      <c r="U110" s="21">
        <f t="shared" si="39"/>
        <v>0.27497325662008942</v>
      </c>
      <c r="V110" s="21">
        <f t="shared" si="40"/>
        <v>0.91990862000353379</v>
      </c>
      <c r="W110" s="21">
        <f t="shared" si="41"/>
        <v>0.27497325662008942</v>
      </c>
      <c r="Y110" s="23">
        <f t="shared" si="30"/>
        <v>0.1024062320203325</v>
      </c>
      <c r="Z110" s="6">
        <f t="shared" si="31"/>
        <v>0.17256702459975692</v>
      </c>
      <c r="AA110" s="6">
        <f t="shared" si="32"/>
        <v>0.72502674337991058</v>
      </c>
      <c r="AB110" s="6">
        <f t="shared" si="33"/>
        <v>1</v>
      </c>
    </row>
    <row r="111" spans="1:28" x14ac:dyDescent="0.35">
      <c r="A111">
        <v>102</v>
      </c>
      <c r="B111" s="17">
        <f t="shared" si="34"/>
        <v>3074.1875</v>
      </c>
      <c r="C111" s="17">
        <f t="shared" si="27"/>
        <v>3104.625</v>
      </c>
      <c r="D111" s="17">
        <f t="shared" si="35"/>
        <v>3089.40625</v>
      </c>
      <c r="E111" s="17">
        <f t="shared" si="21"/>
        <v>101.5</v>
      </c>
      <c r="F111" s="17">
        <f t="shared" si="22"/>
        <v>68.458333333333329</v>
      </c>
      <c r="G111" s="21">
        <f>INDEX('Life Tables'!$F$8:$F$123,MATCH(Engine!F111,'Life Tables'!$B$8:$B$123,1))</f>
        <v>1.2116875502521385E-3</v>
      </c>
      <c r="H111" s="8">
        <f t="shared" si="23"/>
        <v>0.75941155621625056</v>
      </c>
      <c r="I111">
        <f t="shared" si="24"/>
        <v>1</v>
      </c>
      <c r="K111" s="22" t="e">
        <f>$I111*IF($E111&gt;_xlfn.AGGREGATE(4,6,'KM Data'!$B$6:$B$310),NA(),INDEX('KM Data'!$C$6:$C$310,MATCH($E111,'KM Data'!$B$6:$B$310,1)))</f>
        <v>#N/A</v>
      </c>
      <c r="L111" s="21">
        <f t="shared" si="25"/>
        <v>0.10124367352736108</v>
      </c>
      <c r="M111" s="20">
        <f t="shared" si="28"/>
        <v>1.1276315731371667E-2</v>
      </c>
      <c r="N111" s="21">
        <f t="shared" si="36"/>
        <v>0.10124367352736108</v>
      </c>
      <c r="O111" s="21">
        <f t="shared" si="37"/>
        <v>0.91879397818130593</v>
      </c>
      <c r="P111" s="21">
        <f t="shared" si="38"/>
        <v>0.10124367352736108</v>
      </c>
      <c r="R111" s="22" t="e">
        <f>$I111*IF($E111&gt;_xlfn.AGGREGATE(4,6,'KM Data'!$E$6:$E$205),NA(),INDEX('KM Data'!$F$6:$F$205,MATCH($E111,'KM Data'!$E$6:$E$205,1)))</f>
        <v>#N/A</v>
      </c>
      <c r="S111" s="21">
        <f t="shared" si="26"/>
        <v>0.27305802343792396</v>
      </c>
      <c r="T111" s="8">
        <f t="shared" si="29"/>
        <v>6.9213050225872541E-3</v>
      </c>
      <c r="U111" s="21">
        <f t="shared" si="39"/>
        <v>0.27305802343792396</v>
      </c>
      <c r="V111" s="21">
        <f t="shared" si="40"/>
        <v>0.91879397818130593</v>
      </c>
      <c r="W111" s="21">
        <f t="shared" si="41"/>
        <v>0.27305802343792396</v>
      </c>
      <c r="Y111" s="23">
        <f t="shared" si="30"/>
        <v>0.10124367352736108</v>
      </c>
      <c r="Z111" s="6">
        <f t="shared" si="31"/>
        <v>0.17181434991056288</v>
      </c>
      <c r="AA111" s="6">
        <f t="shared" si="32"/>
        <v>0.72694197656207604</v>
      </c>
      <c r="AB111" s="6">
        <f t="shared" si="33"/>
        <v>1</v>
      </c>
    </row>
    <row r="112" spans="1:28" x14ac:dyDescent="0.35">
      <c r="A112">
        <v>103</v>
      </c>
      <c r="B112" s="17">
        <f t="shared" si="34"/>
        <v>3104.625</v>
      </c>
      <c r="C112" s="17">
        <f t="shared" si="27"/>
        <v>3135.0625</v>
      </c>
      <c r="D112" s="17">
        <f t="shared" si="35"/>
        <v>3119.84375</v>
      </c>
      <c r="E112" s="17">
        <f t="shared" si="21"/>
        <v>102.5</v>
      </c>
      <c r="F112" s="17">
        <f t="shared" si="22"/>
        <v>68.541666666666671</v>
      </c>
      <c r="G112" s="21">
        <f>INDEX('Life Tables'!$F$8:$F$123,MATCH(Engine!F112,'Life Tables'!$B$8:$B$123,1))</f>
        <v>1.2116875502521385E-3</v>
      </c>
      <c r="H112" s="8">
        <f t="shared" si="23"/>
        <v>0.75941155621625056</v>
      </c>
      <c r="I112">
        <f t="shared" si="24"/>
        <v>1</v>
      </c>
      <c r="K112" s="22" t="e">
        <f>$I112*IF($E112&gt;_xlfn.AGGREGATE(4,6,'KM Data'!$B$6:$B$310),NA(),INDEX('KM Data'!$C$6:$C$310,MATCH($E112,'KM Data'!$B$6:$B$310,1)))</f>
        <v>#N/A</v>
      </c>
      <c r="L112" s="21">
        <f t="shared" si="25"/>
        <v>0.10010201789886264</v>
      </c>
      <c r="M112" s="20">
        <f t="shared" si="28"/>
        <v>1.120137574275748E-2</v>
      </c>
      <c r="N112" s="21">
        <f t="shared" si="36"/>
        <v>0.10010201789886264</v>
      </c>
      <c r="O112" s="21">
        <f t="shared" si="37"/>
        <v>0.91768068695669702</v>
      </c>
      <c r="P112" s="21">
        <f t="shared" si="38"/>
        <v>0.10010201789886264</v>
      </c>
      <c r="R112" s="22" t="e">
        <f>$I112*IF($E112&gt;_xlfn.AGGREGATE(4,6,'KM Data'!$E$6:$E$205),NA(),INDEX('KM Data'!$F$6:$F$205,MATCH($E112,'KM Data'!$E$6:$E$205,1)))</f>
        <v>#N/A</v>
      </c>
      <c r="S112" s="21">
        <f t="shared" si="26"/>
        <v>0.2711681055688453</v>
      </c>
      <c r="T112" s="8">
        <f t="shared" si="29"/>
        <v>6.8780917894173399E-3</v>
      </c>
      <c r="U112" s="21">
        <f t="shared" si="39"/>
        <v>0.2711681055688453</v>
      </c>
      <c r="V112" s="21">
        <f t="shared" si="40"/>
        <v>0.91768068695669702</v>
      </c>
      <c r="W112" s="21">
        <f t="shared" si="41"/>
        <v>0.2711681055688453</v>
      </c>
      <c r="Y112" s="23">
        <f t="shared" si="30"/>
        <v>0.10010201789886264</v>
      </c>
      <c r="Z112" s="6">
        <f t="shared" si="31"/>
        <v>0.17106608766998266</v>
      </c>
      <c r="AA112" s="6">
        <f t="shared" si="32"/>
        <v>0.7288318944311547</v>
      </c>
      <c r="AB112" s="6">
        <f t="shared" si="33"/>
        <v>1</v>
      </c>
    </row>
    <row r="113" spans="1:28" x14ac:dyDescent="0.35">
      <c r="A113">
        <v>104</v>
      </c>
      <c r="B113" s="17">
        <f t="shared" si="34"/>
        <v>3135.0625</v>
      </c>
      <c r="C113" s="17">
        <f t="shared" si="27"/>
        <v>3165.5</v>
      </c>
      <c r="D113" s="17">
        <f t="shared" si="35"/>
        <v>3150.28125</v>
      </c>
      <c r="E113" s="17">
        <f t="shared" si="21"/>
        <v>103.5</v>
      </c>
      <c r="F113" s="17">
        <f t="shared" si="22"/>
        <v>68.625</v>
      </c>
      <c r="G113" s="21">
        <f>INDEX('Life Tables'!$F$8:$F$123,MATCH(Engine!F113,'Life Tables'!$B$8:$B$123,1))</f>
        <v>1.2116875502521385E-3</v>
      </c>
      <c r="H113" s="8">
        <f t="shared" si="23"/>
        <v>0.75941155621625056</v>
      </c>
      <c r="I113">
        <f t="shared" si="24"/>
        <v>1</v>
      </c>
      <c r="K113" s="22" t="e">
        <f>$I113*IF($E113&gt;_xlfn.AGGREGATE(4,6,'KM Data'!$B$6:$B$310),NA(),INDEX('KM Data'!$C$6:$C$310,MATCH($E113,'KM Data'!$B$6:$B$310,1)))</f>
        <v>#N/A</v>
      </c>
      <c r="L113" s="21">
        <f t="shared" si="25"/>
        <v>9.898073758376924E-2</v>
      </c>
      <c r="M113" s="20">
        <f t="shared" si="28"/>
        <v>1.1127571490128774E-2</v>
      </c>
      <c r="N113" s="21">
        <f t="shared" si="36"/>
        <v>9.898073758376924E-2</v>
      </c>
      <c r="O113" s="21">
        <f t="shared" si="37"/>
        <v>0.91656874469320482</v>
      </c>
      <c r="P113" s="21">
        <f t="shared" si="38"/>
        <v>9.898073758376924E-2</v>
      </c>
      <c r="R113" s="22" t="e">
        <f>$I113*IF($E113&gt;_xlfn.AGGREGATE(4,6,'KM Data'!$E$6:$E$205),NA(),INDEX('KM Data'!$F$6:$F$205,MATCH($E113,'KM Data'!$E$6:$E$205,1)))</f>
        <v>#N/A</v>
      </c>
      <c r="S113" s="21">
        <f t="shared" si="26"/>
        <v>0.26930298644838035</v>
      </c>
      <c r="T113" s="8">
        <f t="shared" si="29"/>
        <v>6.8355070094565651E-3</v>
      </c>
      <c r="U113" s="21">
        <f t="shared" si="39"/>
        <v>0.26930298644838035</v>
      </c>
      <c r="V113" s="21">
        <f t="shared" si="40"/>
        <v>0.91656874469320482</v>
      </c>
      <c r="W113" s="21">
        <f t="shared" si="41"/>
        <v>0.26930298644838035</v>
      </c>
      <c r="Y113" s="23">
        <f t="shared" si="30"/>
        <v>9.898073758376924E-2</v>
      </c>
      <c r="Z113" s="6">
        <f t="shared" si="31"/>
        <v>0.17032224886461111</v>
      </c>
      <c r="AA113" s="6">
        <f t="shared" si="32"/>
        <v>0.73069701355161965</v>
      </c>
      <c r="AB113" s="6">
        <f t="shared" si="33"/>
        <v>1</v>
      </c>
    </row>
    <row r="114" spans="1:28" x14ac:dyDescent="0.35">
      <c r="A114">
        <v>105</v>
      </c>
      <c r="B114" s="17">
        <f t="shared" si="34"/>
        <v>3165.5</v>
      </c>
      <c r="C114" s="17">
        <f t="shared" si="27"/>
        <v>3195.9375</v>
      </c>
      <c r="D114" s="17">
        <f t="shared" si="35"/>
        <v>3180.71875</v>
      </c>
      <c r="E114" s="17">
        <f t="shared" si="21"/>
        <v>104.5</v>
      </c>
      <c r="F114" s="17">
        <f t="shared" si="22"/>
        <v>68.708333333333329</v>
      </c>
      <c r="G114" s="21">
        <f>INDEX('Life Tables'!$F$8:$F$123,MATCH(Engine!F114,'Life Tables'!$B$8:$B$123,1))</f>
        <v>1.2116875502521385E-3</v>
      </c>
      <c r="H114" s="8">
        <f t="shared" si="23"/>
        <v>0.75941155621625056</v>
      </c>
      <c r="I114">
        <f t="shared" si="24"/>
        <v>1</v>
      </c>
      <c r="K114" s="22" t="e">
        <f>$I114*IF($E114&gt;_xlfn.AGGREGATE(4,6,'KM Data'!$B$6:$B$310),NA(),INDEX('KM Data'!$C$6:$C$310,MATCH($E114,'KM Data'!$B$6:$B$310,1)))</f>
        <v>#N/A</v>
      </c>
      <c r="L114" s="21">
        <f t="shared" si="25"/>
        <v>9.7879322350160169E-2</v>
      </c>
      <c r="M114" s="20">
        <f t="shared" si="28"/>
        <v>1.1054875961806987E-2</v>
      </c>
      <c r="N114" s="21">
        <f t="shared" si="36"/>
        <v>9.7879322350160169E-2</v>
      </c>
      <c r="O114" s="21">
        <f t="shared" si="37"/>
        <v>0.91545814975630979</v>
      </c>
      <c r="P114" s="21">
        <f t="shared" si="38"/>
        <v>9.7879322350160169E-2</v>
      </c>
      <c r="R114" s="22" t="e">
        <f>$I114*IF($E114&gt;_xlfn.AGGREGATE(4,6,'KM Data'!$E$6:$E$205),NA(),INDEX('KM Data'!$F$6:$F$205,MATCH($E114,'KM Data'!$E$6:$E$205,1)))</f>
        <v>#N/A</v>
      </c>
      <c r="S114" s="21">
        <f t="shared" si="26"/>
        <v>0.26746216399684486</v>
      </c>
      <c r="T114" s="8">
        <f t="shared" si="29"/>
        <v>6.793536214827367E-3</v>
      </c>
      <c r="U114" s="21">
        <f t="shared" si="39"/>
        <v>0.26746216399684486</v>
      </c>
      <c r="V114" s="21">
        <f t="shared" si="40"/>
        <v>0.91545814975630979</v>
      </c>
      <c r="W114" s="21">
        <f t="shared" si="41"/>
        <v>0.26746216399684486</v>
      </c>
      <c r="Y114" s="23">
        <f t="shared" si="30"/>
        <v>9.7879322350160169E-2</v>
      </c>
      <c r="Z114" s="6">
        <f t="shared" si="31"/>
        <v>0.16958284164668469</v>
      </c>
      <c r="AA114" s="6">
        <f t="shared" si="32"/>
        <v>0.73253783600315514</v>
      </c>
      <c r="AB114" s="6">
        <f t="shared" si="33"/>
        <v>1</v>
      </c>
    </row>
    <row r="115" spans="1:28" x14ac:dyDescent="0.35">
      <c r="A115">
        <v>106</v>
      </c>
      <c r="B115" s="17">
        <f t="shared" si="34"/>
        <v>3195.9375</v>
      </c>
      <c r="C115" s="17">
        <f t="shared" si="27"/>
        <v>3226.375</v>
      </c>
      <c r="D115" s="17">
        <f t="shared" si="35"/>
        <v>3211.15625</v>
      </c>
      <c r="E115" s="17">
        <f t="shared" si="21"/>
        <v>105.5</v>
      </c>
      <c r="F115" s="17">
        <f t="shared" si="22"/>
        <v>68.791666666666671</v>
      </c>
      <c r="G115" s="21">
        <f>INDEX('Life Tables'!$F$8:$F$123,MATCH(Engine!F115,'Life Tables'!$B$8:$B$123,1))</f>
        <v>1.2116875502521385E-3</v>
      </c>
      <c r="H115" s="8">
        <f t="shared" si="23"/>
        <v>0.75941155621625056</v>
      </c>
      <c r="I115">
        <f t="shared" si="24"/>
        <v>1</v>
      </c>
      <c r="K115" s="22" t="e">
        <f>$I115*IF($E115&gt;_xlfn.AGGREGATE(4,6,'KM Data'!$B$6:$B$310),NA(),INDEX('KM Data'!$C$6:$C$310,MATCH($E115,'KM Data'!$B$6:$B$310,1)))</f>
        <v>#N/A</v>
      </c>
      <c r="L115" s="21">
        <f t="shared" si="25"/>
        <v>9.679727858235343E-2</v>
      </c>
      <c r="M115" s="20">
        <f t="shared" si="28"/>
        <v>1.0983263020408529E-2</v>
      </c>
      <c r="N115" s="21">
        <f t="shared" si="36"/>
        <v>9.679727858235343E-2</v>
      </c>
      <c r="O115" s="21">
        <f t="shared" si="37"/>
        <v>0.91434890051347317</v>
      </c>
      <c r="P115" s="21">
        <f t="shared" si="38"/>
        <v>9.679727858235343E-2</v>
      </c>
      <c r="R115" s="22" t="e">
        <f>$I115*IF($E115&gt;_xlfn.AGGREGATE(4,6,'KM Data'!$E$6:$E$205),NA(),INDEX('KM Data'!$F$6:$F$205,MATCH($E115,'KM Data'!$E$6:$E$205,1)))</f>
        <v>#N/A</v>
      </c>
      <c r="S115" s="21">
        <f t="shared" si="26"/>
        <v>0.26564515009963618</v>
      </c>
      <c r="T115" s="8">
        <f t="shared" si="29"/>
        <v>6.7521653931097436E-3</v>
      </c>
      <c r="U115" s="21">
        <f t="shared" si="39"/>
        <v>0.26564515009963618</v>
      </c>
      <c r="V115" s="21">
        <f t="shared" si="40"/>
        <v>0.91434890051347317</v>
      </c>
      <c r="W115" s="21">
        <f t="shared" si="41"/>
        <v>0.26564515009963618</v>
      </c>
      <c r="Y115" s="23">
        <f t="shared" si="30"/>
        <v>9.679727858235343E-2</v>
      </c>
      <c r="Z115" s="6">
        <f t="shared" si="31"/>
        <v>0.16884787151728275</v>
      </c>
      <c r="AA115" s="6">
        <f t="shared" si="32"/>
        <v>0.73435484990036382</v>
      </c>
      <c r="AB115" s="6">
        <f t="shared" si="33"/>
        <v>1</v>
      </c>
    </row>
    <row r="116" spans="1:28" x14ac:dyDescent="0.35">
      <c r="A116">
        <v>107</v>
      </c>
      <c r="B116" s="17">
        <f t="shared" si="34"/>
        <v>3226.375</v>
      </c>
      <c r="C116" s="17">
        <f t="shared" si="27"/>
        <v>3256.8125</v>
      </c>
      <c r="D116" s="17">
        <f t="shared" si="35"/>
        <v>3241.59375</v>
      </c>
      <c r="E116" s="17">
        <f t="shared" si="21"/>
        <v>106.5</v>
      </c>
      <c r="F116" s="17">
        <f t="shared" si="22"/>
        <v>68.875</v>
      </c>
      <c r="G116" s="21">
        <f>INDEX('Life Tables'!$F$8:$F$123,MATCH(Engine!F116,'Life Tables'!$B$8:$B$123,1))</f>
        <v>1.2116875502521385E-3</v>
      </c>
      <c r="H116" s="8">
        <f t="shared" si="23"/>
        <v>0.75941155621625056</v>
      </c>
      <c r="I116">
        <f t="shared" si="24"/>
        <v>1</v>
      </c>
      <c r="K116" s="22" t="e">
        <f>$I116*IF($E116&gt;_xlfn.AGGREGATE(4,6,'KM Data'!$B$6:$B$310),NA(),INDEX('KM Data'!$C$6:$C$310,MATCH($E116,'KM Data'!$B$6:$B$310,1)))</f>
        <v>#N/A</v>
      </c>
      <c r="L116" s="21">
        <f t="shared" si="25"/>
        <v>9.5734128612023683E-2</v>
      </c>
      <c r="M116" s="20">
        <f t="shared" si="28"/>
        <v>1.0912707367118246E-2</v>
      </c>
      <c r="N116" s="21">
        <f t="shared" si="36"/>
        <v>9.5734128612023683E-2</v>
      </c>
      <c r="O116" s="21">
        <f t="shared" si="37"/>
        <v>0.91324099533413428</v>
      </c>
      <c r="P116" s="21">
        <f t="shared" si="38"/>
        <v>9.5734128612023683E-2</v>
      </c>
      <c r="R116" s="22" t="e">
        <f>$I116*IF($E116&gt;_xlfn.AGGREGATE(4,6,'KM Data'!$E$6:$E$205),NA(),INDEX('KM Data'!$F$6:$F$205,MATCH($E116,'KM Data'!$E$6:$E$205,1)))</f>
        <v>#N/A</v>
      </c>
      <c r="S116" s="21">
        <f t="shared" si="26"/>
        <v>0.26385147011028598</v>
      </c>
      <c r="T116" s="8">
        <f t="shared" si="29"/>
        <v>6.7113809691892179E-3</v>
      </c>
      <c r="U116" s="21">
        <f t="shared" si="39"/>
        <v>0.26385147011028598</v>
      </c>
      <c r="V116" s="21">
        <f t="shared" si="40"/>
        <v>0.91324099533413428</v>
      </c>
      <c r="W116" s="21">
        <f t="shared" si="41"/>
        <v>0.26385147011028598</v>
      </c>
      <c r="Y116" s="23">
        <f t="shared" si="30"/>
        <v>9.5734128612023683E-2</v>
      </c>
      <c r="Z116" s="6">
        <f t="shared" si="31"/>
        <v>0.1681173414982623</v>
      </c>
      <c r="AA116" s="6">
        <f t="shared" si="32"/>
        <v>0.73614852988971402</v>
      </c>
      <c r="AB116" s="6">
        <f t="shared" si="33"/>
        <v>1</v>
      </c>
    </row>
    <row r="117" spans="1:28" x14ac:dyDescent="0.35">
      <c r="A117">
        <v>108</v>
      </c>
      <c r="B117" s="17">
        <f t="shared" si="34"/>
        <v>3256.8125</v>
      </c>
      <c r="C117" s="17">
        <f t="shared" si="27"/>
        <v>3287.25</v>
      </c>
      <c r="D117" s="17">
        <f t="shared" si="35"/>
        <v>3272.03125</v>
      </c>
      <c r="E117" s="17">
        <f t="shared" si="21"/>
        <v>107.5</v>
      </c>
      <c r="F117" s="17">
        <f t="shared" si="22"/>
        <v>68.958333333333329</v>
      </c>
      <c r="G117" s="21">
        <f>INDEX('Life Tables'!$F$8:$F$123,MATCH(Engine!F117,'Life Tables'!$B$8:$B$123,1))</f>
        <v>1.2116875502521385E-3</v>
      </c>
      <c r="H117" s="8">
        <f t="shared" si="23"/>
        <v>0.73373097218961414</v>
      </c>
      <c r="I117">
        <f t="shared" si="24"/>
        <v>1</v>
      </c>
      <c r="K117" s="22" t="e">
        <f>$I117*IF($E117&gt;_xlfn.AGGREGATE(4,6,'KM Data'!$B$6:$B$310),NA(),INDEX('KM Data'!$C$6:$C$310,MATCH($E117,'KM Data'!$B$6:$B$310,1)))</f>
        <v>#N/A</v>
      </c>
      <c r="L117" s="21">
        <f t="shared" si="25"/>
        <v>9.4689410081434611E-2</v>
      </c>
      <c r="M117" s="20">
        <f t="shared" si="28"/>
        <v>1.0843184507734027E-2</v>
      </c>
      <c r="N117" s="21">
        <f t="shared" si="36"/>
        <v>9.4689410081434611E-2</v>
      </c>
      <c r="O117" s="21">
        <f t="shared" si="37"/>
        <v>0.91213443258970806</v>
      </c>
      <c r="P117" s="21">
        <f t="shared" si="38"/>
        <v>9.4689410081434611E-2</v>
      </c>
      <c r="R117" s="22" t="e">
        <f>$I117*IF($E117&gt;_xlfn.AGGREGATE(4,6,'KM Data'!$E$6:$E$205),NA(),INDEX('KM Data'!$F$6:$F$205,MATCH($E117,'KM Data'!$E$6:$E$205,1)))</f>
        <v>#N/A</v>
      </c>
      <c r="S117" s="21">
        <f t="shared" si="26"/>
        <v>0.2620806623750952</v>
      </c>
      <c r="T117" s="8">
        <f t="shared" si="29"/>
        <v>6.6711697879772158E-3</v>
      </c>
      <c r="U117" s="21">
        <f t="shared" si="39"/>
        <v>0.2620806623750952</v>
      </c>
      <c r="V117" s="21">
        <f t="shared" si="40"/>
        <v>0.91213443258970806</v>
      </c>
      <c r="W117" s="21">
        <f t="shared" si="41"/>
        <v>0.2620806623750952</v>
      </c>
      <c r="Y117" s="23">
        <f t="shared" si="30"/>
        <v>9.4689410081434611E-2</v>
      </c>
      <c r="Z117" s="6">
        <f t="shared" si="31"/>
        <v>0.16739125229366059</v>
      </c>
      <c r="AA117" s="6">
        <f t="shared" si="32"/>
        <v>0.7379193376249048</v>
      </c>
      <c r="AB117" s="6">
        <f t="shared" si="33"/>
        <v>1</v>
      </c>
    </row>
    <row r="118" spans="1:28" x14ac:dyDescent="0.35">
      <c r="A118">
        <v>109</v>
      </c>
      <c r="B118" s="17">
        <f t="shared" si="34"/>
        <v>3287.25</v>
      </c>
      <c r="C118" s="17">
        <f t="shared" si="27"/>
        <v>3317.6875</v>
      </c>
      <c r="D118" s="17">
        <f t="shared" si="35"/>
        <v>3302.46875</v>
      </c>
      <c r="E118" s="17">
        <f t="shared" si="21"/>
        <v>108.5</v>
      </c>
      <c r="F118" s="17">
        <f t="shared" si="22"/>
        <v>69.041666666666671</v>
      </c>
      <c r="G118" s="21">
        <f>INDEX('Life Tables'!$F$8:$F$123,MATCH(Engine!F118,'Life Tables'!$B$8:$B$123,1))</f>
        <v>1.3108174445860543E-3</v>
      </c>
      <c r="H118" s="8">
        <f t="shared" si="23"/>
        <v>0.73373097218961414</v>
      </c>
      <c r="I118">
        <f t="shared" si="24"/>
        <v>1</v>
      </c>
      <c r="K118" s="22" t="e">
        <f>$I118*IF($E118&gt;_xlfn.AGGREGATE(4,6,'KM Data'!$B$6:$B$310),NA(),INDEX('KM Data'!$C$6:$C$310,MATCH($E118,'KM Data'!$B$6:$B$310,1)))</f>
        <v>#N/A</v>
      </c>
      <c r="L118" s="21">
        <f t="shared" si="25"/>
        <v>9.3662675336993129E-2</v>
      </c>
      <c r="M118" s="20">
        <f t="shared" si="28"/>
        <v>1.0774670720347101E-2</v>
      </c>
      <c r="N118" s="21">
        <f t="shared" si="36"/>
        <v>9.3662675336993129E-2</v>
      </c>
      <c r="O118" s="21">
        <f t="shared" si="37"/>
        <v>0.91102921065358278</v>
      </c>
      <c r="P118" s="21">
        <f t="shared" si="38"/>
        <v>9.3662675336993129E-2</v>
      </c>
      <c r="R118" s="22" t="e">
        <f>$I118*IF($E118&gt;_xlfn.AGGREGATE(4,6,'KM Data'!$E$6:$E$205),NA(),INDEX('KM Data'!$F$6:$F$205,MATCH($E118,'KM Data'!$E$6:$E$205,1)))</f>
        <v>#N/A</v>
      </c>
      <c r="S118" s="21">
        <f t="shared" si="26"/>
        <v>0.26033227777824541</v>
      </c>
      <c r="T118" s="8">
        <f t="shared" si="29"/>
        <v>6.6315190979483463E-3</v>
      </c>
      <c r="U118" s="21">
        <f t="shared" si="39"/>
        <v>0.26033227777824541</v>
      </c>
      <c r="V118" s="21">
        <f t="shared" si="40"/>
        <v>0.91102921065358278</v>
      </c>
      <c r="W118" s="21">
        <f t="shared" si="41"/>
        <v>0.26033227777824541</v>
      </c>
      <c r="Y118" s="23">
        <f t="shared" si="30"/>
        <v>9.3662675336993129E-2</v>
      </c>
      <c r="Z118" s="6">
        <f t="shared" si="31"/>
        <v>0.16666960244125228</v>
      </c>
      <c r="AA118" s="6">
        <f t="shared" si="32"/>
        <v>0.73966772222175459</v>
      </c>
      <c r="AB118" s="6">
        <f t="shared" si="33"/>
        <v>1</v>
      </c>
    </row>
    <row r="119" spans="1:28" x14ac:dyDescent="0.35">
      <c r="A119">
        <v>110</v>
      </c>
      <c r="B119" s="17">
        <f t="shared" si="34"/>
        <v>3317.6875</v>
      </c>
      <c r="C119" s="17">
        <f t="shared" si="27"/>
        <v>3348.125</v>
      </c>
      <c r="D119" s="17">
        <f t="shared" si="35"/>
        <v>3332.90625</v>
      </c>
      <c r="E119" s="17">
        <f t="shared" si="21"/>
        <v>109.5</v>
      </c>
      <c r="F119" s="17">
        <f t="shared" si="22"/>
        <v>69.125</v>
      </c>
      <c r="G119" s="21">
        <f>INDEX('Life Tables'!$F$8:$F$123,MATCH(Engine!F119,'Life Tables'!$B$8:$B$123,1))</f>
        <v>1.3108174445860543E-3</v>
      </c>
      <c r="H119" s="8">
        <f t="shared" si="23"/>
        <v>0.73373097218961414</v>
      </c>
      <c r="I119">
        <f t="shared" si="24"/>
        <v>1</v>
      </c>
      <c r="K119" s="22" t="e">
        <f>$I119*IF($E119&gt;_xlfn.AGGREGATE(4,6,'KM Data'!$B$6:$B$310),NA(),INDEX('KM Data'!$C$6:$C$310,MATCH($E119,'KM Data'!$B$6:$B$310,1)))</f>
        <v>#N/A</v>
      </c>
      <c r="L119" s="21">
        <f t="shared" si="25"/>
        <v>9.2653490851450249E-2</v>
      </c>
      <c r="M119" s="20">
        <f t="shared" si="28"/>
        <v>1.0707143024625387E-2</v>
      </c>
      <c r="N119" s="21">
        <f t="shared" si="36"/>
        <v>9.2653490851450249E-2</v>
      </c>
      <c r="O119" s="21">
        <f t="shared" si="37"/>
        <v>0.90983501767173058</v>
      </c>
      <c r="P119" s="21">
        <f t="shared" si="38"/>
        <v>9.2653490851450249E-2</v>
      </c>
      <c r="R119" s="22" t="e">
        <f>$I119*IF($E119&gt;_xlfn.AGGREGATE(4,6,'KM Data'!$E$6:$E$205),NA(),INDEX('KM Data'!$F$6:$F$205,MATCH($E119,'KM Data'!$E$6:$E$205,1)))</f>
        <v>#N/A</v>
      </c>
      <c r="S119" s="21">
        <f t="shared" si="26"/>
        <v>0.2586058793063466</v>
      </c>
      <c r="T119" s="8">
        <f t="shared" si="29"/>
        <v>6.592416535475154E-3</v>
      </c>
      <c r="U119" s="21">
        <f t="shared" si="39"/>
        <v>0.2586058793063466</v>
      </c>
      <c r="V119" s="21">
        <f t="shared" si="40"/>
        <v>0.90983501767173058</v>
      </c>
      <c r="W119" s="21">
        <f t="shared" si="41"/>
        <v>0.2586058793063466</v>
      </c>
      <c r="Y119" s="23">
        <f t="shared" si="30"/>
        <v>9.2653490851450249E-2</v>
      </c>
      <c r="Z119" s="6">
        <f t="shared" si="31"/>
        <v>0.16595238845489635</v>
      </c>
      <c r="AA119" s="6">
        <f t="shared" si="32"/>
        <v>0.7413941206936534</v>
      </c>
      <c r="AB119" s="6">
        <f t="shared" si="33"/>
        <v>1</v>
      </c>
    </row>
    <row r="120" spans="1:28" x14ac:dyDescent="0.35">
      <c r="A120">
        <v>111</v>
      </c>
      <c r="B120" s="17">
        <f t="shared" si="34"/>
        <v>3348.125</v>
      </c>
      <c r="C120" s="17">
        <f t="shared" si="27"/>
        <v>3378.5625</v>
      </c>
      <c r="D120" s="17">
        <f t="shared" si="35"/>
        <v>3363.34375</v>
      </c>
      <c r="E120" s="17">
        <f t="shared" si="21"/>
        <v>110.5</v>
      </c>
      <c r="F120" s="17">
        <f t="shared" si="22"/>
        <v>69.208333333333329</v>
      </c>
      <c r="G120" s="21">
        <f>INDEX('Life Tables'!$F$8:$F$123,MATCH(Engine!F120,'Life Tables'!$B$8:$B$123,1))</f>
        <v>1.3108174445860543E-3</v>
      </c>
      <c r="H120" s="8">
        <f t="shared" si="23"/>
        <v>0.73373097218961414</v>
      </c>
      <c r="I120">
        <f t="shared" si="24"/>
        <v>1</v>
      </c>
      <c r="K120" s="22" t="e">
        <f>$I120*IF($E120&gt;_xlfn.AGGREGATE(4,6,'KM Data'!$B$6:$B$310),NA(),INDEX('KM Data'!$C$6:$C$310,MATCH($E120,'KM Data'!$B$6:$B$310,1)))</f>
        <v>#N/A</v>
      </c>
      <c r="L120" s="21">
        <f t="shared" si="25"/>
        <v>9.1661436673172947E-2</v>
      </c>
      <c r="M120" s="20">
        <f t="shared" si="28"/>
        <v>1.0640579152515373E-2</v>
      </c>
      <c r="N120" s="21">
        <f t="shared" si="36"/>
        <v>9.1661436673172947E-2</v>
      </c>
      <c r="O120" s="21">
        <f t="shared" si="37"/>
        <v>0.90864239005887126</v>
      </c>
      <c r="P120" s="21">
        <f t="shared" si="38"/>
        <v>9.1661436673172947E-2</v>
      </c>
      <c r="R120" s="22" t="e">
        <f>$I120*IF($E120&gt;_xlfn.AGGREGATE(4,6,'KM Data'!$E$6:$E$205),NA(),INDEX('KM Data'!$F$6:$F$205,MATCH($E120,'KM Data'!$E$6:$E$205,1)))</f>
        <v>#N/A</v>
      </c>
      <c r="S120" s="21">
        <f t="shared" si="26"/>
        <v>0.25690104163143634</v>
      </c>
      <c r="T120" s="8">
        <f t="shared" si="29"/>
        <v>6.5538501098730828E-3</v>
      </c>
      <c r="U120" s="21">
        <f t="shared" si="39"/>
        <v>0.25690104163143634</v>
      </c>
      <c r="V120" s="21">
        <f t="shared" si="40"/>
        <v>0.90864239005887126</v>
      </c>
      <c r="W120" s="21">
        <f t="shared" si="41"/>
        <v>0.25690104163143634</v>
      </c>
      <c r="Y120" s="23">
        <f t="shared" si="30"/>
        <v>9.1661436673172947E-2</v>
      </c>
      <c r="Z120" s="6">
        <f t="shared" si="31"/>
        <v>0.1652396049582634</v>
      </c>
      <c r="AA120" s="6">
        <f t="shared" si="32"/>
        <v>0.74309895836856366</v>
      </c>
      <c r="AB120" s="6">
        <f t="shared" si="33"/>
        <v>1</v>
      </c>
    </row>
    <row r="121" spans="1:28" x14ac:dyDescent="0.35">
      <c r="A121">
        <v>112</v>
      </c>
      <c r="B121" s="17">
        <f t="shared" si="34"/>
        <v>3378.5625</v>
      </c>
      <c r="C121" s="17">
        <f t="shared" si="27"/>
        <v>3409</v>
      </c>
      <c r="D121" s="17">
        <f t="shared" si="35"/>
        <v>3393.78125</v>
      </c>
      <c r="E121" s="17">
        <f t="shared" si="21"/>
        <v>111.5</v>
      </c>
      <c r="F121" s="17">
        <f t="shared" si="22"/>
        <v>69.291666666666671</v>
      </c>
      <c r="G121" s="21">
        <f>INDEX('Life Tables'!$F$8:$F$123,MATCH(Engine!F121,'Life Tables'!$B$8:$B$123,1))</f>
        <v>1.3108174445860543E-3</v>
      </c>
      <c r="H121" s="8">
        <f t="shared" si="23"/>
        <v>0.73373097218961414</v>
      </c>
      <c r="I121">
        <f t="shared" si="24"/>
        <v>1</v>
      </c>
      <c r="K121" s="22" t="e">
        <f>$I121*IF($E121&gt;_xlfn.AGGREGATE(4,6,'KM Data'!$B$6:$B$310),NA(),INDEX('KM Data'!$C$6:$C$310,MATCH($E121,'KM Data'!$B$6:$B$310,1)))</f>
        <v>#N/A</v>
      </c>
      <c r="L121" s="21">
        <f t="shared" si="25"/>
        <v>9.0686105901018776E-2</v>
      </c>
      <c r="M121" s="20">
        <f t="shared" si="28"/>
        <v>1.0574957520402495E-2</v>
      </c>
      <c r="N121" s="21">
        <f t="shared" si="36"/>
        <v>9.0686105901018776E-2</v>
      </c>
      <c r="O121" s="21">
        <f t="shared" si="37"/>
        <v>0.90745132576309173</v>
      </c>
      <c r="P121" s="21">
        <f t="shared" si="38"/>
        <v>9.0686105901018776E-2</v>
      </c>
      <c r="R121" s="22" t="e">
        <f>$I121*IF($E121&gt;_xlfn.AGGREGATE(4,6,'KM Data'!$E$6:$E$205),NA(),INDEX('KM Data'!$F$6:$F$205,MATCH($E121,'KM Data'!$E$6:$E$205,1)))</f>
        <v>#N/A</v>
      </c>
      <c r="S121" s="21">
        <f t="shared" si="26"/>
        <v>0.25521735071151364</v>
      </c>
      <c r="T121" s="8">
        <f t="shared" si="29"/>
        <v>6.5158081891665276E-3</v>
      </c>
      <c r="U121" s="21">
        <f t="shared" si="39"/>
        <v>0.25521735071151364</v>
      </c>
      <c r="V121" s="21">
        <f t="shared" si="40"/>
        <v>0.90745132576309173</v>
      </c>
      <c r="W121" s="21">
        <f t="shared" si="41"/>
        <v>0.25521735071151364</v>
      </c>
      <c r="Y121" s="23">
        <f t="shared" si="30"/>
        <v>9.0686105901018776E-2</v>
      </c>
      <c r="Z121" s="6">
        <f t="shared" si="31"/>
        <v>0.16453124481049486</v>
      </c>
      <c r="AA121" s="6">
        <f t="shared" si="32"/>
        <v>0.74478264928848636</v>
      </c>
      <c r="AB121" s="6">
        <f t="shared" si="33"/>
        <v>1</v>
      </c>
    </row>
    <row r="122" spans="1:28" x14ac:dyDescent="0.35">
      <c r="A122">
        <v>113</v>
      </c>
      <c r="B122" s="17">
        <f t="shared" si="34"/>
        <v>3409</v>
      </c>
      <c r="C122" s="17">
        <f t="shared" si="27"/>
        <v>3439.4375</v>
      </c>
      <c r="D122" s="17">
        <f t="shared" si="35"/>
        <v>3424.21875</v>
      </c>
      <c r="E122" s="17">
        <f t="shared" si="21"/>
        <v>112.5</v>
      </c>
      <c r="F122" s="17">
        <f t="shared" si="22"/>
        <v>69.375</v>
      </c>
      <c r="G122" s="21">
        <f>INDEX('Life Tables'!$F$8:$F$123,MATCH(Engine!F122,'Life Tables'!$B$8:$B$123,1))</f>
        <v>1.3108174445860543E-3</v>
      </c>
      <c r="H122" s="8">
        <f t="shared" si="23"/>
        <v>0.73373097218961414</v>
      </c>
      <c r="I122">
        <f t="shared" si="24"/>
        <v>1</v>
      </c>
      <c r="K122" s="22" t="e">
        <f>$I122*IF($E122&gt;_xlfn.AGGREGATE(4,6,'KM Data'!$B$6:$B$310),NA(),INDEX('KM Data'!$C$6:$C$310,MATCH($E122,'KM Data'!$B$6:$B$310,1)))</f>
        <v>#N/A</v>
      </c>
      <c r="L122" s="21">
        <f t="shared" si="25"/>
        <v>8.9727104183424777E-2</v>
      </c>
      <c r="M122" s="20">
        <f t="shared" si="28"/>
        <v>1.0510257202520745E-2</v>
      </c>
      <c r="N122" s="21">
        <f t="shared" si="36"/>
        <v>8.9727104183424777E-2</v>
      </c>
      <c r="O122" s="21">
        <f t="shared" si="37"/>
        <v>0.90626182273516875</v>
      </c>
      <c r="P122" s="21">
        <f t="shared" si="38"/>
        <v>8.9727104183424777E-2</v>
      </c>
      <c r="R122" s="22" t="e">
        <f>$I122*IF($E122&gt;_xlfn.AGGREGATE(4,6,'KM Data'!$E$6:$E$205),NA(),INDEX('KM Data'!$F$6:$F$205,MATCH($E122,'KM Data'!$E$6:$E$205,1)))</f>
        <v>#N/A</v>
      </c>
      <c r="S122" s="21">
        <f t="shared" si="26"/>
        <v>0.25355440340773017</v>
      </c>
      <c r="T122" s="8">
        <f t="shared" si="29"/>
        <v>6.4782794864903792E-3</v>
      </c>
      <c r="U122" s="21">
        <f t="shared" si="39"/>
        <v>0.25355440340773017</v>
      </c>
      <c r="V122" s="21">
        <f t="shared" si="40"/>
        <v>0.90626182273516875</v>
      </c>
      <c r="W122" s="21">
        <f t="shared" si="41"/>
        <v>0.25355440340773017</v>
      </c>
      <c r="Y122" s="23">
        <f t="shared" si="30"/>
        <v>8.9727104183424777E-2</v>
      </c>
      <c r="Z122" s="6">
        <f t="shared" si="31"/>
        <v>0.16382729922430539</v>
      </c>
      <c r="AA122" s="6">
        <f t="shared" si="32"/>
        <v>0.74644559659226983</v>
      </c>
      <c r="AB122" s="6">
        <f t="shared" si="33"/>
        <v>1</v>
      </c>
    </row>
    <row r="123" spans="1:28" x14ac:dyDescent="0.35">
      <c r="A123">
        <v>114</v>
      </c>
      <c r="B123" s="17">
        <f t="shared" si="34"/>
        <v>3439.4375</v>
      </c>
      <c r="C123" s="17">
        <f t="shared" si="27"/>
        <v>3469.875</v>
      </c>
      <c r="D123" s="17">
        <f t="shared" si="35"/>
        <v>3454.65625</v>
      </c>
      <c r="E123" s="17">
        <f t="shared" si="21"/>
        <v>113.5</v>
      </c>
      <c r="F123" s="17">
        <f t="shared" si="22"/>
        <v>69.458333333333329</v>
      </c>
      <c r="G123" s="21">
        <f>INDEX('Life Tables'!$F$8:$F$123,MATCH(Engine!F123,'Life Tables'!$B$8:$B$123,1))</f>
        <v>1.3108174445860543E-3</v>
      </c>
      <c r="H123" s="8">
        <f t="shared" si="23"/>
        <v>0.73373097218961414</v>
      </c>
      <c r="I123">
        <f t="shared" si="24"/>
        <v>1</v>
      </c>
      <c r="K123" s="22" t="e">
        <f>$I123*IF($E123&gt;_xlfn.AGGREGATE(4,6,'KM Data'!$B$6:$B$310),NA(),INDEX('KM Data'!$C$6:$C$310,MATCH($E123,'KM Data'!$B$6:$B$310,1)))</f>
        <v>#N/A</v>
      </c>
      <c r="L123" s="21">
        <f t="shared" si="25"/>
        <v>8.8784049240419605E-2</v>
      </c>
      <c r="M123" s="20">
        <f t="shared" si="28"/>
        <v>1.0446457905648687E-2</v>
      </c>
      <c r="N123" s="21">
        <f t="shared" si="36"/>
        <v>8.8784049240419605E-2</v>
      </c>
      <c r="O123" s="21">
        <f t="shared" si="37"/>
        <v>0.90507387892856517</v>
      </c>
      <c r="P123" s="21">
        <f t="shared" si="38"/>
        <v>8.8784049240419605E-2</v>
      </c>
      <c r="R123" s="22" t="e">
        <f>$I123*IF($E123&gt;_xlfn.AGGREGATE(4,6,'KM Data'!$E$6:$E$205),NA(),INDEX('KM Data'!$F$6:$F$205,MATCH($E123,'KM Data'!$E$6:$E$205,1)))</f>
        <v>#N/A</v>
      </c>
      <c r="S123" s="21">
        <f t="shared" si="26"/>
        <v>0.25191180711742456</v>
      </c>
      <c r="T123" s="8">
        <f t="shared" si="29"/>
        <v>6.4412530471252838E-3</v>
      </c>
      <c r="U123" s="21">
        <f t="shared" si="39"/>
        <v>0.25191180711742456</v>
      </c>
      <c r="V123" s="21">
        <f t="shared" si="40"/>
        <v>0.90507387892856517</v>
      </c>
      <c r="W123" s="21">
        <f t="shared" si="41"/>
        <v>0.25191180711742456</v>
      </c>
      <c r="Y123" s="23">
        <f t="shared" si="30"/>
        <v>8.8784049240419605E-2</v>
      </c>
      <c r="Z123" s="6">
        <f t="shared" si="31"/>
        <v>0.16312775787700495</v>
      </c>
      <c r="AA123" s="6">
        <f t="shared" si="32"/>
        <v>0.74808819288257544</v>
      </c>
      <c r="AB123" s="6">
        <f t="shared" si="33"/>
        <v>1</v>
      </c>
    </row>
    <row r="124" spans="1:28" x14ac:dyDescent="0.35">
      <c r="A124">
        <v>115</v>
      </c>
      <c r="B124" s="17">
        <f t="shared" si="34"/>
        <v>3469.875</v>
      </c>
      <c r="C124" s="17">
        <f t="shared" si="27"/>
        <v>3500.3125</v>
      </c>
      <c r="D124" s="17">
        <f t="shared" si="35"/>
        <v>3485.09375</v>
      </c>
      <c r="E124" s="17">
        <f t="shared" si="21"/>
        <v>114.5</v>
      </c>
      <c r="F124" s="17">
        <f t="shared" si="22"/>
        <v>69.541666666666671</v>
      </c>
      <c r="G124" s="21">
        <f>INDEX('Life Tables'!$F$8:$F$123,MATCH(Engine!F124,'Life Tables'!$B$8:$B$123,1))</f>
        <v>1.3108174445860543E-3</v>
      </c>
      <c r="H124" s="8">
        <f t="shared" si="23"/>
        <v>0.73373097218961414</v>
      </c>
      <c r="I124">
        <f t="shared" si="24"/>
        <v>1</v>
      </c>
      <c r="K124" s="22" t="e">
        <f>$I124*IF($E124&gt;_xlfn.AGGREGATE(4,6,'KM Data'!$B$6:$B$310),NA(),INDEX('KM Data'!$C$6:$C$310,MATCH($E124,'KM Data'!$B$6:$B$310,1)))</f>
        <v>#N/A</v>
      </c>
      <c r="L124" s="21">
        <f t="shared" si="25"/>
        <v>8.7856570407336521E-2</v>
      </c>
      <c r="M124" s="20">
        <f t="shared" si="28"/>
        <v>1.0383539944970432E-2</v>
      </c>
      <c r="N124" s="21">
        <f t="shared" si="36"/>
        <v>8.7856570407336521E-2</v>
      </c>
      <c r="O124" s="21">
        <f t="shared" si="37"/>
        <v>0.90388749229942644</v>
      </c>
      <c r="P124" s="21">
        <f t="shared" si="38"/>
        <v>8.7856570407336521E-2</v>
      </c>
      <c r="R124" s="22" t="e">
        <f>$I124*IF($E124&gt;_xlfn.AGGREGATE(4,6,'KM Data'!$E$6:$E$205),NA(),INDEX('KM Data'!$F$6:$F$205,MATCH($E124,'KM Data'!$E$6:$E$205,1)))</f>
        <v>#N/A</v>
      </c>
      <c r="S124" s="21">
        <f t="shared" si="26"/>
        <v>0.25028917942222262</v>
      </c>
      <c r="T124" s="8">
        <f t="shared" si="29"/>
        <v>6.4047182361213206E-3</v>
      </c>
      <c r="U124" s="21">
        <f t="shared" si="39"/>
        <v>0.25028917942222262</v>
      </c>
      <c r="V124" s="21">
        <f t="shared" si="40"/>
        <v>0.90388749229942644</v>
      </c>
      <c r="W124" s="21">
        <f t="shared" si="41"/>
        <v>0.25028917942222262</v>
      </c>
      <c r="Y124" s="23">
        <f t="shared" si="30"/>
        <v>8.7856570407336521E-2</v>
      </c>
      <c r="Z124" s="6">
        <f t="shared" si="31"/>
        <v>0.1624326090148861</v>
      </c>
      <c r="AA124" s="6">
        <f t="shared" si="32"/>
        <v>0.74971082057777738</v>
      </c>
      <c r="AB124" s="6">
        <f t="shared" si="33"/>
        <v>1</v>
      </c>
    </row>
    <row r="125" spans="1:28" x14ac:dyDescent="0.35">
      <c r="A125">
        <v>116</v>
      </c>
      <c r="B125" s="17">
        <f t="shared" si="34"/>
        <v>3500.3125</v>
      </c>
      <c r="C125" s="17">
        <f t="shared" si="27"/>
        <v>3530.75</v>
      </c>
      <c r="D125" s="17">
        <f t="shared" si="35"/>
        <v>3515.53125</v>
      </c>
      <c r="E125" s="17">
        <f t="shared" si="21"/>
        <v>115.5</v>
      </c>
      <c r="F125" s="17">
        <f t="shared" si="22"/>
        <v>69.625</v>
      </c>
      <c r="G125" s="21">
        <f>INDEX('Life Tables'!$F$8:$F$123,MATCH(Engine!F125,'Life Tables'!$B$8:$B$123,1))</f>
        <v>1.3108174445860543E-3</v>
      </c>
      <c r="H125" s="8">
        <f t="shared" si="23"/>
        <v>0.73373097218961414</v>
      </c>
      <c r="I125">
        <f t="shared" si="24"/>
        <v>1</v>
      </c>
      <c r="K125" s="22" t="e">
        <f>$I125*IF($E125&gt;_xlfn.AGGREGATE(4,6,'KM Data'!$B$6:$B$310),NA(),INDEX('KM Data'!$C$6:$C$310,MATCH($E125,'KM Data'!$B$6:$B$310,1)))</f>
        <v>#N/A</v>
      </c>
      <c r="L125" s="21">
        <f t="shared" si="25"/>
        <v>8.6944308199083831E-2</v>
      </c>
      <c r="M125" s="20">
        <f t="shared" si="28"/>
        <v>1.0321484221038846E-2</v>
      </c>
      <c r="N125" s="21">
        <f t="shared" si="36"/>
        <v>8.6944308199083831E-2</v>
      </c>
      <c r="O125" s="21">
        <f t="shared" si="37"/>
        <v>0.90270266080657724</v>
      </c>
      <c r="P125" s="21">
        <f t="shared" si="38"/>
        <v>8.6944308199083831E-2</v>
      </c>
      <c r="R125" s="22" t="e">
        <f>$I125*IF($E125&gt;_xlfn.AGGREGATE(4,6,'KM Data'!$E$6:$E$205),NA(),INDEX('KM Data'!$F$6:$F$205,MATCH($E125,'KM Data'!$E$6:$E$205,1)))</f>
        <v>#N/A</v>
      </c>
      <c r="S125" s="21">
        <f t="shared" si="26"/>
        <v>0.24868614775047326</v>
      </c>
      <c r="T125" s="8">
        <f t="shared" si="29"/>
        <v>6.3686647264737939E-3</v>
      </c>
      <c r="U125" s="21">
        <f t="shared" si="39"/>
        <v>0.24868614775047326</v>
      </c>
      <c r="V125" s="21">
        <f t="shared" si="40"/>
        <v>0.90270266080657724</v>
      </c>
      <c r="W125" s="21">
        <f t="shared" si="41"/>
        <v>0.24868614775047326</v>
      </c>
      <c r="Y125" s="23">
        <f t="shared" si="30"/>
        <v>8.6944308199083831E-2</v>
      </c>
      <c r="Z125" s="6">
        <f t="shared" si="31"/>
        <v>0.16174183955138943</v>
      </c>
      <c r="AA125" s="6">
        <f t="shared" si="32"/>
        <v>0.75131385224952674</v>
      </c>
      <c r="AB125" s="6">
        <f t="shared" si="33"/>
        <v>1</v>
      </c>
    </row>
    <row r="126" spans="1:28" x14ac:dyDescent="0.35">
      <c r="A126">
        <v>117</v>
      </c>
      <c r="B126" s="17">
        <f t="shared" si="34"/>
        <v>3530.75</v>
      </c>
      <c r="C126" s="17">
        <f t="shared" si="27"/>
        <v>3561.1875</v>
      </c>
      <c r="D126" s="17">
        <f t="shared" si="35"/>
        <v>3545.96875</v>
      </c>
      <c r="E126" s="17">
        <f t="shared" si="21"/>
        <v>116.5</v>
      </c>
      <c r="F126" s="17">
        <f t="shared" si="22"/>
        <v>69.708333333333329</v>
      </c>
      <c r="G126" s="21">
        <f>INDEX('Life Tables'!$F$8:$F$123,MATCH(Engine!F126,'Life Tables'!$B$8:$B$123,1))</f>
        <v>1.3108174445860543E-3</v>
      </c>
      <c r="H126" s="8">
        <f t="shared" si="23"/>
        <v>0.73373097218961414</v>
      </c>
      <c r="I126">
        <f t="shared" si="24"/>
        <v>1</v>
      </c>
      <c r="K126" s="22" t="e">
        <f>$I126*IF($E126&gt;_xlfn.AGGREGATE(4,6,'KM Data'!$B$6:$B$310),NA(),INDEX('KM Data'!$C$6:$C$310,MATCH($E126,'KM Data'!$B$6:$B$310,1)))</f>
        <v>#N/A</v>
      </c>
      <c r="L126" s="21">
        <f t="shared" si="25"/>
        <v>8.6046913893897847E-2</v>
      </c>
      <c r="M126" s="20">
        <f t="shared" si="28"/>
        <v>1.0260272197782583E-2</v>
      </c>
      <c r="N126" s="21">
        <f t="shared" si="36"/>
        <v>8.6046913893897847E-2</v>
      </c>
      <c r="O126" s="21">
        <f t="shared" si="37"/>
        <v>0.90151938241151774</v>
      </c>
      <c r="P126" s="21">
        <f t="shared" si="38"/>
        <v>8.6046913893897847E-2</v>
      </c>
      <c r="R126" s="22" t="e">
        <f>$I126*IF($E126&gt;_xlfn.AGGREGATE(4,6,'KM Data'!$E$6:$E$205),NA(),INDEX('KM Data'!$F$6:$F$205,MATCH($E126,'KM Data'!$E$6:$E$205,1)))</f>
        <v>#N/A</v>
      </c>
      <c r="S126" s="21">
        <f t="shared" si="26"/>
        <v>0.24710234905333217</v>
      </c>
      <c r="T126" s="8">
        <f t="shared" si="29"/>
        <v>6.3330824878256031E-3</v>
      </c>
      <c r="U126" s="21">
        <f t="shared" si="39"/>
        <v>0.24710234905333217</v>
      </c>
      <c r="V126" s="21">
        <f t="shared" si="40"/>
        <v>0.90151938241151774</v>
      </c>
      <c r="W126" s="21">
        <f t="shared" si="41"/>
        <v>0.24710234905333217</v>
      </c>
      <c r="Y126" s="23">
        <f t="shared" si="30"/>
        <v>8.6046913893897847E-2</v>
      </c>
      <c r="Z126" s="6">
        <f t="shared" si="31"/>
        <v>0.16105543515943432</v>
      </c>
      <c r="AA126" s="6">
        <f t="shared" si="32"/>
        <v>0.75289765094666783</v>
      </c>
      <c r="AB126" s="6">
        <f t="shared" si="33"/>
        <v>1</v>
      </c>
    </row>
    <row r="127" spans="1:28" x14ac:dyDescent="0.35">
      <c r="A127">
        <v>118</v>
      </c>
      <c r="B127" s="17">
        <f t="shared" si="34"/>
        <v>3561.1875</v>
      </c>
      <c r="C127" s="17">
        <f t="shared" si="27"/>
        <v>3591.625</v>
      </c>
      <c r="D127" s="17">
        <f t="shared" si="35"/>
        <v>3576.40625</v>
      </c>
      <c r="E127" s="17">
        <f t="shared" si="21"/>
        <v>117.5</v>
      </c>
      <c r="F127" s="17">
        <f t="shared" si="22"/>
        <v>69.791666666666671</v>
      </c>
      <c r="G127" s="21">
        <f>INDEX('Life Tables'!$F$8:$F$123,MATCH(Engine!F127,'Life Tables'!$B$8:$B$123,1))</f>
        <v>1.3108174445860543E-3</v>
      </c>
      <c r="H127" s="8">
        <f t="shared" si="23"/>
        <v>0.73373097218961414</v>
      </c>
      <c r="I127">
        <f t="shared" si="24"/>
        <v>1</v>
      </c>
      <c r="K127" s="22" t="e">
        <f>$I127*IF($E127&gt;_xlfn.AGGREGATE(4,6,'KM Data'!$B$6:$B$310),NA(),INDEX('KM Data'!$C$6:$C$310,MATCH($E127,'KM Data'!$B$6:$B$310,1)))</f>
        <v>#N/A</v>
      </c>
      <c r="L127" s="21">
        <f t="shared" si="25"/>
        <v>8.5164049135567299E-2</v>
      </c>
      <c r="M127" s="20">
        <f t="shared" si="28"/>
        <v>1.0199885881545523E-2</v>
      </c>
      <c r="N127" s="21">
        <f t="shared" si="36"/>
        <v>8.5164049135567299E-2</v>
      </c>
      <c r="O127" s="21">
        <f t="shared" si="37"/>
        <v>0.90033765507842023</v>
      </c>
      <c r="P127" s="21">
        <f t="shared" si="38"/>
        <v>8.5164049135567299E-2</v>
      </c>
      <c r="R127" s="22" t="e">
        <f>$I127*IF($E127&gt;_xlfn.AGGREGATE(4,6,'KM Data'!$E$6:$E$205),NA(),INDEX('KM Data'!$F$6:$F$205,MATCH($E127,'KM Data'!$E$6:$E$205,1)))</f>
        <v>#N/A</v>
      </c>
      <c r="S127" s="21">
        <f t="shared" si="26"/>
        <v>0.24553742949384194</v>
      </c>
      <c r="T127" s="8">
        <f t="shared" si="29"/>
        <v>6.2979617756880879E-3</v>
      </c>
      <c r="U127" s="21">
        <f t="shared" si="39"/>
        <v>0.24553742949384194</v>
      </c>
      <c r="V127" s="21">
        <f t="shared" si="40"/>
        <v>0.90033765507842023</v>
      </c>
      <c r="W127" s="21">
        <f t="shared" si="41"/>
        <v>0.24553742949384194</v>
      </c>
      <c r="Y127" s="23">
        <f t="shared" si="30"/>
        <v>8.5164049135567299E-2</v>
      </c>
      <c r="Z127" s="6">
        <f t="shared" si="31"/>
        <v>0.16037338035827464</v>
      </c>
      <c r="AA127" s="6">
        <f t="shared" si="32"/>
        <v>0.75446257050615806</v>
      </c>
      <c r="AB127" s="6">
        <f t="shared" si="33"/>
        <v>1</v>
      </c>
    </row>
    <row r="128" spans="1:28" x14ac:dyDescent="0.35">
      <c r="A128">
        <v>119</v>
      </c>
      <c r="B128" s="17">
        <f t="shared" si="34"/>
        <v>3591.625</v>
      </c>
      <c r="C128" s="17">
        <f t="shared" si="27"/>
        <v>3622.0625</v>
      </c>
      <c r="D128" s="17">
        <f t="shared" si="35"/>
        <v>3606.84375</v>
      </c>
      <c r="E128" s="17">
        <f t="shared" si="21"/>
        <v>118.5</v>
      </c>
      <c r="F128" s="17">
        <f t="shared" si="22"/>
        <v>69.875</v>
      </c>
      <c r="G128" s="21">
        <f>INDEX('Life Tables'!$F$8:$F$123,MATCH(Engine!F128,'Life Tables'!$B$8:$B$123,1))</f>
        <v>1.3108174445860543E-3</v>
      </c>
      <c r="H128" s="8">
        <f t="shared" si="23"/>
        <v>0.73373097218961414</v>
      </c>
      <c r="I128">
        <f t="shared" si="24"/>
        <v>1</v>
      </c>
      <c r="K128" s="22" t="e">
        <f>$I128*IF($E128&gt;_xlfn.AGGREGATE(4,6,'KM Data'!$B$6:$B$310),NA(),INDEX('KM Data'!$C$6:$C$310,MATCH($E128,'KM Data'!$B$6:$B$310,1)))</f>
        <v>#N/A</v>
      </c>
      <c r="L128" s="21">
        <f t="shared" si="25"/>
        <v>8.4295385553174174E-2</v>
      </c>
      <c r="M128" s="20">
        <f t="shared" si="28"/>
        <v>1.0140307801016935E-2</v>
      </c>
      <c r="N128" s="21">
        <f t="shared" si="36"/>
        <v>8.4295385553174174E-2</v>
      </c>
      <c r="O128" s="21">
        <f t="shared" si="37"/>
        <v>0.89915747677412572</v>
      </c>
      <c r="P128" s="21">
        <f t="shared" si="38"/>
        <v>8.4295385553174174E-2</v>
      </c>
      <c r="R128" s="22" t="e">
        <f>$I128*IF($E128&gt;_xlfn.AGGREGATE(4,6,'KM Data'!$E$6:$E$205),NA(),INDEX('KM Data'!$F$6:$F$205,MATCH($E128,'KM Data'!$E$6:$E$205,1)))</f>
        <v>#N/A</v>
      </c>
      <c r="S128" s="21">
        <f t="shared" si="26"/>
        <v>0.24399104414838901</v>
      </c>
      <c r="T128" s="8">
        <f t="shared" si="29"/>
        <v>6.263293121102409E-3</v>
      </c>
      <c r="U128" s="21">
        <f t="shared" si="39"/>
        <v>0.24399104414838901</v>
      </c>
      <c r="V128" s="21">
        <f t="shared" si="40"/>
        <v>0.89915747677412572</v>
      </c>
      <c r="W128" s="21">
        <f t="shared" si="41"/>
        <v>0.24399104414838901</v>
      </c>
      <c r="Y128" s="23">
        <f t="shared" si="30"/>
        <v>8.4295385553174174E-2</v>
      </c>
      <c r="Z128" s="6">
        <f t="shared" si="31"/>
        <v>0.15969565859521484</v>
      </c>
      <c r="AA128" s="6">
        <f t="shared" si="32"/>
        <v>0.75600895585161099</v>
      </c>
      <c r="AB128" s="6">
        <f t="shared" si="33"/>
        <v>1</v>
      </c>
    </row>
    <row r="129" spans="1:28" x14ac:dyDescent="0.35">
      <c r="A129">
        <v>120</v>
      </c>
      <c r="B129" s="17">
        <f t="shared" si="34"/>
        <v>3622.0625</v>
      </c>
      <c r="C129" s="17">
        <f t="shared" si="27"/>
        <v>3652.5</v>
      </c>
      <c r="D129" s="17">
        <f t="shared" si="35"/>
        <v>3637.28125</v>
      </c>
      <c r="E129" s="17">
        <f t="shared" si="21"/>
        <v>119.5</v>
      </c>
      <c r="F129" s="17">
        <f t="shared" si="22"/>
        <v>69.958333333333329</v>
      </c>
      <c r="G129" s="21">
        <f>INDEX('Life Tables'!$F$8:$F$123,MATCH(Engine!F129,'Life Tables'!$B$8:$B$123,1))</f>
        <v>1.3108174445860543E-3</v>
      </c>
      <c r="H129" s="8">
        <f t="shared" si="23"/>
        <v>0.70891881370977217</v>
      </c>
      <c r="I129">
        <f t="shared" si="24"/>
        <v>1</v>
      </c>
      <c r="K129" s="22" t="e">
        <f>$I129*IF($E129&gt;_xlfn.AGGREGATE(4,6,'KM Data'!$B$6:$B$310),NA(),INDEX('KM Data'!$C$6:$C$310,MATCH($E129,'KM Data'!$B$6:$B$310,1)))</f>
        <v>#N/A</v>
      </c>
      <c r="L129" s="21">
        <f t="shared" si="25"/>
        <v>8.3440604397459595E-2</v>
      </c>
      <c r="M129" s="20">
        <f t="shared" si="28"/>
        <v>1.0081520988101333E-2</v>
      </c>
      <c r="N129" s="21">
        <f t="shared" si="36"/>
        <v>8.3440604397459595E-2</v>
      </c>
      <c r="O129" s="21">
        <f t="shared" si="37"/>
        <v>0.89797884546814022</v>
      </c>
      <c r="P129" s="21">
        <f t="shared" si="38"/>
        <v>8.3440604397459595E-2</v>
      </c>
      <c r="R129" s="22" t="e">
        <f>$I129*IF($E129&gt;_xlfn.AGGREGATE(4,6,'KM Data'!$E$6:$E$205),NA(),INDEX('KM Data'!$F$6:$F$205,MATCH($E129,'KM Data'!$E$6:$E$205,1)))</f>
        <v>#N/A</v>
      </c>
      <c r="S129" s="21">
        <f t="shared" si="26"/>
        <v>0.24246285671996382</v>
      </c>
      <c r="T129" s="8">
        <f t="shared" si="29"/>
        <v>6.229067320786208E-3</v>
      </c>
      <c r="U129" s="21">
        <f t="shared" si="39"/>
        <v>0.24246285671996382</v>
      </c>
      <c r="V129" s="21">
        <f t="shared" si="40"/>
        <v>0.89797884546814022</v>
      </c>
      <c r="W129" s="21">
        <f t="shared" si="41"/>
        <v>0.24246285671996382</v>
      </c>
      <c r="Y129" s="23">
        <f t="shared" si="30"/>
        <v>8.3440604397459595E-2</v>
      </c>
      <c r="Z129" s="6">
        <f t="shared" si="31"/>
        <v>0.15902225232250422</v>
      </c>
      <c r="AA129" s="6">
        <f t="shared" si="32"/>
        <v>0.75753714328003618</v>
      </c>
      <c r="AB129" s="6">
        <f t="shared" si="33"/>
        <v>1</v>
      </c>
    </row>
    <row r="130" spans="1:28" x14ac:dyDescent="0.35">
      <c r="A130">
        <v>121</v>
      </c>
      <c r="B130" s="17">
        <f t="shared" si="34"/>
        <v>3652.5</v>
      </c>
      <c r="C130" s="17">
        <f t="shared" si="27"/>
        <v>3682.9375</v>
      </c>
      <c r="D130" s="17">
        <f t="shared" si="35"/>
        <v>3667.71875</v>
      </c>
      <c r="E130" s="17">
        <f t="shared" si="21"/>
        <v>120.5</v>
      </c>
      <c r="F130" s="17">
        <f t="shared" si="22"/>
        <v>70.041666666666671</v>
      </c>
      <c r="G130" s="21">
        <f>INDEX('Life Tables'!$F$8:$F$123,MATCH(Engine!F130,'Life Tables'!$B$8:$B$123,1))</f>
        <v>1.4416160833669034E-3</v>
      </c>
      <c r="H130" s="8">
        <f t="shared" si="23"/>
        <v>0.70891881370977217</v>
      </c>
      <c r="I130">
        <f t="shared" si="24"/>
        <v>1</v>
      </c>
      <c r="K130" s="22" t="e">
        <f>$I130*IF($E130&gt;_xlfn.AGGREGATE(4,6,'KM Data'!$B$6:$B$310),NA(),INDEX('KM Data'!$C$6:$C$310,MATCH($E130,'KM Data'!$B$6:$B$310,1)))</f>
        <v>#N/A</v>
      </c>
      <c r="L130" s="21">
        <f t="shared" si="25"/>
        <v>8.2599396192966745E-2</v>
      </c>
      <c r="M130" s="20">
        <f t="shared" si="28"/>
        <v>1.0023508959602245E-2</v>
      </c>
      <c r="N130" s="21">
        <f t="shared" si="36"/>
        <v>8.2599396192966745E-2</v>
      </c>
      <c r="O130" s="21">
        <f t="shared" si="37"/>
        <v>0.89680175913263138</v>
      </c>
      <c r="P130" s="21">
        <f t="shared" si="38"/>
        <v>8.2599396192966745E-2</v>
      </c>
      <c r="R130" s="22" t="e">
        <f>$I130*IF($E130&gt;_xlfn.AGGREGATE(4,6,'KM Data'!$E$6:$E$205),NA(),INDEX('KM Data'!$F$6:$F$205,MATCH($E130,'KM Data'!$E$6:$E$205,1)))</f>
        <v>#N/A</v>
      </c>
      <c r="S130" s="21">
        <f t="shared" si="26"/>
        <v>0.24095253926266502</v>
      </c>
      <c r="T130" s="8">
        <f t="shared" si="29"/>
        <v>6.1952754276866084E-3</v>
      </c>
      <c r="U130" s="21">
        <f t="shared" si="39"/>
        <v>0.24095253926266502</v>
      </c>
      <c r="V130" s="21">
        <f t="shared" si="40"/>
        <v>0.89680175913263138</v>
      </c>
      <c r="W130" s="21">
        <f t="shared" si="41"/>
        <v>0.24095253926266502</v>
      </c>
      <c r="Y130" s="23">
        <f t="shared" si="30"/>
        <v>8.2599396192966745E-2</v>
      </c>
      <c r="Z130" s="6">
        <f t="shared" si="31"/>
        <v>0.15835314306969828</v>
      </c>
      <c r="AA130" s="6">
        <f t="shared" si="32"/>
        <v>0.75904746073733498</v>
      </c>
      <c r="AB130" s="6">
        <f t="shared" si="33"/>
        <v>1</v>
      </c>
    </row>
    <row r="131" spans="1:28" x14ac:dyDescent="0.35">
      <c r="A131">
        <v>122</v>
      </c>
      <c r="B131" s="17">
        <f t="shared" si="34"/>
        <v>3682.9375</v>
      </c>
      <c r="C131" s="17">
        <f t="shared" si="27"/>
        <v>3713.375</v>
      </c>
      <c r="D131" s="17">
        <f t="shared" si="35"/>
        <v>3698.15625</v>
      </c>
      <c r="E131" s="17">
        <f t="shared" si="21"/>
        <v>121.5</v>
      </c>
      <c r="F131" s="17">
        <f t="shared" si="22"/>
        <v>70.125</v>
      </c>
      <c r="G131" s="21">
        <f>INDEX('Life Tables'!$F$8:$F$123,MATCH(Engine!F131,'Life Tables'!$B$8:$B$123,1))</f>
        <v>1.4416160833669034E-3</v>
      </c>
      <c r="H131" s="8">
        <f t="shared" si="23"/>
        <v>0.70891881370977217</v>
      </c>
      <c r="I131">
        <f t="shared" si="24"/>
        <v>1</v>
      </c>
      <c r="K131" s="22" t="e">
        <f>$I131*IF($E131&gt;_xlfn.AGGREGATE(4,6,'KM Data'!$B$6:$B$310),NA(),INDEX('KM Data'!$C$6:$C$310,MATCH($E131,'KM Data'!$B$6:$B$310,1)))</f>
        <v>#N/A</v>
      </c>
      <c r="L131" s="21">
        <f t="shared" si="25"/>
        <v>8.1771460405168805E-2</v>
      </c>
      <c r="M131" s="20">
        <f t="shared" si="28"/>
        <v>9.9662556997224261E-3</v>
      </c>
      <c r="N131" s="21">
        <f t="shared" si="36"/>
        <v>8.1771460405168805E-2</v>
      </c>
      <c r="O131" s="21">
        <f t="shared" si="37"/>
        <v>0.89550891529307408</v>
      </c>
      <c r="P131" s="21">
        <f t="shared" si="38"/>
        <v>8.1771460405168805E-2</v>
      </c>
      <c r="R131" s="22" t="e">
        <f>$I131*IF($E131&gt;_xlfn.AGGREGATE(4,6,'KM Data'!$E$6:$E$205),NA(),INDEX('KM Data'!$F$6:$F$205,MATCH($E131,'KM Data'!$E$6:$E$205,1)))</f>
        <v>#N/A</v>
      </c>
      <c r="S131" s="21">
        <f t="shared" si="26"/>
        <v>0.23945977191693235</v>
      </c>
      <c r="T131" s="8">
        <f t="shared" si="29"/>
        <v>6.1619087419397811E-3</v>
      </c>
      <c r="U131" s="21">
        <f t="shared" si="39"/>
        <v>0.23945977191693235</v>
      </c>
      <c r="V131" s="21">
        <f t="shared" si="40"/>
        <v>0.89550891529307408</v>
      </c>
      <c r="W131" s="21">
        <f t="shared" si="41"/>
        <v>0.23945977191693235</v>
      </c>
      <c r="Y131" s="23">
        <f t="shared" si="30"/>
        <v>8.1771460405168805E-2</v>
      </c>
      <c r="Z131" s="6">
        <f t="shared" si="31"/>
        <v>0.15768831151176355</v>
      </c>
      <c r="AA131" s="6">
        <f t="shared" si="32"/>
        <v>0.76054022808306765</v>
      </c>
      <c r="AB131" s="6">
        <f t="shared" si="33"/>
        <v>1</v>
      </c>
    </row>
    <row r="132" spans="1:28" x14ac:dyDescent="0.35">
      <c r="A132">
        <v>123</v>
      </c>
      <c r="B132" s="17">
        <f t="shared" si="34"/>
        <v>3713.375</v>
      </c>
      <c r="C132" s="17">
        <f t="shared" si="27"/>
        <v>3743.8125</v>
      </c>
      <c r="D132" s="17">
        <f t="shared" si="35"/>
        <v>3728.59375</v>
      </c>
      <c r="E132" s="17">
        <f t="shared" si="21"/>
        <v>122.5</v>
      </c>
      <c r="F132" s="17">
        <f t="shared" si="22"/>
        <v>70.208333333333329</v>
      </c>
      <c r="G132" s="21">
        <f>INDEX('Life Tables'!$F$8:$F$123,MATCH(Engine!F132,'Life Tables'!$B$8:$B$123,1))</f>
        <v>1.4416160833669034E-3</v>
      </c>
      <c r="H132" s="8">
        <f t="shared" si="23"/>
        <v>0.70891881370977217</v>
      </c>
      <c r="I132">
        <f t="shared" si="24"/>
        <v>1</v>
      </c>
      <c r="K132" s="22" t="e">
        <f>$I132*IF($E132&gt;_xlfn.AGGREGATE(4,6,'KM Data'!$B$6:$B$310),NA(),INDEX('KM Data'!$C$6:$C$310,MATCH($E132,'KM Data'!$B$6:$B$310,1)))</f>
        <v>#N/A</v>
      </c>
      <c r="L132" s="21">
        <f t="shared" si="25"/>
        <v>8.0956505121831168E-2</v>
      </c>
      <c r="M132" s="20">
        <f t="shared" si="28"/>
        <v>9.9097456433304698E-3</v>
      </c>
      <c r="N132" s="21">
        <f t="shared" si="36"/>
        <v>8.0956505121831168E-2</v>
      </c>
      <c r="O132" s="21">
        <f t="shared" si="37"/>
        <v>0.89421793523798909</v>
      </c>
      <c r="P132" s="21">
        <f t="shared" si="38"/>
        <v>8.0956505121831168E-2</v>
      </c>
      <c r="R132" s="22" t="e">
        <f>$I132*IF($E132&gt;_xlfn.AGGREGATE(4,6,'KM Data'!$E$6:$E$205),NA(),INDEX('KM Data'!$F$6:$F$205,MATCH($E132,'KM Data'!$E$6:$E$205,1)))</f>
        <v>#N/A</v>
      </c>
      <c r="S132" s="21">
        <f t="shared" si="26"/>
        <v>0.2379842426550145</v>
      </c>
      <c r="T132" s="8">
        <f t="shared" si="29"/>
        <v>6.1289588022265251E-3</v>
      </c>
      <c r="U132" s="21">
        <f t="shared" si="39"/>
        <v>0.2379842426550145</v>
      </c>
      <c r="V132" s="21">
        <f t="shared" si="40"/>
        <v>0.89421793523798909</v>
      </c>
      <c r="W132" s="21">
        <f t="shared" si="41"/>
        <v>0.2379842426550145</v>
      </c>
      <c r="Y132" s="23">
        <f t="shared" si="30"/>
        <v>8.0956505121831168E-2</v>
      </c>
      <c r="Z132" s="6">
        <f t="shared" si="31"/>
        <v>0.15702773753318333</v>
      </c>
      <c r="AA132" s="6">
        <f t="shared" si="32"/>
        <v>0.7620157573449855</v>
      </c>
      <c r="AB132" s="6">
        <f t="shared" si="33"/>
        <v>1</v>
      </c>
    </row>
    <row r="133" spans="1:28" x14ac:dyDescent="0.35">
      <c r="A133">
        <v>124</v>
      </c>
      <c r="B133" s="17">
        <f t="shared" si="34"/>
        <v>3743.8125</v>
      </c>
      <c r="C133" s="17">
        <f t="shared" si="27"/>
        <v>3774.25</v>
      </c>
      <c r="D133" s="17">
        <f t="shared" si="35"/>
        <v>3759.03125</v>
      </c>
      <c r="E133" s="17">
        <f t="shared" si="21"/>
        <v>123.5</v>
      </c>
      <c r="F133" s="17">
        <f t="shared" si="22"/>
        <v>70.291666666666671</v>
      </c>
      <c r="G133" s="21">
        <f>INDEX('Life Tables'!$F$8:$F$123,MATCH(Engine!F133,'Life Tables'!$B$8:$B$123,1))</f>
        <v>1.4416160833669034E-3</v>
      </c>
      <c r="H133" s="8">
        <f t="shared" si="23"/>
        <v>0.70891881370977217</v>
      </c>
      <c r="I133">
        <f t="shared" si="24"/>
        <v>1</v>
      </c>
      <c r="K133" s="22" t="e">
        <f>$I133*IF($E133&gt;_xlfn.AGGREGATE(4,6,'KM Data'!$B$6:$B$310),NA(),INDEX('KM Data'!$C$6:$C$310,MATCH($E133,'KM Data'!$B$6:$B$310,1)))</f>
        <v>#N/A</v>
      </c>
      <c r="L133" s="21">
        <f t="shared" si="25"/>
        <v>8.0154246747900837E-2</v>
      </c>
      <c r="M133" s="20">
        <f t="shared" si="28"/>
        <v>9.8539636599380698E-3</v>
      </c>
      <c r="N133" s="21">
        <f t="shared" si="36"/>
        <v>8.0154246747900837E-2</v>
      </c>
      <c r="O133" s="21">
        <f t="shared" si="37"/>
        <v>0.8929288162805149</v>
      </c>
      <c r="P133" s="21">
        <f t="shared" si="38"/>
        <v>8.0154246747900837E-2</v>
      </c>
      <c r="R133" s="22" t="e">
        <f>$I133*IF($E133&gt;_xlfn.AGGREGATE(4,6,'KM Data'!$E$6:$E$205),NA(),INDEX('KM Data'!$F$6:$F$205,MATCH($E133,'KM Data'!$E$6:$E$205,1)))</f>
        <v>#N/A</v>
      </c>
      <c r="S133" s="21">
        <f t="shared" si="26"/>
        <v>0.23652564703620282</v>
      </c>
      <c r="T133" s="8">
        <f t="shared" si="29"/>
        <v>6.096417377483454E-3</v>
      </c>
      <c r="U133" s="21">
        <f t="shared" si="39"/>
        <v>0.23652564703620282</v>
      </c>
      <c r="V133" s="21">
        <f t="shared" si="40"/>
        <v>0.8929288162805149</v>
      </c>
      <c r="W133" s="21">
        <f t="shared" si="41"/>
        <v>0.23652564703620282</v>
      </c>
      <c r="Y133" s="23">
        <f t="shared" si="30"/>
        <v>8.0154246747900837E-2</v>
      </c>
      <c r="Z133" s="6">
        <f t="shared" si="31"/>
        <v>0.15637140028830199</v>
      </c>
      <c r="AA133" s="6">
        <f t="shared" si="32"/>
        <v>0.76347435296379718</v>
      </c>
      <c r="AB133" s="6">
        <f t="shared" si="33"/>
        <v>1</v>
      </c>
    </row>
    <row r="134" spans="1:28" x14ac:dyDescent="0.35">
      <c r="A134">
        <v>125</v>
      </c>
      <c r="B134" s="17">
        <f t="shared" si="34"/>
        <v>3774.25</v>
      </c>
      <c r="C134" s="17">
        <f t="shared" si="27"/>
        <v>3804.6875</v>
      </c>
      <c r="D134" s="17">
        <f t="shared" si="35"/>
        <v>3789.46875</v>
      </c>
      <c r="E134" s="17">
        <f t="shared" si="21"/>
        <v>124.5</v>
      </c>
      <c r="F134" s="17">
        <f t="shared" si="22"/>
        <v>70.375</v>
      </c>
      <c r="G134" s="21">
        <f>INDEX('Life Tables'!$F$8:$F$123,MATCH(Engine!F134,'Life Tables'!$B$8:$B$123,1))</f>
        <v>1.4416160833669034E-3</v>
      </c>
      <c r="H134" s="8">
        <f t="shared" si="23"/>
        <v>0.70891881370977217</v>
      </c>
      <c r="I134">
        <f t="shared" si="24"/>
        <v>1</v>
      </c>
      <c r="K134" s="22" t="e">
        <f>$I134*IF($E134&gt;_xlfn.AGGREGATE(4,6,'KM Data'!$B$6:$B$310),NA(),INDEX('KM Data'!$C$6:$C$310,MATCH($E134,'KM Data'!$B$6:$B$310,1)))</f>
        <v>#N/A</v>
      </c>
      <c r="L134" s="21">
        <f t="shared" si="25"/>
        <v>7.9364409713257311E-2</v>
      </c>
      <c r="M134" s="20">
        <f t="shared" si="28"/>
        <v>9.7988950383728346E-3</v>
      </c>
      <c r="N134" s="21">
        <f t="shared" si="36"/>
        <v>7.9364409713257311E-2</v>
      </c>
      <c r="O134" s="21">
        <f t="shared" si="37"/>
        <v>0.89164155573766313</v>
      </c>
      <c r="P134" s="21">
        <f t="shared" si="38"/>
        <v>7.9364409713257311E-2</v>
      </c>
      <c r="R134" s="22" t="e">
        <f>$I134*IF($E134&gt;_xlfn.AGGREGATE(4,6,'KM Data'!$E$6:$E$205),NA(),INDEX('KM Data'!$F$6:$F$205,MATCH($E134,'KM Data'!$E$6:$E$205,1)))</f>
        <v>#N/A</v>
      </c>
      <c r="S134" s="21">
        <f t="shared" si="26"/>
        <v>0.23508368797139079</v>
      </c>
      <c r="T134" s="8">
        <f t="shared" si="29"/>
        <v>6.0642764589661224E-3</v>
      </c>
      <c r="U134" s="21">
        <f t="shared" si="39"/>
        <v>0.23508368797139079</v>
      </c>
      <c r="V134" s="21">
        <f t="shared" si="40"/>
        <v>0.89164155573766313</v>
      </c>
      <c r="W134" s="21">
        <f t="shared" si="41"/>
        <v>0.23508368797139079</v>
      </c>
      <c r="Y134" s="23">
        <f t="shared" si="30"/>
        <v>7.9364409713257311E-2</v>
      </c>
      <c r="Z134" s="6">
        <f t="shared" si="31"/>
        <v>0.15571927825813348</v>
      </c>
      <c r="AA134" s="6">
        <f t="shared" si="32"/>
        <v>0.76491631202860921</v>
      </c>
      <c r="AB134" s="6">
        <f t="shared" si="33"/>
        <v>1</v>
      </c>
    </row>
    <row r="135" spans="1:28" x14ac:dyDescent="0.35">
      <c r="A135">
        <v>126</v>
      </c>
      <c r="B135" s="17">
        <f t="shared" si="34"/>
        <v>3804.6875</v>
      </c>
      <c r="C135" s="17">
        <f t="shared" si="27"/>
        <v>3835.125</v>
      </c>
      <c r="D135" s="17">
        <f t="shared" si="35"/>
        <v>3819.90625</v>
      </c>
      <c r="E135" s="17">
        <f t="shared" si="21"/>
        <v>125.5</v>
      </c>
      <c r="F135" s="17">
        <f t="shared" si="22"/>
        <v>70.458333333333329</v>
      </c>
      <c r="G135" s="21">
        <f>INDEX('Life Tables'!$F$8:$F$123,MATCH(Engine!F135,'Life Tables'!$B$8:$B$123,1))</f>
        <v>1.4416160833669034E-3</v>
      </c>
      <c r="H135" s="8">
        <f t="shared" si="23"/>
        <v>0.70891881370977217</v>
      </c>
      <c r="I135">
        <f t="shared" si="24"/>
        <v>1</v>
      </c>
      <c r="K135" s="22" t="e">
        <f>$I135*IF($E135&gt;_xlfn.AGGREGATE(4,6,'KM Data'!$B$6:$B$310),NA(),INDEX('KM Data'!$C$6:$C$310,MATCH($E135,'KM Data'!$B$6:$B$310,1)))</f>
        <v>#N/A</v>
      </c>
      <c r="L135" s="21">
        <f t="shared" si="25"/>
        <v>7.8586726192694689E-2</v>
      </c>
      <c r="M135" s="20">
        <f t="shared" si="28"/>
        <v>9.7445254720973651E-3</v>
      </c>
      <c r="N135" s="21">
        <f t="shared" si="36"/>
        <v>7.8586726192694689E-2</v>
      </c>
      <c r="O135" s="21">
        <f t="shared" si="37"/>
        <v>0.89035615093031339</v>
      </c>
      <c r="P135" s="21">
        <f t="shared" si="38"/>
        <v>7.8586726192694689E-2</v>
      </c>
      <c r="R135" s="22" t="e">
        <f>$I135*IF($E135&gt;_xlfn.AGGREGATE(4,6,'KM Data'!$E$6:$E$205),NA(),INDEX('KM Data'!$F$6:$F$205,MATCH($E135,'KM Data'!$E$6:$E$205,1)))</f>
        <v>#N/A</v>
      </c>
      <c r="S135" s="21">
        <f t="shared" si="26"/>
        <v>0.23365807549653894</v>
      </c>
      <c r="T135" s="8">
        <f t="shared" si="29"/>
        <v>6.03252825263767E-3</v>
      </c>
      <c r="U135" s="21">
        <f t="shared" si="39"/>
        <v>0.23365807549653894</v>
      </c>
      <c r="V135" s="21">
        <f t="shared" si="40"/>
        <v>0.89035615093031339</v>
      </c>
      <c r="W135" s="21">
        <f t="shared" si="41"/>
        <v>0.23365807549653894</v>
      </c>
      <c r="Y135" s="23">
        <f t="shared" si="30"/>
        <v>7.8586726192694689E-2</v>
      </c>
      <c r="Z135" s="6">
        <f t="shared" si="31"/>
        <v>0.15507134930384425</v>
      </c>
      <c r="AA135" s="6">
        <f t="shared" si="32"/>
        <v>0.76634192450346106</v>
      </c>
      <c r="AB135" s="6">
        <f t="shared" si="33"/>
        <v>1</v>
      </c>
    </row>
    <row r="136" spans="1:28" x14ac:dyDescent="0.35">
      <c r="A136">
        <v>127</v>
      </c>
      <c r="B136" s="17">
        <f t="shared" si="34"/>
        <v>3835.125</v>
      </c>
      <c r="C136" s="17">
        <f t="shared" si="27"/>
        <v>3865.5625</v>
      </c>
      <c r="D136" s="17">
        <f t="shared" si="35"/>
        <v>3850.34375</v>
      </c>
      <c r="E136" s="17">
        <f t="shared" si="21"/>
        <v>126.5</v>
      </c>
      <c r="F136" s="17">
        <f t="shared" si="22"/>
        <v>70.541666666666671</v>
      </c>
      <c r="G136" s="21">
        <f>INDEX('Life Tables'!$F$8:$F$123,MATCH(Engine!F136,'Life Tables'!$B$8:$B$123,1))</f>
        <v>1.4416160833669034E-3</v>
      </c>
      <c r="H136" s="8">
        <f t="shared" si="23"/>
        <v>0.70891881370977217</v>
      </c>
      <c r="I136">
        <f t="shared" si="24"/>
        <v>1</v>
      </c>
      <c r="K136" s="22" t="e">
        <f>$I136*IF($E136&gt;_xlfn.AGGREGATE(4,6,'KM Data'!$B$6:$B$310),NA(),INDEX('KM Data'!$C$6:$C$310,MATCH($E136,'KM Data'!$B$6:$B$310,1)))</f>
        <v>#N/A</v>
      </c>
      <c r="L136" s="21">
        <f t="shared" si="25"/>
        <v>7.7820935837541239E-2</v>
      </c>
      <c r="M136" s="20">
        <f t="shared" si="28"/>
        <v>9.6908410451547189E-3</v>
      </c>
      <c r="N136" s="21">
        <f t="shared" si="36"/>
        <v>7.7820935837541239E-2</v>
      </c>
      <c r="O136" s="21">
        <f t="shared" si="37"/>
        <v>0.88907259918320758</v>
      </c>
      <c r="P136" s="21">
        <f t="shared" si="38"/>
        <v>7.7820935837541239E-2</v>
      </c>
      <c r="R136" s="22" t="e">
        <f>$I136*IF($E136&gt;_xlfn.AGGREGATE(4,6,'KM Data'!$E$6:$E$205),NA(),INDEX('KM Data'!$F$6:$F$205,MATCH($E136,'KM Data'!$E$6:$E$205,1)))</f>
        <v>#N/A</v>
      </c>
      <c r="S136" s="21">
        <f t="shared" si="26"/>
        <v>0.23224852655464912</v>
      </c>
      <c r="T136" s="8">
        <f t="shared" si="29"/>
        <v>6.0011651718864245E-3</v>
      </c>
      <c r="U136" s="21">
        <f t="shared" si="39"/>
        <v>0.23224852655464912</v>
      </c>
      <c r="V136" s="21">
        <f t="shared" si="40"/>
        <v>0.88907259918320758</v>
      </c>
      <c r="W136" s="21">
        <f t="shared" si="41"/>
        <v>0.23224852655464912</v>
      </c>
      <c r="Y136" s="23">
        <f t="shared" si="30"/>
        <v>7.7820935837541239E-2</v>
      </c>
      <c r="Z136" s="6">
        <f t="shared" si="31"/>
        <v>0.15442759071710788</v>
      </c>
      <c r="AA136" s="6">
        <f t="shared" si="32"/>
        <v>0.76775147344535088</v>
      </c>
      <c r="AB136" s="6">
        <f t="shared" si="33"/>
        <v>1</v>
      </c>
    </row>
    <row r="137" spans="1:28" x14ac:dyDescent="0.35">
      <c r="A137">
        <v>128</v>
      </c>
      <c r="B137" s="17">
        <f t="shared" si="34"/>
        <v>3865.5625</v>
      </c>
      <c r="C137" s="17">
        <f t="shared" si="27"/>
        <v>3896</v>
      </c>
      <c r="D137" s="17">
        <f t="shared" si="35"/>
        <v>3880.78125</v>
      </c>
      <c r="E137" s="17">
        <f t="shared" ref="E137:E200" si="42">D137/Days_per_Month</f>
        <v>127.5</v>
      </c>
      <c r="F137" s="17">
        <f t="shared" ref="F137:F200" si="43">Patient_Baseline_Age+(D137/365.25)</f>
        <v>70.625</v>
      </c>
      <c r="G137" s="21">
        <f>INDEX('Life Tables'!$F$8:$F$123,MATCH(Engine!F137,'Life Tables'!$B$8:$B$123,1))</f>
        <v>1.4416160833669034E-3</v>
      </c>
      <c r="H137" s="8">
        <f t="shared" ref="H137:H200" si="44">1/(1+Discount_Rate)^ROUNDDOWN(A137/12,0)</f>
        <v>0.70891881370977217</v>
      </c>
      <c r="I137">
        <f t="shared" ref="I137:I200" si="45">IF(E137&lt;Min_Time_Horizon__5_Years___60_Months,1,IF(C137/Days_per_Year&lt;Max_Time_Horizon__in_Years,1,NA()))</f>
        <v>1</v>
      </c>
      <c r="K137" s="22" t="e">
        <f>$I137*IF($E137&gt;_xlfn.AGGREGATE(4,6,'KM Data'!$B$6:$B$310),NA(),INDEX('KM Data'!$C$6:$C$310,MATCH($E137,'KM Data'!$B$6:$B$310,1)))</f>
        <v>#N/A</v>
      </c>
      <c r="L137" s="21">
        <f t="shared" ref="L137:L200" si="46">$I137*CHOOSE(MATCH(K$4,label_curves,0),
    EXP(-$E137*EXP(L$5)),
    1-((EXP(GAMMALN(EXP(L$5)))*_xlfn.GAMMA.DIST(EXP(L$6)*$E137,EXP(L$5),1,TRUE))/_xlfn.GAMMA(EXP(L$5))),
    IF($E137=0,1, IF(L$7&gt;0,1,0) + IF(L$7&gt;0,-1,1) * IFERROR(_xlfn.GAMMA.DIST((L$7^-2)*EXP(L$7*((LN($E137)-(L$5))/EXP(L$6))),L$7^-2,1,TRUE),0)),
    EXP(-(EXP(L$5)/L$6)*(EXP(L$6*$E137)-1)),
    1/(1+($E137/EXP(L$5))^EXP(L$6)),
    1-IFERROR(_xlfn.LOGNORM.DIST($E137,L$5,EXP(L$6),TRUE),0),
    EXP(-(($E137/EXP(L$5))^EXP(L$6)))
)</f>
        <v>7.7066785518354441E-2</v>
      </c>
      <c r="M137" s="20">
        <f t="shared" si="28"/>
        <v>9.6378282186955211E-3</v>
      </c>
      <c r="N137" s="21">
        <f t="shared" si="36"/>
        <v>7.7066785518354441E-2</v>
      </c>
      <c r="O137" s="21">
        <f t="shared" si="37"/>
        <v>0.88779089782494425</v>
      </c>
      <c r="P137" s="21">
        <f t="shared" si="38"/>
        <v>7.7066785518354441E-2</v>
      </c>
      <c r="R137" s="22" t="e">
        <f>$I137*IF($E137&gt;_xlfn.AGGREGATE(4,6,'KM Data'!$E$6:$E$205),NA(),INDEX('KM Data'!$F$6:$F$205,MATCH($E137,'KM Data'!$E$6:$E$205,1)))</f>
        <v>#N/A</v>
      </c>
      <c r="S137" s="21">
        <f t="shared" ref="S137:S200" si="47">$I137*CHOOSE(MATCH(R$4,label_curves,0),
    EXP(-$E137*EXP(S$5)),
    1-((EXP(GAMMALN(EXP(S$5)))*_xlfn.GAMMA.DIST(EXP(S$6)*$E137,EXP(S$5),1,TRUE))/_xlfn.GAMMA(EXP(S$5))),
    IF($E137=0,1, IF(S$7&gt;0,1,0) + IF(S$7&gt;0,-1,1) * IFERROR(_xlfn.GAMMA.DIST((S$7^-2)*EXP(S$7*((LN($E137)-(S$5))/EXP(S$6))),S$7^-2,1,TRUE),0)),
    EXP(-(EXP(S$5)/S$6)*(EXP(S$6*$E137)-1)),
    1/(1+($E137/EXP(S$5))^EXP(S$6)),
    1-IFERROR(_xlfn.LOGNORM.DIST($E137,S$5,EXP(S$6),TRUE),0),
    EXP(-(($E137/EXP(S$5))^EXP(S$6)))
)</f>
        <v>0.23085476478586742</v>
      </c>
      <c r="T137" s="8">
        <f t="shared" si="29"/>
        <v>5.9701798305210607E-3</v>
      </c>
      <c r="U137" s="21">
        <f t="shared" si="39"/>
        <v>0.23085476478586742</v>
      </c>
      <c r="V137" s="21">
        <f t="shared" si="40"/>
        <v>0.88779089782494425</v>
      </c>
      <c r="W137" s="21">
        <f t="shared" si="41"/>
        <v>0.23085476478586742</v>
      </c>
      <c r="Y137" s="23">
        <f t="shared" si="30"/>
        <v>7.7066785518354441E-2</v>
      </c>
      <c r="Z137" s="6">
        <f t="shared" si="31"/>
        <v>0.15378797926751298</v>
      </c>
      <c r="AA137" s="6">
        <f t="shared" si="32"/>
        <v>0.76914523521413258</v>
      </c>
      <c r="AB137" s="6">
        <f t="shared" si="33"/>
        <v>1</v>
      </c>
    </row>
    <row r="138" spans="1:28" x14ac:dyDescent="0.35">
      <c r="A138">
        <v>129</v>
      </c>
      <c r="B138" s="17">
        <f t="shared" si="34"/>
        <v>3896</v>
      </c>
      <c r="C138" s="17">
        <f t="shared" ref="C138:C201" si="48">B138+Days_per_Month</f>
        <v>3926.4375</v>
      </c>
      <c r="D138" s="17">
        <f t="shared" si="35"/>
        <v>3911.21875</v>
      </c>
      <c r="E138" s="17">
        <f t="shared" si="42"/>
        <v>128.5</v>
      </c>
      <c r="F138" s="17">
        <f t="shared" si="43"/>
        <v>70.708333333333329</v>
      </c>
      <c r="G138" s="21">
        <f>INDEX('Life Tables'!$F$8:$F$123,MATCH(Engine!F138,'Life Tables'!$B$8:$B$123,1))</f>
        <v>1.4416160833669034E-3</v>
      </c>
      <c r="H138" s="8">
        <f t="shared" si="44"/>
        <v>0.70891881370977217</v>
      </c>
      <c r="I138">
        <f t="shared" si="45"/>
        <v>1</v>
      </c>
      <c r="K138" s="22" t="e">
        <f>$I138*IF($E138&gt;_xlfn.AGGREGATE(4,6,'KM Data'!$B$6:$B$310),NA(),INDEX('KM Data'!$C$6:$C$310,MATCH($E138,'KM Data'!$B$6:$B$310,1)))</f>
        <v>#N/A</v>
      </c>
      <c r="L138" s="21">
        <f t="shared" si="46"/>
        <v>7.6324029078161493E-2</v>
      </c>
      <c r="M138" s="20">
        <f t="shared" ref="M138:M201" si="49">1-(L139/L138)</f>
        <v>9.5854738180737309E-3</v>
      </c>
      <c r="N138" s="21">
        <f t="shared" si="36"/>
        <v>7.6324029078161493E-2</v>
      </c>
      <c r="O138" s="21">
        <f t="shared" si="37"/>
        <v>0.88651104418797311</v>
      </c>
      <c r="P138" s="21">
        <f t="shared" si="38"/>
        <v>7.6324029078161493E-2</v>
      </c>
      <c r="R138" s="22" t="e">
        <f>$I138*IF($E138&gt;_xlfn.AGGREGATE(4,6,'KM Data'!$E$6:$E$205),NA(),INDEX('KM Data'!$F$6:$F$205,MATCH($E138,'KM Data'!$E$6:$E$205,1)))</f>
        <v>#N/A</v>
      </c>
      <c r="S138" s="21">
        <f t="shared" si="47"/>
        <v>0.22947652032536314</v>
      </c>
      <c r="T138" s="8">
        <f t="shared" ref="T138:T201" si="50">1-(S139/S138)</f>
        <v>5.9395650360724028E-3</v>
      </c>
      <c r="U138" s="21">
        <f t="shared" si="39"/>
        <v>0.22947652032536314</v>
      </c>
      <c r="V138" s="21">
        <f t="shared" si="40"/>
        <v>0.88651104418797311</v>
      </c>
      <c r="W138" s="21">
        <f t="shared" si="41"/>
        <v>0.22947652032536314</v>
      </c>
      <c r="Y138" s="23">
        <f t="shared" ref="Y138:Y201" si="51">N138</f>
        <v>7.6324029078161493E-2</v>
      </c>
      <c r="Z138" s="6">
        <f t="shared" ref="Z138:Z201" si="52">U138-N138</f>
        <v>0.15315249124720165</v>
      </c>
      <c r="AA138" s="6">
        <f t="shared" ref="AA138:AA201" si="53">1-U138</f>
        <v>0.77052347967463686</v>
      </c>
      <c r="AB138" s="6">
        <f t="shared" ref="AB138:AB201" si="54">SUM(Y138:AA138)</f>
        <v>1</v>
      </c>
    </row>
    <row r="139" spans="1:28" x14ac:dyDescent="0.35">
      <c r="A139">
        <v>130</v>
      </c>
      <c r="B139" s="17">
        <f t="shared" ref="B139:B202" si="55">C138</f>
        <v>3926.4375</v>
      </c>
      <c r="C139" s="17">
        <f t="shared" si="48"/>
        <v>3956.875</v>
      </c>
      <c r="D139" s="17">
        <f t="shared" ref="D139:D202" si="56">AVERAGE(B139:C139)</f>
        <v>3941.65625</v>
      </c>
      <c r="E139" s="17">
        <f t="shared" si="42"/>
        <v>129.5</v>
      </c>
      <c r="F139" s="17">
        <f t="shared" si="43"/>
        <v>70.791666666666671</v>
      </c>
      <c r="G139" s="21">
        <f>INDEX('Life Tables'!$F$8:$F$123,MATCH(Engine!F139,'Life Tables'!$B$8:$B$123,1))</f>
        <v>1.4416160833669034E-3</v>
      </c>
      <c r="H139" s="8">
        <f t="shared" si="44"/>
        <v>0.70891881370977217</v>
      </c>
      <c r="I139">
        <f t="shared" si="45"/>
        <v>1</v>
      </c>
      <c r="K139" s="22" t="e">
        <f>$I139*IF($E139&gt;_xlfn.AGGREGATE(4,6,'KM Data'!$B$6:$B$310),NA(),INDEX('KM Data'!$C$6:$C$310,MATCH($E139,'KM Data'!$B$6:$B$310,1)))</f>
        <v>#N/A</v>
      </c>
      <c r="L139" s="21">
        <f t="shared" si="46"/>
        <v>7.5592427095742876E-2</v>
      </c>
      <c r="M139" s="20">
        <f t="shared" si="49"/>
        <v>9.5337650204639912E-3</v>
      </c>
      <c r="N139" s="21">
        <f t="shared" ref="N139:N202" si="57">$I139*MIN(N138,U139,P139)</f>
        <v>7.5592427095742876E-2</v>
      </c>
      <c r="O139" s="21">
        <f t="shared" ref="O139:O202" si="58">I139*O138*(1-G138)</f>
        <v>0.88523303560858935</v>
      </c>
      <c r="P139" s="21">
        <f t="shared" ref="P139:P202" si="59">$I139*P138*(1-MAX($G138,M138))</f>
        <v>7.5592427095742876E-2</v>
      </c>
      <c r="R139" s="22" t="e">
        <f>$I139*IF($E139&gt;_xlfn.AGGREGATE(4,6,'KM Data'!$E$6:$E$205),NA(),INDEX('KM Data'!$F$6:$F$205,MATCH($E139,'KM Data'!$E$6:$E$205,1)))</f>
        <v>#N/A</v>
      </c>
      <c r="S139" s="21">
        <f t="shared" si="47"/>
        <v>0.22811352960863907</v>
      </c>
      <c r="T139" s="8">
        <f t="shared" si="50"/>
        <v>5.9093137833469145E-3</v>
      </c>
      <c r="U139" s="21">
        <f t="shared" ref="U139:U202" si="60">$I139*MIN(U138,W139)</f>
        <v>0.22811352960863907</v>
      </c>
      <c r="V139" s="21">
        <f t="shared" ref="V139:V202" si="61">I139*V138*(1-G138)</f>
        <v>0.88523303560858935</v>
      </c>
      <c r="W139" s="21">
        <f t="shared" ref="W139:W202" si="62">$I139*W138*(1-MAX($G138,T138))</f>
        <v>0.22811352960863907</v>
      </c>
      <c r="Y139" s="23">
        <f t="shared" si="51"/>
        <v>7.5592427095742876E-2</v>
      </c>
      <c r="Z139" s="6">
        <f t="shared" si="52"/>
        <v>0.15252110251289619</v>
      </c>
      <c r="AA139" s="6">
        <f t="shared" si="53"/>
        <v>0.77188647039136093</v>
      </c>
      <c r="AB139" s="6">
        <f t="shared" si="54"/>
        <v>1</v>
      </c>
    </row>
    <row r="140" spans="1:28" x14ac:dyDescent="0.35">
      <c r="A140">
        <v>131</v>
      </c>
      <c r="B140" s="17">
        <f t="shared" si="55"/>
        <v>3956.875</v>
      </c>
      <c r="C140" s="17">
        <f t="shared" si="48"/>
        <v>3987.3125</v>
      </c>
      <c r="D140" s="17">
        <f t="shared" si="56"/>
        <v>3972.09375</v>
      </c>
      <c r="E140" s="17">
        <f t="shared" si="42"/>
        <v>130.5</v>
      </c>
      <c r="F140" s="17">
        <f t="shared" si="43"/>
        <v>70.875</v>
      </c>
      <c r="G140" s="21">
        <f>INDEX('Life Tables'!$F$8:$F$123,MATCH(Engine!F140,'Life Tables'!$B$8:$B$123,1))</f>
        <v>1.4416160833669034E-3</v>
      </c>
      <c r="H140" s="8">
        <f t="shared" si="44"/>
        <v>0.70891881370977217</v>
      </c>
      <c r="I140">
        <f t="shared" si="45"/>
        <v>1</v>
      </c>
      <c r="K140" s="22" t="e">
        <f>$I140*IF($E140&gt;_xlfn.AGGREGATE(4,6,'KM Data'!$B$6:$B$310),NA(),INDEX('KM Data'!$C$6:$C$310,MATCH($E140,'KM Data'!$B$6:$B$310,1)))</f>
        <v>#N/A</v>
      </c>
      <c r="L140" s="21">
        <f t="shared" si="46"/>
        <v>7.4871746658485505E-2</v>
      </c>
      <c r="M140" s="20">
        <f t="shared" si="49"/>
        <v>9.4826893429932335E-3</v>
      </c>
      <c r="N140" s="21">
        <f t="shared" si="57"/>
        <v>7.4871746658485505E-2</v>
      </c>
      <c r="O140" s="21">
        <f t="shared" si="58"/>
        <v>0.8839568694269283</v>
      </c>
      <c r="P140" s="21">
        <f t="shared" si="59"/>
        <v>7.4871746658485505E-2</v>
      </c>
      <c r="R140" s="22" t="e">
        <f>$I140*IF($E140&gt;_xlfn.AGGREGATE(4,6,'KM Data'!$E$6:$E$205),NA(),INDEX('KM Data'!$F$6:$F$205,MATCH($E140,'KM Data'!$E$6:$E$205,1)))</f>
        <v>#N/A</v>
      </c>
      <c r="S140" s="21">
        <f t="shared" si="47"/>
        <v>0.22676553518395481</v>
      </c>
      <c r="T140" s="8">
        <f t="shared" si="50"/>
        <v>5.8794192482606311E-3</v>
      </c>
      <c r="U140" s="21">
        <f t="shared" si="60"/>
        <v>0.22676553518395481</v>
      </c>
      <c r="V140" s="21">
        <f t="shared" si="61"/>
        <v>0.8839568694269283</v>
      </c>
      <c r="W140" s="21">
        <f t="shared" si="62"/>
        <v>0.22676553518395481</v>
      </c>
      <c r="Y140" s="23">
        <f t="shared" si="51"/>
        <v>7.4871746658485505E-2</v>
      </c>
      <c r="Z140" s="6">
        <f t="shared" si="52"/>
        <v>0.15189378852546931</v>
      </c>
      <c r="AA140" s="6">
        <f t="shared" si="53"/>
        <v>0.77323446481604519</v>
      </c>
      <c r="AB140" s="6">
        <f t="shared" si="54"/>
        <v>1</v>
      </c>
    </row>
    <row r="141" spans="1:28" x14ac:dyDescent="0.35">
      <c r="A141">
        <v>132</v>
      </c>
      <c r="B141" s="17">
        <f t="shared" si="55"/>
        <v>3987.3125</v>
      </c>
      <c r="C141" s="17">
        <f t="shared" si="48"/>
        <v>4017.75</v>
      </c>
      <c r="D141" s="17">
        <f t="shared" si="56"/>
        <v>4002.53125</v>
      </c>
      <c r="E141" s="17">
        <f t="shared" si="42"/>
        <v>131.5</v>
      </c>
      <c r="F141" s="17">
        <f t="shared" si="43"/>
        <v>70.958333333333329</v>
      </c>
      <c r="G141" s="21">
        <f>INDEX('Life Tables'!$F$8:$F$123,MATCH(Engine!F141,'Life Tables'!$B$8:$B$123,1))</f>
        <v>1.4416160833669034E-3</v>
      </c>
      <c r="H141" s="8">
        <f t="shared" si="44"/>
        <v>0.68494571372924851</v>
      </c>
      <c r="I141">
        <f t="shared" si="45"/>
        <v>1</v>
      </c>
      <c r="K141" s="22" t="e">
        <f>$I141*IF($E141&gt;_xlfn.AGGREGATE(4,6,'KM Data'!$B$6:$B$310),NA(),INDEX('KM Data'!$C$6:$C$310,MATCH($E141,'KM Data'!$B$6:$B$310,1)))</f>
        <v>#N/A</v>
      </c>
      <c r="L141" s="21">
        <f t="shared" si="46"/>
        <v>7.4161761144355798E-2</v>
      </c>
      <c r="M141" s="20">
        <f t="shared" si="49"/>
        <v>9.4322346313646666E-3</v>
      </c>
      <c r="N141" s="21">
        <f t="shared" si="57"/>
        <v>7.4161761144355798E-2</v>
      </c>
      <c r="O141" s="21">
        <f t="shared" si="58"/>
        <v>0.88268254298695981</v>
      </c>
      <c r="P141" s="21">
        <f t="shared" si="59"/>
        <v>7.4161761144355798E-2</v>
      </c>
      <c r="R141" s="22" t="e">
        <f>$I141*IF($E141&gt;_xlfn.AGGREGATE(4,6,'KM Data'!$E$6:$E$205),NA(),INDEX('KM Data'!$F$6:$F$205,MATCH($E141,'KM Data'!$E$6:$E$205,1)))</f>
        <v>#N/A</v>
      </c>
      <c r="S141" s="21">
        <f t="shared" si="47"/>
        <v>0.22543228553155215</v>
      </c>
      <c r="T141" s="8">
        <f t="shared" si="50"/>
        <v>5.8498747818922503E-3</v>
      </c>
      <c r="U141" s="21">
        <f t="shared" si="60"/>
        <v>0.22543228553155215</v>
      </c>
      <c r="V141" s="21">
        <f t="shared" si="61"/>
        <v>0.88268254298695981</v>
      </c>
      <c r="W141" s="21">
        <f t="shared" si="62"/>
        <v>0.22543228553155215</v>
      </c>
      <c r="Y141" s="23">
        <f t="shared" si="51"/>
        <v>7.4161761144355798E-2</v>
      </c>
      <c r="Z141" s="6">
        <f t="shared" si="52"/>
        <v>0.15127052438719635</v>
      </c>
      <c r="AA141" s="6">
        <f t="shared" si="53"/>
        <v>0.77456771446844785</v>
      </c>
      <c r="AB141" s="6">
        <f t="shared" si="54"/>
        <v>1</v>
      </c>
    </row>
    <row r="142" spans="1:28" x14ac:dyDescent="0.35">
      <c r="A142">
        <v>133</v>
      </c>
      <c r="B142" s="17">
        <f t="shared" si="55"/>
        <v>4017.75</v>
      </c>
      <c r="C142" s="17">
        <f t="shared" si="48"/>
        <v>4048.1875</v>
      </c>
      <c r="D142" s="17">
        <f t="shared" si="56"/>
        <v>4032.96875</v>
      </c>
      <c r="E142" s="17">
        <f t="shared" si="42"/>
        <v>132.5</v>
      </c>
      <c r="F142" s="17">
        <f t="shared" si="43"/>
        <v>71.041666666666671</v>
      </c>
      <c r="G142" s="21">
        <f>INDEX('Life Tables'!$F$8:$F$123,MATCH(Engine!F142,'Life Tables'!$B$8:$B$123,1))</f>
        <v>1.5725865497306923E-3</v>
      </c>
      <c r="H142" s="8">
        <f t="shared" si="44"/>
        <v>0.68494571372924851</v>
      </c>
      <c r="I142">
        <f t="shared" si="45"/>
        <v>1</v>
      </c>
      <c r="K142" s="22" t="e">
        <f>$I142*IF($E142&gt;_xlfn.AGGREGATE(4,6,'KM Data'!$B$6:$B$310),NA(),INDEX('KM Data'!$C$6:$C$310,MATCH($E142,'KM Data'!$B$6:$B$310,1)))</f>
        <v>#N/A</v>
      </c>
      <c r="L142" s="21">
        <f t="shared" si="46"/>
        <v>7.346225001256701E-2</v>
      </c>
      <c r="M142" s="20">
        <f t="shared" si="49"/>
        <v>9.3823890489188599E-3</v>
      </c>
      <c r="N142" s="21">
        <f t="shared" si="57"/>
        <v>7.346225001256701E-2</v>
      </c>
      <c r="O142" s="21">
        <f t="shared" si="58"/>
        <v>0.88141005363648262</v>
      </c>
      <c r="P142" s="21">
        <f t="shared" si="59"/>
        <v>7.346225001256701E-2</v>
      </c>
      <c r="R142" s="22" t="e">
        <f>$I142*IF($E142&gt;_xlfn.AGGREGATE(4,6,'KM Data'!$E$6:$E$205),NA(),INDEX('KM Data'!$F$6:$F$205,MATCH($E142,'KM Data'!$E$6:$E$205,1)))</f>
        <v>#N/A</v>
      </c>
      <c r="S142" s="21">
        <f t="shared" si="47"/>
        <v>0.22411353488939678</v>
      </c>
      <c r="T142" s="8">
        <f t="shared" si="50"/>
        <v>5.8206739048004552E-3</v>
      </c>
      <c r="U142" s="21">
        <f t="shared" si="60"/>
        <v>0.22411353488939678</v>
      </c>
      <c r="V142" s="21">
        <f t="shared" si="61"/>
        <v>0.88141005363648262</v>
      </c>
      <c r="W142" s="21">
        <f t="shared" si="62"/>
        <v>0.22411353488939678</v>
      </c>
      <c r="Y142" s="23">
        <f t="shared" si="51"/>
        <v>7.346225001256701E-2</v>
      </c>
      <c r="Z142" s="6">
        <f t="shared" si="52"/>
        <v>0.15065128487682977</v>
      </c>
      <c r="AA142" s="6">
        <f t="shared" si="53"/>
        <v>0.77588646511060322</v>
      </c>
      <c r="AB142" s="6">
        <f t="shared" si="54"/>
        <v>1</v>
      </c>
    </row>
    <row r="143" spans="1:28" x14ac:dyDescent="0.35">
      <c r="A143">
        <v>134</v>
      </c>
      <c r="B143" s="17">
        <f t="shared" si="55"/>
        <v>4048.1875</v>
      </c>
      <c r="C143" s="17">
        <f t="shared" si="48"/>
        <v>4078.625</v>
      </c>
      <c r="D143" s="17">
        <f t="shared" si="56"/>
        <v>4063.40625</v>
      </c>
      <c r="E143" s="17">
        <f t="shared" si="42"/>
        <v>133.5</v>
      </c>
      <c r="F143" s="17">
        <f t="shared" si="43"/>
        <v>71.125</v>
      </c>
      <c r="G143" s="21">
        <f>INDEX('Life Tables'!$F$8:$F$123,MATCH(Engine!F143,'Life Tables'!$B$8:$B$123,1))</f>
        <v>1.5725865497306923E-3</v>
      </c>
      <c r="H143" s="8">
        <f t="shared" si="44"/>
        <v>0.68494571372924851</v>
      </c>
      <c r="I143">
        <f t="shared" si="45"/>
        <v>1</v>
      </c>
      <c r="K143" s="22" t="e">
        <f>$I143*IF($E143&gt;_xlfn.AGGREGATE(4,6,'KM Data'!$B$6:$B$310),NA(),INDEX('KM Data'!$C$6:$C$310,MATCH($E143,'KM Data'!$B$6:$B$310,1)))</f>
        <v>#N/A</v>
      </c>
      <c r="L143" s="21">
        <f t="shared" si="46"/>
        <v>7.2772998602540162E-2</v>
      </c>
      <c r="M143" s="20">
        <f t="shared" si="49"/>
        <v>9.3331410661523506E-3</v>
      </c>
      <c r="N143" s="21">
        <f t="shared" si="57"/>
        <v>7.2772998602540162E-2</v>
      </c>
      <c r="O143" s="21">
        <f t="shared" si="58"/>
        <v>0.88002396004133643</v>
      </c>
      <c r="P143" s="21">
        <f t="shared" si="59"/>
        <v>7.2772998602540162E-2</v>
      </c>
      <c r="R143" s="22" t="e">
        <f>$I143*IF($E143&gt;_xlfn.AGGREGATE(4,6,'KM Data'!$E$6:$E$205),NA(),INDEX('KM Data'!$F$6:$F$205,MATCH($E143,'KM Data'!$E$6:$E$205,1)))</f>
        <v>#N/A</v>
      </c>
      <c r="S143" s="21">
        <f t="shared" si="47"/>
        <v>0.22280904308515348</v>
      </c>
      <c r="T143" s="8">
        <f t="shared" si="50"/>
        <v>5.7918103015403011E-3</v>
      </c>
      <c r="U143" s="21">
        <f t="shared" si="60"/>
        <v>0.22280904308515348</v>
      </c>
      <c r="V143" s="21">
        <f t="shared" si="61"/>
        <v>0.88002396004133643</v>
      </c>
      <c r="W143" s="21">
        <f t="shared" si="62"/>
        <v>0.22280904308515348</v>
      </c>
      <c r="Y143" s="23">
        <f t="shared" si="51"/>
        <v>7.2772998602540162E-2</v>
      </c>
      <c r="Z143" s="6">
        <f t="shared" si="52"/>
        <v>0.15003604448261332</v>
      </c>
      <c r="AA143" s="6">
        <f t="shared" si="53"/>
        <v>0.77719095691484652</v>
      </c>
      <c r="AB143" s="6">
        <f t="shared" si="54"/>
        <v>1</v>
      </c>
    </row>
    <row r="144" spans="1:28" x14ac:dyDescent="0.35">
      <c r="A144">
        <v>135</v>
      </c>
      <c r="B144" s="17">
        <f t="shared" si="55"/>
        <v>4078.625</v>
      </c>
      <c r="C144" s="17">
        <f t="shared" si="48"/>
        <v>4109.0625</v>
      </c>
      <c r="D144" s="17">
        <f t="shared" si="56"/>
        <v>4093.84375</v>
      </c>
      <c r="E144" s="17">
        <f t="shared" si="42"/>
        <v>134.5</v>
      </c>
      <c r="F144" s="17">
        <f t="shared" si="43"/>
        <v>71.208333333333329</v>
      </c>
      <c r="G144" s="21">
        <f>INDEX('Life Tables'!$F$8:$F$123,MATCH(Engine!F144,'Life Tables'!$B$8:$B$123,1))</f>
        <v>1.5725865497306923E-3</v>
      </c>
      <c r="H144" s="8">
        <f t="shared" si="44"/>
        <v>0.68494571372924851</v>
      </c>
      <c r="I144">
        <f t="shared" si="45"/>
        <v>1</v>
      </c>
      <c r="K144" s="22" t="e">
        <f>$I144*IF($E144&gt;_xlfn.AGGREGATE(4,6,'KM Data'!$B$6:$B$310),NA(),INDEX('KM Data'!$C$6:$C$310,MATCH($E144,'KM Data'!$B$6:$B$310,1)))</f>
        <v>#N/A</v>
      </c>
      <c r="L144" s="21">
        <f t="shared" si="46"/>
        <v>7.209379794077575E-2</v>
      </c>
      <c r="M144" s="20">
        <f t="shared" si="49"/>
        <v>9.2844794506515838E-3</v>
      </c>
      <c r="N144" s="21">
        <f t="shared" si="57"/>
        <v>7.209379794077575E-2</v>
      </c>
      <c r="O144" s="21">
        <f t="shared" si="58"/>
        <v>0.87864004619833469</v>
      </c>
      <c r="P144" s="21">
        <f t="shared" si="59"/>
        <v>7.209379794077575E-2</v>
      </c>
      <c r="R144" s="22" t="e">
        <f>$I144*IF($E144&gt;_xlfn.AGGREGATE(4,6,'KM Data'!$E$6:$E$205),NA(),INDEX('KM Data'!$F$6:$F$205,MATCH($E144,'KM Data'!$E$6:$E$205,1)))</f>
        <v>#N/A</v>
      </c>
      <c r="S144" s="21">
        <f t="shared" si="47"/>
        <v>0.22151857537413655</v>
      </c>
      <c r="T144" s="8">
        <f t="shared" si="50"/>
        <v>5.7632778154099729E-3</v>
      </c>
      <c r="U144" s="21">
        <f t="shared" si="60"/>
        <v>0.22151857537413655</v>
      </c>
      <c r="V144" s="21">
        <f t="shared" si="61"/>
        <v>0.87864004619833469</v>
      </c>
      <c r="W144" s="21">
        <f t="shared" si="62"/>
        <v>0.22151857537413655</v>
      </c>
      <c r="Y144" s="23">
        <f t="shared" si="51"/>
        <v>7.209379794077575E-2</v>
      </c>
      <c r="Z144" s="6">
        <f t="shared" si="52"/>
        <v>0.1494247774333608</v>
      </c>
      <c r="AA144" s="6">
        <f t="shared" si="53"/>
        <v>0.77848142462586345</v>
      </c>
      <c r="AB144" s="6">
        <f t="shared" si="54"/>
        <v>1</v>
      </c>
    </row>
    <row r="145" spans="1:28" x14ac:dyDescent="0.35">
      <c r="A145">
        <v>136</v>
      </c>
      <c r="B145" s="17">
        <f t="shared" si="55"/>
        <v>4109.0625</v>
      </c>
      <c r="C145" s="17">
        <f t="shared" si="48"/>
        <v>4139.5</v>
      </c>
      <c r="D145" s="17">
        <f t="shared" si="56"/>
        <v>4124.28125</v>
      </c>
      <c r="E145" s="17">
        <f t="shared" si="42"/>
        <v>135.5</v>
      </c>
      <c r="F145" s="17">
        <f t="shared" si="43"/>
        <v>71.291666666666671</v>
      </c>
      <c r="G145" s="21">
        <f>INDEX('Life Tables'!$F$8:$F$123,MATCH(Engine!F145,'Life Tables'!$B$8:$B$123,1))</f>
        <v>1.5725865497306923E-3</v>
      </c>
      <c r="H145" s="8">
        <f t="shared" si="44"/>
        <v>0.68494571372924851</v>
      </c>
      <c r="I145">
        <f t="shared" si="45"/>
        <v>1</v>
      </c>
      <c r="K145" s="22" t="e">
        <f>$I145*IF($E145&gt;_xlfn.AGGREGATE(4,6,'KM Data'!$B$6:$B$310),NA(),INDEX('KM Data'!$C$6:$C$310,MATCH($E145,'KM Data'!$B$6:$B$310,1)))</f>
        <v>#N/A</v>
      </c>
      <c r="L145" s="21">
        <f t="shared" si="46"/>
        <v>7.1424444555275191E-2</v>
      </c>
      <c r="M145" s="20">
        <f t="shared" si="49"/>
        <v>9.2363932574127672E-3</v>
      </c>
      <c r="N145" s="21">
        <f t="shared" si="57"/>
        <v>7.1424444555275191E-2</v>
      </c>
      <c r="O145" s="21">
        <f t="shared" si="58"/>
        <v>0.8772583086796284</v>
      </c>
      <c r="P145" s="21">
        <f t="shared" si="59"/>
        <v>7.1424444555275191E-2</v>
      </c>
      <c r="R145" s="22" t="e">
        <f>$I145*IF($E145&gt;_xlfn.AGGREGATE(4,6,'KM Data'!$E$6:$E$205),NA(),INDEX('KM Data'!$F$6:$F$205,MATCH($E145,'KM Data'!$E$6:$E$205,1)))</f>
        <v>#N/A</v>
      </c>
      <c r="S145" s="21">
        <f t="shared" si="47"/>
        <v>0.22024190228298157</v>
      </c>
      <c r="T145" s="8">
        <f t="shared" si="50"/>
        <v>5.7350704433902777E-3</v>
      </c>
      <c r="U145" s="21">
        <f t="shared" si="60"/>
        <v>0.22024190228298157</v>
      </c>
      <c r="V145" s="21">
        <f t="shared" si="61"/>
        <v>0.8772583086796284</v>
      </c>
      <c r="W145" s="21">
        <f t="shared" si="62"/>
        <v>0.22024190228298157</v>
      </c>
      <c r="Y145" s="23">
        <f t="shared" si="51"/>
        <v>7.1424444555275191E-2</v>
      </c>
      <c r="Z145" s="6">
        <f t="shared" si="52"/>
        <v>0.14881745772770638</v>
      </c>
      <c r="AA145" s="6">
        <f t="shared" si="53"/>
        <v>0.77975809771701843</v>
      </c>
      <c r="AB145" s="6">
        <f t="shared" si="54"/>
        <v>1</v>
      </c>
    </row>
    <row r="146" spans="1:28" x14ac:dyDescent="0.35">
      <c r="A146">
        <v>137</v>
      </c>
      <c r="B146" s="17">
        <f t="shared" si="55"/>
        <v>4139.5</v>
      </c>
      <c r="C146" s="17">
        <f t="shared" si="48"/>
        <v>4169.9375</v>
      </c>
      <c r="D146" s="17">
        <f t="shared" si="56"/>
        <v>4154.71875</v>
      </c>
      <c r="E146" s="17">
        <f t="shared" si="42"/>
        <v>136.5</v>
      </c>
      <c r="F146" s="17">
        <f t="shared" si="43"/>
        <v>71.375</v>
      </c>
      <c r="G146" s="21">
        <f>INDEX('Life Tables'!$F$8:$F$123,MATCH(Engine!F146,'Life Tables'!$B$8:$B$123,1))</f>
        <v>1.5725865497306923E-3</v>
      </c>
      <c r="H146" s="8">
        <f t="shared" si="44"/>
        <v>0.68494571372924851</v>
      </c>
      <c r="I146">
        <f t="shared" si="45"/>
        <v>1</v>
      </c>
      <c r="K146" s="22" t="e">
        <f>$I146*IF($E146&gt;_xlfn.AGGREGATE(4,6,'KM Data'!$B$6:$B$310),NA(),INDEX('KM Data'!$C$6:$C$310,MATCH($E146,'KM Data'!$B$6:$B$310,1)))</f>
        <v>#N/A</v>
      </c>
      <c r="L146" s="21">
        <f t="shared" si="46"/>
        <v>7.0764740297170392E-2</v>
      </c>
      <c r="M146" s="20">
        <f t="shared" si="49"/>
        <v>9.1888718195549668E-3</v>
      </c>
      <c r="N146" s="21">
        <f t="shared" si="57"/>
        <v>7.0764740297170392E-2</v>
      </c>
      <c r="O146" s="21">
        <f t="shared" si="58"/>
        <v>0.87587874406275934</v>
      </c>
      <c r="P146" s="21">
        <f t="shared" si="59"/>
        <v>7.0764740297170392E-2</v>
      </c>
      <c r="R146" s="22" t="e">
        <f>$I146*IF($E146&gt;_xlfn.AGGREGATE(4,6,'KM Data'!$E$6:$E$205),NA(),INDEX('KM Data'!$F$6:$F$205,MATCH($E146,'KM Data'!$E$6:$E$205,1)))</f>
        <v>#N/A</v>
      </c>
      <c r="S146" s="21">
        <f t="shared" si="47"/>
        <v>0.21897879945880239</v>
      </c>
      <c r="T146" s="8">
        <f t="shared" si="50"/>
        <v>5.7071823312885295E-3</v>
      </c>
      <c r="U146" s="21">
        <f t="shared" si="60"/>
        <v>0.21897879945880239</v>
      </c>
      <c r="V146" s="21">
        <f t="shared" si="61"/>
        <v>0.87587874406275934</v>
      </c>
      <c r="W146" s="21">
        <f t="shared" si="62"/>
        <v>0.21897879945880239</v>
      </c>
      <c r="Y146" s="23">
        <f t="shared" si="51"/>
        <v>7.0764740297170392E-2</v>
      </c>
      <c r="Z146" s="6">
        <f t="shared" si="52"/>
        <v>0.14821405916163199</v>
      </c>
      <c r="AA146" s="6">
        <f t="shared" si="53"/>
        <v>0.78102120054119761</v>
      </c>
      <c r="AB146" s="6">
        <f t="shared" si="54"/>
        <v>1</v>
      </c>
    </row>
    <row r="147" spans="1:28" x14ac:dyDescent="0.35">
      <c r="A147">
        <v>138</v>
      </c>
      <c r="B147" s="17">
        <f t="shared" si="55"/>
        <v>4169.9375</v>
      </c>
      <c r="C147" s="17">
        <f t="shared" si="48"/>
        <v>4200.375</v>
      </c>
      <c r="D147" s="17">
        <f t="shared" si="56"/>
        <v>4185.15625</v>
      </c>
      <c r="E147" s="17">
        <f t="shared" si="42"/>
        <v>137.5</v>
      </c>
      <c r="F147" s="17">
        <f t="shared" si="43"/>
        <v>71.458333333333329</v>
      </c>
      <c r="G147" s="21">
        <f>INDEX('Life Tables'!$F$8:$F$123,MATCH(Engine!F147,'Life Tables'!$B$8:$B$123,1))</f>
        <v>1.5725865497306923E-3</v>
      </c>
      <c r="H147" s="8">
        <f t="shared" si="44"/>
        <v>0.68494571372924851</v>
      </c>
      <c r="I147">
        <f t="shared" si="45"/>
        <v>1</v>
      </c>
      <c r="K147" s="22" t="e">
        <f>$I147*IF($E147&gt;_xlfn.AGGREGATE(4,6,'KM Data'!$B$6:$B$310),NA(),INDEX('KM Data'!$C$6:$C$310,MATCH($E147,'KM Data'!$B$6:$B$310,1)))</f>
        <v>#N/A</v>
      </c>
      <c r="L147" s="21">
        <f t="shared" si="46"/>
        <v>7.0114492169235598E-2</v>
      </c>
      <c r="M147" s="20">
        <f t="shared" si="49"/>
        <v>9.1419047393899167E-3</v>
      </c>
      <c r="N147" s="21">
        <f t="shared" si="57"/>
        <v>7.0114492169235598E-2</v>
      </c>
      <c r="O147" s="21">
        <f t="shared" si="58"/>
        <v>0.87450134893065123</v>
      </c>
      <c r="P147" s="21">
        <f t="shared" si="59"/>
        <v>7.0114492169235598E-2</v>
      </c>
      <c r="R147" s="22" t="e">
        <f>$I147*IF($E147&gt;_xlfn.AGGREGATE(4,6,'KM Data'!$E$6:$E$205),NA(),INDEX('KM Data'!$F$6:$F$205,MATCH($E147,'KM Data'!$E$6:$E$205,1)))</f>
        <v>#N/A</v>
      </c>
      <c r="S147" s="21">
        <f t="shared" si="47"/>
        <v>0.21772904752360434</v>
      </c>
      <c r="T147" s="8">
        <f t="shared" si="50"/>
        <v>5.6796077690605129E-3</v>
      </c>
      <c r="U147" s="21">
        <f t="shared" si="60"/>
        <v>0.21772904752360434</v>
      </c>
      <c r="V147" s="21">
        <f t="shared" si="61"/>
        <v>0.87450134893065123</v>
      </c>
      <c r="W147" s="21">
        <f t="shared" si="62"/>
        <v>0.21772904752360434</v>
      </c>
      <c r="Y147" s="23">
        <f t="shared" si="51"/>
        <v>7.0114492169235598E-2</v>
      </c>
      <c r="Z147" s="6">
        <f t="shared" si="52"/>
        <v>0.14761455535436874</v>
      </c>
      <c r="AA147" s="6">
        <f t="shared" si="53"/>
        <v>0.78227095247639566</v>
      </c>
      <c r="AB147" s="6">
        <f t="shared" si="54"/>
        <v>1</v>
      </c>
    </row>
    <row r="148" spans="1:28" x14ac:dyDescent="0.35">
      <c r="A148">
        <v>139</v>
      </c>
      <c r="B148" s="17">
        <f t="shared" si="55"/>
        <v>4200.375</v>
      </c>
      <c r="C148" s="17">
        <f t="shared" si="48"/>
        <v>4230.8125</v>
      </c>
      <c r="D148" s="17">
        <f t="shared" si="56"/>
        <v>4215.59375</v>
      </c>
      <c r="E148" s="17">
        <f t="shared" si="42"/>
        <v>138.5</v>
      </c>
      <c r="F148" s="17">
        <f t="shared" si="43"/>
        <v>71.541666666666671</v>
      </c>
      <c r="G148" s="21">
        <f>INDEX('Life Tables'!$F$8:$F$123,MATCH(Engine!F148,'Life Tables'!$B$8:$B$123,1))</f>
        <v>1.5725865497306923E-3</v>
      </c>
      <c r="H148" s="8">
        <f t="shared" si="44"/>
        <v>0.68494571372924851</v>
      </c>
      <c r="I148">
        <f t="shared" si="45"/>
        <v>1</v>
      </c>
      <c r="K148" s="22" t="e">
        <f>$I148*IF($E148&gt;_xlfn.AGGREGATE(4,6,'KM Data'!$B$6:$B$310),NA(),INDEX('KM Data'!$C$6:$C$310,MATCH($E148,'KM Data'!$B$6:$B$310,1)))</f>
        <v>#N/A</v>
      </c>
      <c r="L148" s="21">
        <f t="shared" si="46"/>
        <v>6.9473512160973749E-2</v>
      </c>
      <c r="M148" s="20">
        <f t="shared" si="49"/>
        <v>9.0954818798456571E-3</v>
      </c>
      <c r="N148" s="21">
        <f t="shared" si="57"/>
        <v>6.9473512160973749E-2</v>
      </c>
      <c r="O148" s="21">
        <f t="shared" si="58"/>
        <v>0.87312611987160149</v>
      </c>
      <c r="P148" s="21">
        <f t="shared" si="59"/>
        <v>6.9473512160973749E-2</v>
      </c>
      <c r="R148" s="22" t="e">
        <f>$I148*IF($E148&gt;_xlfn.AGGREGATE(4,6,'KM Data'!$E$6:$E$205),NA(),INDEX('KM Data'!$F$6:$F$205,MATCH($E148,'KM Data'!$E$6:$E$205,1)))</f>
        <v>#N/A</v>
      </c>
      <c r="S148" s="21">
        <f t="shared" si="47"/>
        <v>0.21649243193373913</v>
      </c>
      <c r="T148" s="8">
        <f t="shared" si="50"/>
        <v>5.6523411863131923E-3</v>
      </c>
      <c r="U148" s="21">
        <f t="shared" si="60"/>
        <v>0.21649243193373913</v>
      </c>
      <c r="V148" s="21">
        <f t="shared" si="61"/>
        <v>0.87312611987160149</v>
      </c>
      <c r="W148" s="21">
        <f t="shared" si="62"/>
        <v>0.21649243193373913</v>
      </c>
      <c r="Y148" s="23">
        <f t="shared" si="51"/>
        <v>6.9473512160973749E-2</v>
      </c>
      <c r="Z148" s="6">
        <f t="shared" si="52"/>
        <v>0.14701891977276538</v>
      </c>
      <c r="AA148" s="6">
        <f t="shared" si="53"/>
        <v>0.78350756806626087</v>
      </c>
      <c r="AB148" s="6">
        <f t="shared" si="54"/>
        <v>1</v>
      </c>
    </row>
    <row r="149" spans="1:28" x14ac:dyDescent="0.35">
      <c r="A149">
        <v>140</v>
      </c>
      <c r="B149" s="17">
        <f t="shared" si="55"/>
        <v>4230.8125</v>
      </c>
      <c r="C149" s="17">
        <f t="shared" si="48"/>
        <v>4261.25</v>
      </c>
      <c r="D149" s="17">
        <f t="shared" si="56"/>
        <v>4246.03125</v>
      </c>
      <c r="E149" s="17">
        <f t="shared" si="42"/>
        <v>139.5</v>
      </c>
      <c r="F149" s="17">
        <f t="shared" si="43"/>
        <v>71.625</v>
      </c>
      <c r="G149" s="21">
        <f>INDEX('Life Tables'!$F$8:$F$123,MATCH(Engine!F149,'Life Tables'!$B$8:$B$123,1))</f>
        <v>1.5725865497306923E-3</v>
      </c>
      <c r="H149" s="8">
        <f t="shared" si="44"/>
        <v>0.68494571372924851</v>
      </c>
      <c r="I149">
        <f t="shared" si="45"/>
        <v>1</v>
      </c>
      <c r="K149" s="22" t="e">
        <f>$I149*IF($E149&gt;_xlfn.AGGREGATE(4,6,'KM Data'!$B$6:$B$310),NA(),INDEX('KM Data'!$C$6:$C$310,MATCH($E149,'KM Data'!$B$6:$B$310,1)))</f>
        <v>#N/A</v>
      </c>
      <c r="L149" s="21">
        <f t="shared" si="46"/>
        <v>6.8841617089984375E-2</v>
      </c>
      <c r="M149" s="20">
        <f t="shared" si="49"/>
        <v>9.049593356193486E-3</v>
      </c>
      <c r="N149" s="21">
        <f t="shared" si="57"/>
        <v>6.8841617089984375E-2</v>
      </c>
      <c r="O149" s="21">
        <f t="shared" si="58"/>
        <v>0.8717530534792729</v>
      </c>
      <c r="P149" s="21">
        <f t="shared" si="59"/>
        <v>6.8841617089984375E-2</v>
      </c>
      <c r="R149" s="22" t="e">
        <f>$I149*IF($E149&gt;_xlfn.AGGREGATE(4,6,'KM Data'!$E$6:$E$205),NA(),INDEX('KM Data'!$F$6:$F$205,MATCH($E149,'KM Data'!$E$6:$E$205,1)))</f>
        <v>#N/A</v>
      </c>
      <c r="S149" s="21">
        <f t="shared" si="47"/>
        <v>0.21526874284419495</v>
      </c>
      <c r="T149" s="8">
        <f t="shared" si="50"/>
        <v>5.6253771479782833E-3</v>
      </c>
      <c r="U149" s="21">
        <f t="shared" si="60"/>
        <v>0.21526874284419495</v>
      </c>
      <c r="V149" s="21">
        <f t="shared" si="61"/>
        <v>0.8717530534792729</v>
      </c>
      <c r="W149" s="21">
        <f t="shared" si="62"/>
        <v>0.21526874284419495</v>
      </c>
      <c r="Y149" s="23">
        <f t="shared" si="51"/>
        <v>6.8841617089984375E-2</v>
      </c>
      <c r="Z149" s="6">
        <f t="shared" si="52"/>
        <v>0.14642712575421057</v>
      </c>
      <c r="AA149" s="6">
        <f t="shared" si="53"/>
        <v>0.78473125715580505</v>
      </c>
      <c r="AB149" s="6">
        <f t="shared" si="54"/>
        <v>1</v>
      </c>
    </row>
    <row r="150" spans="1:28" x14ac:dyDescent="0.35">
      <c r="A150">
        <v>141</v>
      </c>
      <c r="B150" s="17">
        <f t="shared" si="55"/>
        <v>4261.25</v>
      </c>
      <c r="C150" s="17">
        <f t="shared" si="48"/>
        <v>4291.6875</v>
      </c>
      <c r="D150" s="17">
        <f t="shared" si="56"/>
        <v>4276.46875</v>
      </c>
      <c r="E150" s="17">
        <f t="shared" si="42"/>
        <v>140.5</v>
      </c>
      <c r="F150" s="17">
        <f t="shared" si="43"/>
        <v>71.708333333333329</v>
      </c>
      <c r="G150" s="21">
        <f>INDEX('Life Tables'!$F$8:$F$123,MATCH(Engine!F150,'Life Tables'!$B$8:$B$123,1))</f>
        <v>1.5725865497306923E-3</v>
      </c>
      <c r="H150" s="8">
        <f t="shared" si="44"/>
        <v>0.68494571372924851</v>
      </c>
      <c r="I150">
        <f t="shared" si="45"/>
        <v>1</v>
      </c>
      <c r="K150" s="22" t="e">
        <f>$I150*IF($E150&gt;_xlfn.AGGREGATE(4,6,'KM Data'!$B$6:$B$310),NA(),INDEX('KM Data'!$C$6:$C$310,MATCH($E150,'KM Data'!$B$6:$B$310,1)))</f>
        <v>#N/A</v>
      </c>
      <c r="L150" s="21">
        <f t="shared" si="46"/>
        <v>6.8218628449337237E-2</v>
      </c>
      <c r="M150" s="20">
        <f t="shared" si="49"/>
        <v>9.0042295281287377E-3</v>
      </c>
      <c r="N150" s="21">
        <f t="shared" si="57"/>
        <v>6.8218628449337237E-2</v>
      </c>
      <c r="O150" s="21">
        <f t="shared" si="58"/>
        <v>0.87038214635268474</v>
      </c>
      <c r="P150" s="21">
        <f t="shared" si="59"/>
        <v>6.8218628449337237E-2</v>
      </c>
      <c r="R150" s="22" t="e">
        <f>$I150*IF($E150&gt;_xlfn.AGGREGATE(4,6,'KM Data'!$E$6:$E$205),NA(),INDEX('KM Data'!$F$6:$F$205,MATCH($E150,'KM Data'!$E$6:$E$205,1)))</f>
        <v>#N/A</v>
      </c>
      <c r="S150" s="21">
        <f t="shared" si="47"/>
        <v>0.21405777497752521</v>
      </c>
      <c r="T150" s="8">
        <f t="shared" si="50"/>
        <v>5.598710350141145E-3</v>
      </c>
      <c r="U150" s="21">
        <f t="shared" si="60"/>
        <v>0.21405777497752521</v>
      </c>
      <c r="V150" s="21">
        <f t="shared" si="61"/>
        <v>0.87038214635268474</v>
      </c>
      <c r="W150" s="21">
        <f t="shared" si="62"/>
        <v>0.21405777497752521</v>
      </c>
      <c r="Y150" s="23">
        <f t="shared" si="51"/>
        <v>6.8218628449337237E-2</v>
      </c>
      <c r="Z150" s="6">
        <f t="shared" si="52"/>
        <v>0.14583914652818797</v>
      </c>
      <c r="AA150" s="6">
        <f t="shared" si="53"/>
        <v>0.78594222502247479</v>
      </c>
      <c r="AB150" s="6">
        <f t="shared" si="54"/>
        <v>1</v>
      </c>
    </row>
    <row r="151" spans="1:28" x14ac:dyDescent="0.35">
      <c r="A151">
        <v>142</v>
      </c>
      <c r="B151" s="17">
        <f t="shared" si="55"/>
        <v>4291.6875</v>
      </c>
      <c r="C151" s="17">
        <f t="shared" si="48"/>
        <v>4322.125</v>
      </c>
      <c r="D151" s="17">
        <f t="shared" si="56"/>
        <v>4306.90625</v>
      </c>
      <c r="E151" s="17">
        <f t="shared" si="42"/>
        <v>141.5</v>
      </c>
      <c r="F151" s="17">
        <f t="shared" si="43"/>
        <v>71.791666666666671</v>
      </c>
      <c r="G151" s="21">
        <f>INDEX('Life Tables'!$F$8:$F$123,MATCH(Engine!F151,'Life Tables'!$B$8:$B$123,1))</f>
        <v>1.5725865497306923E-3</v>
      </c>
      <c r="H151" s="8">
        <f t="shared" si="44"/>
        <v>0.68494571372924851</v>
      </c>
      <c r="I151">
        <f t="shared" si="45"/>
        <v>1</v>
      </c>
      <c r="K151" s="22" t="e">
        <f>$I151*IF($E151&gt;_xlfn.AGGREGATE(4,6,'KM Data'!$B$6:$B$310),NA(),INDEX('KM Data'!$C$6:$C$310,MATCH($E151,'KM Data'!$B$6:$B$310,1)))</f>
        <v>#N/A</v>
      </c>
      <c r="L151" s="21">
        <f t="shared" si="46"/>
        <v>6.7604372260685275E-2</v>
      </c>
      <c r="M151" s="20">
        <f t="shared" si="49"/>
        <v>8.9593809921361123E-3</v>
      </c>
      <c r="N151" s="21">
        <f t="shared" si="57"/>
        <v>6.7604372260685275E-2</v>
      </c>
      <c r="O151" s="21">
        <f t="shared" si="58"/>
        <v>0.86901339509620479</v>
      </c>
      <c r="P151" s="21">
        <f t="shared" si="59"/>
        <v>6.7604372260685275E-2</v>
      </c>
      <c r="R151" s="22" t="e">
        <f>$I151*IF($E151&gt;_xlfn.AGGREGATE(4,6,'KM Data'!$E$6:$E$205),NA(),INDEX('KM Data'!$F$6:$F$205,MATCH($E151,'KM Data'!$E$6:$E$205,1)))</f>
        <v>#N/A</v>
      </c>
      <c r="S151" s="21">
        <f t="shared" si="47"/>
        <v>0.21285932749723036</v>
      </c>
      <c r="T151" s="8">
        <f t="shared" si="50"/>
        <v>5.5723356160430892E-3</v>
      </c>
      <c r="U151" s="21">
        <f t="shared" si="60"/>
        <v>0.21285932749723036</v>
      </c>
      <c r="V151" s="21">
        <f t="shared" si="61"/>
        <v>0.86901339509620479</v>
      </c>
      <c r="W151" s="21">
        <f t="shared" si="62"/>
        <v>0.21285932749723036</v>
      </c>
      <c r="Y151" s="23">
        <f t="shared" si="51"/>
        <v>6.7604372260685275E-2</v>
      </c>
      <c r="Z151" s="6">
        <f t="shared" si="52"/>
        <v>0.14525495523654508</v>
      </c>
      <c r="AA151" s="6">
        <f t="shared" si="53"/>
        <v>0.78714067250276964</v>
      </c>
      <c r="AB151" s="6">
        <f t="shared" si="54"/>
        <v>1</v>
      </c>
    </row>
    <row r="152" spans="1:28" x14ac:dyDescent="0.35">
      <c r="A152">
        <v>143</v>
      </c>
      <c r="B152" s="17">
        <f t="shared" si="55"/>
        <v>4322.125</v>
      </c>
      <c r="C152" s="17">
        <f t="shared" si="48"/>
        <v>4352.5625</v>
      </c>
      <c r="D152" s="17">
        <f t="shared" si="56"/>
        <v>4337.34375</v>
      </c>
      <c r="E152" s="17">
        <f t="shared" si="42"/>
        <v>142.5</v>
      </c>
      <c r="F152" s="17">
        <f t="shared" si="43"/>
        <v>71.875</v>
      </c>
      <c r="G152" s="21">
        <f>INDEX('Life Tables'!$F$8:$F$123,MATCH(Engine!F152,'Life Tables'!$B$8:$B$123,1))</f>
        <v>1.5725865497306923E-3</v>
      </c>
      <c r="H152" s="8">
        <f t="shared" si="44"/>
        <v>0.68494571372924851</v>
      </c>
      <c r="I152">
        <f t="shared" si="45"/>
        <v>1</v>
      </c>
      <c r="K152" s="22" t="e">
        <f>$I152*IF($E152&gt;_xlfn.AGGREGATE(4,6,'KM Data'!$B$6:$B$310),NA(),INDEX('KM Data'!$C$6:$C$310,MATCH($E152,'KM Data'!$B$6:$B$310,1)))</f>
        <v>#N/A</v>
      </c>
      <c r="L152" s="21">
        <f t="shared" si="46"/>
        <v>6.6998678932867595E-2</v>
      </c>
      <c r="M152" s="20">
        <f t="shared" si="49"/>
        <v>8.9150385741176841E-3</v>
      </c>
      <c r="N152" s="21">
        <f t="shared" si="57"/>
        <v>6.6998678932867595E-2</v>
      </c>
      <c r="O152" s="21">
        <f t="shared" si="58"/>
        <v>0.86764679631954067</v>
      </c>
      <c r="P152" s="21">
        <f t="shared" si="59"/>
        <v>6.6998678932867595E-2</v>
      </c>
      <c r="R152" s="22" t="e">
        <f>$I152*IF($E152&gt;_xlfn.AGGREGATE(4,6,'KM Data'!$E$6:$E$205),NA(),INDEX('KM Data'!$F$6:$F$205,MATCH($E152,'KM Data'!$E$6:$E$205,1)))</f>
        <v>#N/A</v>
      </c>
      <c r="S152" s="21">
        <f t="shared" si="47"/>
        <v>0.21167320388541055</v>
      </c>
      <c r="T152" s="8">
        <f t="shared" si="50"/>
        <v>5.5462478921998182E-3</v>
      </c>
      <c r="U152" s="21">
        <f t="shared" si="60"/>
        <v>0.21167320388541055</v>
      </c>
      <c r="V152" s="21">
        <f t="shared" si="61"/>
        <v>0.86764679631954067</v>
      </c>
      <c r="W152" s="21">
        <f t="shared" si="62"/>
        <v>0.21167320388541055</v>
      </c>
      <c r="Y152" s="23">
        <f t="shared" si="51"/>
        <v>6.6998678932867595E-2</v>
      </c>
      <c r="Z152" s="6">
        <f t="shared" si="52"/>
        <v>0.14467452495254296</v>
      </c>
      <c r="AA152" s="6">
        <f t="shared" si="53"/>
        <v>0.78832679611458945</v>
      </c>
      <c r="AB152" s="6">
        <f t="shared" si="54"/>
        <v>1</v>
      </c>
    </row>
    <row r="153" spans="1:28" x14ac:dyDescent="0.35">
      <c r="A153">
        <v>144</v>
      </c>
      <c r="B153" s="17">
        <f t="shared" si="55"/>
        <v>4352.5625</v>
      </c>
      <c r="C153" s="17">
        <f t="shared" si="48"/>
        <v>4383</v>
      </c>
      <c r="D153" s="17">
        <f t="shared" si="56"/>
        <v>4367.78125</v>
      </c>
      <c r="E153" s="17">
        <f t="shared" si="42"/>
        <v>143.5</v>
      </c>
      <c r="F153" s="17">
        <f t="shared" si="43"/>
        <v>71.958333333333329</v>
      </c>
      <c r="G153" s="21">
        <f>INDEX('Life Tables'!$F$8:$F$123,MATCH(Engine!F153,'Life Tables'!$B$8:$B$123,1))</f>
        <v>1.5725865497306923E-3</v>
      </c>
      <c r="H153" s="8">
        <f t="shared" si="44"/>
        <v>0.66178329828912896</v>
      </c>
      <c r="I153">
        <f t="shared" si="45"/>
        <v>1</v>
      </c>
      <c r="K153" s="22" t="e">
        <f>$I153*IF($E153&gt;_xlfn.AGGREGATE(4,6,'KM Data'!$B$6:$B$310),NA(),INDEX('KM Data'!$C$6:$C$310,MATCH($E153,'KM Data'!$B$6:$B$310,1)))</f>
        <v>#N/A</v>
      </c>
      <c r="L153" s="21">
        <f t="shared" si="46"/>
        <v>6.6401383125766156E-2</v>
      </c>
      <c r="M153" s="20">
        <f t="shared" si="49"/>
        <v>8.8711933223510897E-3</v>
      </c>
      <c r="N153" s="21">
        <f t="shared" si="57"/>
        <v>6.6401383125766156E-2</v>
      </c>
      <c r="O153" s="21">
        <f t="shared" si="58"/>
        <v>0.86628234663773163</v>
      </c>
      <c r="P153" s="21">
        <f t="shared" si="59"/>
        <v>6.6401383125766156E-2</v>
      </c>
      <c r="R153" s="22" t="e">
        <f>$I153*IF($E153&gt;_xlfn.AGGREGATE(4,6,'KM Data'!$E$6:$E$205),NA(),INDEX('KM Data'!$F$6:$F$205,MATCH($E153,'KM Data'!$E$6:$E$205,1)))</f>
        <v>#N/A</v>
      </c>
      <c r="S153" s="21">
        <f t="shared" si="47"/>
        <v>0.21049921182452591</v>
      </c>
      <c r="T153" s="8">
        <f t="shared" si="50"/>
        <v>5.52044224469872E-3</v>
      </c>
      <c r="U153" s="21">
        <f t="shared" si="60"/>
        <v>0.21049921182452591</v>
      </c>
      <c r="V153" s="21">
        <f t="shared" si="61"/>
        <v>0.86628234663773163</v>
      </c>
      <c r="W153" s="21">
        <f t="shared" si="62"/>
        <v>0.21049921182452591</v>
      </c>
      <c r="Y153" s="23">
        <f t="shared" si="51"/>
        <v>6.6401383125766156E-2</v>
      </c>
      <c r="Z153" s="6">
        <f t="shared" si="52"/>
        <v>0.14409782869875976</v>
      </c>
      <c r="AA153" s="6">
        <f t="shared" si="53"/>
        <v>0.78950078817547409</v>
      </c>
      <c r="AB153" s="6">
        <f t="shared" si="54"/>
        <v>1</v>
      </c>
    </row>
    <row r="154" spans="1:28" x14ac:dyDescent="0.35">
      <c r="A154">
        <v>145</v>
      </c>
      <c r="B154" s="17">
        <f t="shared" si="55"/>
        <v>4383</v>
      </c>
      <c r="C154" s="17">
        <f t="shared" si="48"/>
        <v>4413.4375</v>
      </c>
      <c r="D154" s="17">
        <f t="shared" si="56"/>
        <v>4398.21875</v>
      </c>
      <c r="E154" s="17">
        <f t="shared" si="42"/>
        <v>144.5</v>
      </c>
      <c r="F154" s="17">
        <f t="shared" si="43"/>
        <v>72.041666666666671</v>
      </c>
      <c r="G154" s="21">
        <f>INDEX('Life Tables'!$F$8:$F$123,MATCH(Engine!F154,'Life Tables'!$B$8:$B$123,1))</f>
        <v>1.732427396286651E-3</v>
      </c>
      <c r="H154" s="8">
        <f t="shared" si="44"/>
        <v>0.66178329828912896</v>
      </c>
      <c r="I154">
        <f t="shared" si="45"/>
        <v>1</v>
      </c>
      <c r="K154" s="22" t="e">
        <f>$I154*IF($E154&gt;_xlfn.AGGREGATE(4,6,'KM Data'!$B$6:$B$310),NA(),INDEX('KM Data'!$C$6:$C$310,MATCH($E154,'KM Data'!$B$6:$B$310,1)))</f>
        <v>#N/A</v>
      </c>
      <c r="L154" s="21">
        <f t="shared" si="46"/>
        <v>6.5812323619185986E-2</v>
      </c>
      <c r="M154" s="20">
        <f t="shared" si="49"/>
        <v>8.8278365006508874E-3</v>
      </c>
      <c r="N154" s="21">
        <f t="shared" si="57"/>
        <v>6.5812323619185986E-2</v>
      </c>
      <c r="O154" s="21">
        <f t="shared" si="58"/>
        <v>0.86492004267113998</v>
      </c>
      <c r="P154" s="21">
        <f t="shared" si="59"/>
        <v>6.5812323619185986E-2</v>
      </c>
      <c r="R154" s="22" t="e">
        <f>$I154*IF($E154&gt;_xlfn.AGGREGATE(4,6,'KM Data'!$E$6:$E$205),NA(),INDEX('KM Data'!$F$6:$F$205,MATCH($E154,'KM Data'!$E$6:$E$205,1)))</f>
        <v>#N/A</v>
      </c>
      <c r="S154" s="21">
        <f t="shared" si="47"/>
        <v>0.20933716308309402</v>
      </c>
      <c r="T154" s="8">
        <f t="shared" si="50"/>
        <v>5.4949138556027455E-3</v>
      </c>
      <c r="U154" s="21">
        <f t="shared" si="60"/>
        <v>0.20933716308309402</v>
      </c>
      <c r="V154" s="21">
        <f t="shared" si="61"/>
        <v>0.86492004267113998</v>
      </c>
      <c r="W154" s="21">
        <f t="shared" si="62"/>
        <v>0.20933716308309402</v>
      </c>
      <c r="Y154" s="23">
        <f t="shared" si="51"/>
        <v>6.5812323619185986E-2</v>
      </c>
      <c r="Z154" s="6">
        <f t="shared" si="52"/>
        <v>0.14352483946390804</v>
      </c>
      <c r="AA154" s="6">
        <f t="shared" si="53"/>
        <v>0.79066283691690598</v>
      </c>
      <c r="AB154" s="6">
        <f t="shared" si="54"/>
        <v>1</v>
      </c>
    </row>
    <row r="155" spans="1:28" x14ac:dyDescent="0.35">
      <c r="A155">
        <v>146</v>
      </c>
      <c r="B155" s="17">
        <f t="shared" si="55"/>
        <v>4413.4375</v>
      </c>
      <c r="C155" s="17">
        <f t="shared" si="48"/>
        <v>4443.875</v>
      </c>
      <c r="D155" s="17">
        <f t="shared" si="56"/>
        <v>4428.65625</v>
      </c>
      <c r="E155" s="17">
        <f t="shared" si="42"/>
        <v>145.5</v>
      </c>
      <c r="F155" s="17">
        <f t="shared" si="43"/>
        <v>72.125</v>
      </c>
      <c r="G155" s="21">
        <f>INDEX('Life Tables'!$F$8:$F$123,MATCH(Engine!F155,'Life Tables'!$B$8:$B$123,1))</f>
        <v>1.732427396286651E-3</v>
      </c>
      <c r="H155" s="8">
        <f t="shared" si="44"/>
        <v>0.66178329828912896</v>
      </c>
      <c r="I155">
        <f t="shared" si="45"/>
        <v>1</v>
      </c>
      <c r="K155" s="22" t="e">
        <f>$I155*IF($E155&gt;_xlfn.AGGREGATE(4,6,'KM Data'!$B$6:$B$310),NA(),INDEX('KM Data'!$C$6:$C$310,MATCH($E155,'KM Data'!$B$6:$B$310,1)))</f>
        <v>#N/A</v>
      </c>
      <c r="L155" s="21">
        <f t="shared" si="46"/>
        <v>6.5231343186547885E-2</v>
      </c>
      <c r="M155" s="20">
        <f t="shared" si="49"/>
        <v>8.7849595818235704E-3</v>
      </c>
      <c r="N155" s="21">
        <f t="shared" si="57"/>
        <v>6.5231343186547885E-2</v>
      </c>
      <c r="O155" s="21">
        <f t="shared" si="58"/>
        <v>0.86342163149361906</v>
      </c>
      <c r="P155" s="21">
        <f t="shared" si="59"/>
        <v>6.5231343186547885E-2</v>
      </c>
      <c r="R155" s="22" t="e">
        <f>$I155*IF($E155&gt;_xlfn.AGGREGATE(4,6,'KM Data'!$E$6:$E$205),NA(),INDEX('KM Data'!$F$6:$F$205,MATCH($E155,'KM Data'!$E$6:$E$205,1)))</f>
        <v>#N/A</v>
      </c>
      <c r="S155" s="21">
        <f t="shared" si="47"/>
        <v>0.20818687340517616</v>
      </c>
      <c r="T155" s="8">
        <f t="shared" si="50"/>
        <v>5.4696580195011668E-3</v>
      </c>
      <c r="U155" s="21">
        <f t="shared" si="60"/>
        <v>0.20818687340517616</v>
      </c>
      <c r="V155" s="21">
        <f t="shared" si="61"/>
        <v>0.86342163149361906</v>
      </c>
      <c r="W155" s="21">
        <f t="shared" si="62"/>
        <v>0.20818687340517616</v>
      </c>
      <c r="Y155" s="23">
        <f t="shared" si="51"/>
        <v>6.5231343186547885E-2</v>
      </c>
      <c r="Z155" s="6">
        <f t="shared" si="52"/>
        <v>0.14295553021862828</v>
      </c>
      <c r="AA155" s="6">
        <f t="shared" si="53"/>
        <v>0.79181312659482384</v>
      </c>
      <c r="AB155" s="6">
        <f t="shared" si="54"/>
        <v>1</v>
      </c>
    </row>
    <row r="156" spans="1:28" x14ac:dyDescent="0.35">
      <c r="A156">
        <v>147</v>
      </c>
      <c r="B156" s="17">
        <f t="shared" si="55"/>
        <v>4443.875</v>
      </c>
      <c r="C156" s="17">
        <f t="shared" si="48"/>
        <v>4474.3125</v>
      </c>
      <c r="D156" s="17">
        <f t="shared" si="56"/>
        <v>4459.09375</v>
      </c>
      <c r="E156" s="17">
        <f t="shared" si="42"/>
        <v>146.5</v>
      </c>
      <c r="F156" s="17">
        <f t="shared" si="43"/>
        <v>72.208333333333329</v>
      </c>
      <c r="G156" s="21">
        <f>INDEX('Life Tables'!$F$8:$F$123,MATCH(Engine!F156,'Life Tables'!$B$8:$B$123,1))</f>
        <v>1.732427396286651E-3</v>
      </c>
      <c r="H156" s="8">
        <f t="shared" si="44"/>
        <v>0.66178329828912896</v>
      </c>
      <c r="I156">
        <f t="shared" si="45"/>
        <v>1</v>
      </c>
      <c r="K156" s="22" t="e">
        <f>$I156*IF($E156&gt;_xlfn.AGGREGATE(4,6,'KM Data'!$B$6:$B$310),NA(),INDEX('KM Data'!$C$6:$C$310,MATCH($E156,'KM Data'!$B$6:$B$310,1)))</f>
        <v>#N/A</v>
      </c>
      <c r="L156" s="21">
        <f t="shared" si="46"/>
        <v>6.4658288473185999E-2</v>
      </c>
      <c r="M156" s="20">
        <f t="shared" si="49"/>
        <v>8.7425542413552826E-3</v>
      </c>
      <c r="N156" s="21">
        <f t="shared" si="57"/>
        <v>6.4658288473185999E-2</v>
      </c>
      <c r="O156" s="21">
        <f t="shared" si="58"/>
        <v>0.86192581620467301</v>
      </c>
      <c r="P156" s="21">
        <f t="shared" si="59"/>
        <v>6.4658288473185999E-2</v>
      </c>
      <c r="R156" s="22" t="e">
        <f>$I156*IF($E156&gt;_xlfn.AGGREGATE(4,6,'KM Data'!$E$6:$E$205),NA(),INDEX('KM Data'!$F$6:$F$205,MATCH($E156,'KM Data'!$E$6:$E$205,1)))</f>
        <v>#N/A</v>
      </c>
      <c r="S156" s="21">
        <f t="shared" si="47"/>
        <v>0.20704816240350066</v>
      </c>
      <c r="T156" s="8">
        <f t="shared" si="50"/>
        <v>5.4446701401770214E-3</v>
      </c>
      <c r="U156" s="21">
        <f t="shared" si="60"/>
        <v>0.20704816240350066</v>
      </c>
      <c r="V156" s="21">
        <f t="shared" si="61"/>
        <v>0.86192581620467301</v>
      </c>
      <c r="W156" s="21">
        <f t="shared" si="62"/>
        <v>0.20704816240350066</v>
      </c>
      <c r="Y156" s="23">
        <f t="shared" si="51"/>
        <v>6.4658288473185999E-2</v>
      </c>
      <c r="Z156" s="6">
        <f t="shared" si="52"/>
        <v>0.14238987393031466</v>
      </c>
      <c r="AA156" s="6">
        <f t="shared" si="53"/>
        <v>0.79295183759649934</v>
      </c>
      <c r="AB156" s="6">
        <f t="shared" si="54"/>
        <v>1</v>
      </c>
    </row>
    <row r="157" spans="1:28" x14ac:dyDescent="0.35">
      <c r="A157">
        <v>148</v>
      </c>
      <c r="B157" s="17">
        <f t="shared" si="55"/>
        <v>4474.3125</v>
      </c>
      <c r="C157" s="17">
        <f t="shared" si="48"/>
        <v>4504.75</v>
      </c>
      <c r="D157" s="17">
        <f t="shared" si="56"/>
        <v>4489.53125</v>
      </c>
      <c r="E157" s="17">
        <f t="shared" si="42"/>
        <v>147.5</v>
      </c>
      <c r="F157" s="17">
        <f t="shared" si="43"/>
        <v>72.291666666666671</v>
      </c>
      <c r="G157" s="21">
        <f>INDEX('Life Tables'!$F$8:$F$123,MATCH(Engine!F157,'Life Tables'!$B$8:$B$123,1))</f>
        <v>1.732427396286651E-3</v>
      </c>
      <c r="H157" s="8">
        <f t="shared" si="44"/>
        <v>0.66178329828912896</v>
      </c>
      <c r="I157">
        <f t="shared" si="45"/>
        <v>1</v>
      </c>
      <c r="K157" s="22" t="e">
        <f>$I157*IF($E157&gt;_xlfn.AGGREGATE(4,6,'KM Data'!$B$6:$B$310),NA(),INDEX('KM Data'!$C$6:$C$310,MATCH($E157,'KM Data'!$B$6:$B$310,1)))</f>
        <v>#N/A</v>
      </c>
      <c r="L157" s="21">
        <f t="shared" si="46"/>
        <v>6.4093009879055973E-2</v>
      </c>
      <c r="M157" s="20">
        <f t="shared" si="49"/>
        <v>8.7006123513116984E-3</v>
      </c>
      <c r="N157" s="21">
        <f t="shared" si="57"/>
        <v>6.4093009879055973E-2</v>
      </c>
      <c r="O157" s="21">
        <f t="shared" si="58"/>
        <v>0.86043259230711333</v>
      </c>
      <c r="P157" s="21">
        <f t="shared" si="59"/>
        <v>6.4093009879055973E-2</v>
      </c>
      <c r="R157" s="22" t="e">
        <f>$I157*IF($E157&gt;_xlfn.AGGREGATE(4,6,'KM Data'!$E$6:$E$205),NA(),INDEX('KM Data'!$F$6:$F$205,MATCH($E157,'KM Data'!$E$6:$E$205,1)))</f>
        <v>#N/A</v>
      </c>
      <c r="S157" s="21">
        <f t="shared" si="47"/>
        <v>0.2059208534560838</v>
      </c>
      <c r="T157" s="8">
        <f t="shared" si="50"/>
        <v>5.4199457273944596E-3</v>
      </c>
      <c r="U157" s="21">
        <f t="shared" si="60"/>
        <v>0.2059208534560838</v>
      </c>
      <c r="V157" s="21">
        <f t="shared" si="61"/>
        <v>0.86043259230711333</v>
      </c>
      <c r="W157" s="21">
        <f t="shared" si="62"/>
        <v>0.2059208534560838</v>
      </c>
      <c r="Y157" s="23">
        <f t="shared" si="51"/>
        <v>6.4093009879055973E-2</v>
      </c>
      <c r="Z157" s="6">
        <f t="shared" si="52"/>
        <v>0.14182784357702782</v>
      </c>
      <c r="AA157" s="6">
        <f t="shared" si="53"/>
        <v>0.7940791465439162</v>
      </c>
      <c r="AB157" s="6">
        <f t="shared" si="54"/>
        <v>1</v>
      </c>
    </row>
    <row r="158" spans="1:28" x14ac:dyDescent="0.35">
      <c r="A158">
        <v>149</v>
      </c>
      <c r="B158" s="17">
        <f t="shared" si="55"/>
        <v>4504.75</v>
      </c>
      <c r="C158" s="17">
        <f t="shared" si="48"/>
        <v>4535.1875</v>
      </c>
      <c r="D158" s="17">
        <f t="shared" si="56"/>
        <v>4519.96875</v>
      </c>
      <c r="E158" s="17">
        <f t="shared" si="42"/>
        <v>148.5</v>
      </c>
      <c r="F158" s="17">
        <f t="shared" si="43"/>
        <v>72.375</v>
      </c>
      <c r="G158" s="21">
        <f>INDEX('Life Tables'!$F$8:$F$123,MATCH(Engine!F158,'Life Tables'!$B$8:$B$123,1))</f>
        <v>1.732427396286651E-3</v>
      </c>
      <c r="H158" s="8">
        <f t="shared" si="44"/>
        <v>0.66178329828912896</v>
      </c>
      <c r="I158">
        <f t="shared" si="45"/>
        <v>1</v>
      </c>
      <c r="K158" s="22" t="e">
        <f>$I158*IF($E158&gt;_xlfn.AGGREGATE(4,6,'KM Data'!$B$6:$B$310),NA(),INDEX('KM Data'!$C$6:$C$310,MATCH($E158,'KM Data'!$B$6:$B$310,1)))</f>
        <v>#N/A</v>
      </c>
      <c r="L158" s="21">
        <f t="shared" si="46"/>
        <v>6.3535361445669514E-2</v>
      </c>
      <c r="M158" s="20">
        <f t="shared" si="49"/>
        <v>8.6591259744743798E-3</v>
      </c>
      <c r="N158" s="21">
        <f t="shared" si="57"/>
        <v>6.3535361445669514E-2</v>
      </c>
      <c r="O158" s="21">
        <f t="shared" si="58"/>
        <v>0.85894195531154249</v>
      </c>
      <c r="P158" s="21">
        <f t="shared" si="59"/>
        <v>6.3535361445669514E-2</v>
      </c>
      <c r="R158" s="22" t="e">
        <f>$I158*IF($E158&gt;_xlfn.AGGREGATE(4,6,'KM Data'!$E$6:$E$205),NA(),INDEX('KM Data'!$F$6:$F$205,MATCH($E158,'KM Data'!$E$6:$E$205,1)))</f>
        <v>#N/A</v>
      </c>
      <c r="S158" s="21">
        <f t="shared" si="47"/>
        <v>0.20480477360621308</v>
      </c>
      <c r="T158" s="8">
        <f t="shared" si="50"/>
        <v>5.3954803938062179E-3</v>
      </c>
      <c r="U158" s="21">
        <f t="shared" si="60"/>
        <v>0.20480477360621308</v>
      </c>
      <c r="V158" s="21">
        <f t="shared" si="61"/>
        <v>0.85894195531154249</v>
      </c>
      <c r="W158" s="21">
        <f t="shared" si="62"/>
        <v>0.20480477360621308</v>
      </c>
      <c r="Y158" s="23">
        <f t="shared" si="51"/>
        <v>6.3535361445669514E-2</v>
      </c>
      <c r="Z158" s="6">
        <f t="shared" si="52"/>
        <v>0.14126941216054356</v>
      </c>
      <c r="AA158" s="6">
        <f t="shared" si="53"/>
        <v>0.79519522639378692</v>
      </c>
      <c r="AB158" s="6">
        <f t="shared" si="54"/>
        <v>1</v>
      </c>
    </row>
    <row r="159" spans="1:28" x14ac:dyDescent="0.35">
      <c r="A159">
        <v>150</v>
      </c>
      <c r="B159" s="17">
        <f t="shared" si="55"/>
        <v>4535.1875</v>
      </c>
      <c r="C159" s="17">
        <f t="shared" si="48"/>
        <v>4565.625</v>
      </c>
      <c r="D159" s="17">
        <f t="shared" si="56"/>
        <v>4550.40625</v>
      </c>
      <c r="E159" s="17">
        <f t="shared" si="42"/>
        <v>149.5</v>
      </c>
      <c r="F159" s="17">
        <f t="shared" si="43"/>
        <v>72.458333333333329</v>
      </c>
      <c r="G159" s="21">
        <f>INDEX('Life Tables'!$F$8:$F$123,MATCH(Engine!F159,'Life Tables'!$B$8:$B$123,1))</f>
        <v>1.732427396286651E-3</v>
      </c>
      <c r="H159" s="8">
        <f t="shared" si="44"/>
        <v>0.66178329828912896</v>
      </c>
      <c r="I159">
        <f t="shared" si="45"/>
        <v>1</v>
      </c>
      <c r="K159" s="22" t="e">
        <f>$I159*IF($E159&gt;_xlfn.AGGREGATE(4,6,'KM Data'!$B$6:$B$310),NA(),INDEX('KM Data'!$C$6:$C$310,MATCH($E159,'KM Data'!$B$6:$B$310,1)))</f>
        <v>#N/A</v>
      </c>
      <c r="L159" s="21">
        <f t="shared" si="46"/>
        <v>6.2985200747077696E-2</v>
      </c>
      <c r="M159" s="20">
        <f t="shared" si="49"/>
        <v>8.6180873586885198E-3</v>
      </c>
      <c r="N159" s="21">
        <f t="shared" si="57"/>
        <v>6.2985200747077696E-2</v>
      </c>
      <c r="O159" s="21">
        <f t="shared" si="58"/>
        <v>0.85745390073634076</v>
      </c>
      <c r="P159" s="21">
        <f t="shared" si="59"/>
        <v>6.2985200747077696E-2</v>
      </c>
      <c r="R159" s="22" t="e">
        <f>$I159*IF($E159&gt;_xlfn.AGGREGATE(4,6,'KM Data'!$E$6:$E$205),NA(),INDEX('KM Data'!$F$6:$F$205,MATCH($E159,'KM Data'!$E$6:$E$205,1)))</f>
        <v>#N/A</v>
      </c>
      <c r="S159" s="21">
        <f t="shared" si="47"/>
        <v>0.20369975346566283</v>
      </c>
      <c r="T159" s="8">
        <f t="shared" si="50"/>
        <v>5.3712698519599034E-3</v>
      </c>
      <c r="U159" s="21">
        <f t="shared" si="60"/>
        <v>0.20369975346566283</v>
      </c>
      <c r="V159" s="21">
        <f t="shared" si="61"/>
        <v>0.85745390073634076</v>
      </c>
      <c r="W159" s="21">
        <f t="shared" si="62"/>
        <v>0.20369975346566283</v>
      </c>
      <c r="Y159" s="23">
        <f t="shared" si="51"/>
        <v>6.2985200747077696E-2</v>
      </c>
      <c r="Z159" s="6">
        <f t="shared" si="52"/>
        <v>0.14071455271858513</v>
      </c>
      <c r="AA159" s="6">
        <f t="shared" si="53"/>
        <v>0.79630024653433717</v>
      </c>
      <c r="AB159" s="6">
        <f t="shared" si="54"/>
        <v>1</v>
      </c>
    </row>
    <row r="160" spans="1:28" x14ac:dyDescent="0.35">
      <c r="A160">
        <v>151</v>
      </c>
      <c r="B160" s="17">
        <f t="shared" si="55"/>
        <v>4565.625</v>
      </c>
      <c r="C160" s="17">
        <f t="shared" si="48"/>
        <v>4596.0625</v>
      </c>
      <c r="D160" s="17">
        <f t="shared" si="56"/>
        <v>4580.84375</v>
      </c>
      <c r="E160" s="17">
        <f t="shared" si="42"/>
        <v>150.5</v>
      </c>
      <c r="F160" s="17">
        <f t="shared" si="43"/>
        <v>72.541666666666671</v>
      </c>
      <c r="G160" s="21">
        <f>INDEX('Life Tables'!$F$8:$F$123,MATCH(Engine!F160,'Life Tables'!$B$8:$B$123,1))</f>
        <v>1.732427396286651E-3</v>
      </c>
      <c r="H160" s="8">
        <f t="shared" si="44"/>
        <v>0.66178329828912896</v>
      </c>
      <c r="I160">
        <f t="shared" si="45"/>
        <v>1</v>
      </c>
      <c r="K160" s="22" t="e">
        <f>$I160*IF($E160&gt;_xlfn.AGGREGATE(4,6,'KM Data'!$B$6:$B$310),NA(),INDEX('KM Data'!$C$6:$C$310,MATCH($E160,'KM Data'!$B$6:$B$310,1)))</f>
        <v>#N/A</v>
      </c>
      <c r="L160" s="21">
        <f t="shared" si="46"/>
        <v>6.2442388784734848E-2</v>
      </c>
      <c r="M160" s="20">
        <f t="shared" si="49"/>
        <v>8.57748893142396E-3</v>
      </c>
      <c r="N160" s="21">
        <f t="shared" si="57"/>
        <v>6.2442388784734848E-2</v>
      </c>
      <c r="O160" s="21">
        <f t="shared" si="58"/>
        <v>0.85596842410765228</v>
      </c>
      <c r="P160" s="21">
        <f t="shared" si="59"/>
        <v>6.2442388784734848E-2</v>
      </c>
      <c r="R160" s="22" t="e">
        <f>$I160*IF($E160&gt;_xlfn.AGGREGATE(4,6,'KM Data'!$E$6:$E$205),NA(),INDEX('KM Data'!$F$6:$F$205,MATCH($E160,'KM Data'!$E$6:$E$205,1)))</f>
        <v>#N/A</v>
      </c>
      <c r="S160" s="21">
        <f t="shared" si="47"/>
        <v>0.20260562712102104</v>
      </c>
      <c r="T160" s="8">
        <f t="shared" si="50"/>
        <v>5.3473099114238476E-3</v>
      </c>
      <c r="U160" s="21">
        <f t="shared" si="60"/>
        <v>0.20260562712102104</v>
      </c>
      <c r="V160" s="21">
        <f t="shared" si="61"/>
        <v>0.85596842410765228</v>
      </c>
      <c r="W160" s="21">
        <f t="shared" si="62"/>
        <v>0.20260562712102104</v>
      </c>
      <c r="Y160" s="23">
        <f t="shared" si="51"/>
        <v>6.2442388784734848E-2</v>
      </c>
      <c r="Z160" s="6">
        <f t="shared" si="52"/>
        <v>0.14016323833628619</v>
      </c>
      <c r="AA160" s="6">
        <f t="shared" si="53"/>
        <v>0.79739437287897896</v>
      </c>
      <c r="AB160" s="6">
        <f t="shared" si="54"/>
        <v>1</v>
      </c>
    </row>
    <row r="161" spans="1:28" x14ac:dyDescent="0.35">
      <c r="A161">
        <v>152</v>
      </c>
      <c r="B161" s="17">
        <f t="shared" si="55"/>
        <v>4596.0625</v>
      </c>
      <c r="C161" s="17">
        <f t="shared" si="48"/>
        <v>4626.5</v>
      </c>
      <c r="D161" s="17">
        <f t="shared" si="56"/>
        <v>4611.28125</v>
      </c>
      <c r="E161" s="17">
        <f t="shared" si="42"/>
        <v>151.5</v>
      </c>
      <c r="F161" s="17">
        <f t="shared" si="43"/>
        <v>72.625</v>
      </c>
      <c r="G161" s="21">
        <f>INDEX('Life Tables'!$F$8:$F$123,MATCH(Engine!F161,'Life Tables'!$B$8:$B$123,1))</f>
        <v>1.732427396286651E-3</v>
      </c>
      <c r="H161" s="8">
        <f t="shared" si="44"/>
        <v>0.66178329828912896</v>
      </c>
      <c r="I161">
        <f t="shared" si="45"/>
        <v>1</v>
      </c>
      <c r="K161" s="22" t="e">
        <f>$I161*IF($E161&gt;_xlfn.AGGREGATE(4,6,'KM Data'!$B$6:$B$310),NA(),INDEX('KM Data'!$C$6:$C$310,MATCH($E161,'KM Data'!$B$6:$B$310,1)))</f>
        <v>#N/A</v>
      </c>
      <c r="L161" s="21">
        <f t="shared" si="46"/>
        <v>6.1906789886082114E-2</v>
      </c>
      <c r="M161" s="20">
        <f t="shared" si="49"/>
        <v>8.5373232944748745E-3</v>
      </c>
      <c r="N161" s="21">
        <f t="shared" si="57"/>
        <v>6.1906789886082114E-2</v>
      </c>
      <c r="O161" s="21">
        <f t="shared" si="58"/>
        <v>0.85448552095937191</v>
      </c>
      <c r="P161" s="21">
        <f t="shared" si="59"/>
        <v>6.1906789886082114E-2</v>
      </c>
      <c r="R161" s="22" t="e">
        <f>$I161*IF($E161&gt;_xlfn.AGGREGATE(4,6,'KM Data'!$E$6:$E$205),NA(),INDEX('KM Data'!$F$6:$F$205,MATCH($E161,'KM Data'!$E$6:$E$205,1)))</f>
        <v>#N/A</v>
      </c>
      <c r="S161" s="21">
        <f t="shared" si="47"/>
        <v>0.20152223204300657</v>
      </c>
      <c r="T161" s="8">
        <f t="shared" si="50"/>
        <v>5.3235964759925647E-3</v>
      </c>
      <c r="U161" s="21">
        <f t="shared" si="60"/>
        <v>0.20152223204300657</v>
      </c>
      <c r="V161" s="21">
        <f t="shared" si="61"/>
        <v>0.85448552095937191</v>
      </c>
      <c r="W161" s="21">
        <f t="shared" si="62"/>
        <v>0.20152223204300657</v>
      </c>
      <c r="Y161" s="23">
        <f t="shared" si="51"/>
        <v>6.1906789886082114E-2</v>
      </c>
      <c r="Z161" s="6">
        <f t="shared" si="52"/>
        <v>0.13961544215692445</v>
      </c>
      <c r="AA161" s="6">
        <f t="shared" si="53"/>
        <v>0.79847776795699343</v>
      </c>
      <c r="AB161" s="6">
        <f t="shared" si="54"/>
        <v>1</v>
      </c>
    </row>
    <row r="162" spans="1:28" x14ac:dyDescent="0.35">
      <c r="A162">
        <v>153</v>
      </c>
      <c r="B162" s="17">
        <f t="shared" si="55"/>
        <v>4626.5</v>
      </c>
      <c r="C162" s="17">
        <f t="shared" si="48"/>
        <v>4656.9375</v>
      </c>
      <c r="D162" s="17">
        <f t="shared" si="56"/>
        <v>4641.71875</v>
      </c>
      <c r="E162" s="17">
        <f t="shared" si="42"/>
        <v>152.5</v>
      </c>
      <c r="F162" s="17">
        <f t="shared" si="43"/>
        <v>72.708333333333329</v>
      </c>
      <c r="G162" s="21">
        <f>INDEX('Life Tables'!$F$8:$F$123,MATCH(Engine!F162,'Life Tables'!$B$8:$B$123,1))</f>
        <v>1.732427396286651E-3</v>
      </c>
      <c r="H162" s="8">
        <f t="shared" si="44"/>
        <v>0.66178329828912896</v>
      </c>
      <c r="I162">
        <f t="shared" si="45"/>
        <v>1</v>
      </c>
      <c r="K162" s="22" t="e">
        <f>$I162*IF($E162&gt;_xlfn.AGGREGATE(4,6,'KM Data'!$B$6:$B$310),NA(),INDEX('KM Data'!$C$6:$C$310,MATCH($E162,'KM Data'!$B$6:$B$310,1)))</f>
        <v>#N/A</v>
      </c>
      <c r="L162" s="21">
        <f t="shared" si="46"/>
        <v>6.1378271606701507E-2</v>
      </c>
      <c r="M162" s="20">
        <f t="shared" si="49"/>
        <v>8.4975832189323475E-3</v>
      </c>
      <c r="N162" s="21">
        <f t="shared" si="57"/>
        <v>6.1378271606701507E-2</v>
      </c>
      <c r="O162" s="21">
        <f t="shared" si="58"/>
        <v>0.85300518683313165</v>
      </c>
      <c r="P162" s="21">
        <f t="shared" si="59"/>
        <v>6.1378271606701507E-2</v>
      </c>
      <c r="R162" s="22" t="e">
        <f>$I162*IF($E162&gt;_xlfn.AGGREGATE(4,6,'KM Data'!$E$6:$E$205),NA(),INDEX('KM Data'!$F$6:$F$205,MATCH($E162,'KM Data'!$E$6:$E$205,1)))</f>
        <v>#N/A</v>
      </c>
      <c r="S162" s="21">
        <f t="shared" si="47"/>
        <v>0.20044940899866825</v>
      </c>
      <c r="T162" s="8">
        <f t="shared" si="50"/>
        <v>5.3001255410144443E-3</v>
      </c>
      <c r="U162" s="21">
        <f t="shared" si="60"/>
        <v>0.20044940899866825</v>
      </c>
      <c r="V162" s="21">
        <f t="shared" si="61"/>
        <v>0.85300518683313165</v>
      </c>
      <c r="W162" s="21">
        <f t="shared" si="62"/>
        <v>0.20044940899866825</v>
      </c>
      <c r="Y162" s="23">
        <f t="shared" si="51"/>
        <v>6.1378271606701507E-2</v>
      </c>
      <c r="Z162" s="6">
        <f t="shared" si="52"/>
        <v>0.13907113739196675</v>
      </c>
      <c r="AA162" s="6">
        <f t="shared" si="53"/>
        <v>0.79955059100133175</v>
      </c>
      <c r="AB162" s="6">
        <f t="shared" si="54"/>
        <v>1</v>
      </c>
    </row>
    <row r="163" spans="1:28" x14ac:dyDescent="0.35">
      <c r="A163">
        <v>154</v>
      </c>
      <c r="B163" s="17">
        <f t="shared" si="55"/>
        <v>4656.9375</v>
      </c>
      <c r="C163" s="17">
        <f t="shared" si="48"/>
        <v>4687.375</v>
      </c>
      <c r="D163" s="17">
        <f t="shared" si="56"/>
        <v>4672.15625</v>
      </c>
      <c r="E163" s="17">
        <f t="shared" si="42"/>
        <v>153.5</v>
      </c>
      <c r="F163" s="17">
        <f t="shared" si="43"/>
        <v>72.791666666666671</v>
      </c>
      <c r="G163" s="21">
        <f>INDEX('Life Tables'!$F$8:$F$123,MATCH(Engine!F163,'Life Tables'!$B$8:$B$123,1))</f>
        <v>1.732427396286651E-3</v>
      </c>
      <c r="H163" s="8">
        <f t="shared" si="44"/>
        <v>0.66178329828912896</v>
      </c>
      <c r="I163">
        <f t="shared" si="45"/>
        <v>1</v>
      </c>
      <c r="K163" s="22" t="e">
        <f>$I163*IF($E163&gt;_xlfn.AGGREGATE(4,6,'KM Data'!$B$6:$B$310),NA(),INDEX('KM Data'!$C$6:$C$310,MATCH($E163,'KM Data'!$B$6:$B$310,1)))</f>
        <v>#N/A</v>
      </c>
      <c r="L163" s="21">
        <f t="shared" si="46"/>
        <v>6.0856704635889325E-2</v>
      </c>
      <c r="M163" s="20">
        <f t="shared" si="49"/>
        <v>8.4582616402709698E-3</v>
      </c>
      <c r="N163" s="21">
        <f t="shared" si="57"/>
        <v>6.0856704635889325E-2</v>
      </c>
      <c r="O163" s="21">
        <f t="shared" si="58"/>
        <v>0.85152741727828729</v>
      </c>
      <c r="P163" s="21">
        <f t="shared" si="59"/>
        <v>6.0856704635889325E-2</v>
      </c>
      <c r="R163" s="22" t="e">
        <f>$I163*IF($E163&gt;_xlfn.AGGREGATE(4,6,'KM Data'!$E$6:$E$205),NA(),INDEX('KM Data'!$F$6:$F$205,MATCH($E163,'KM Data'!$E$6:$E$205,1)))</f>
        <v>#N/A</v>
      </c>
      <c r="S163" s="21">
        <f t="shared" si="47"/>
        <v>0.19938700196635317</v>
      </c>
      <c r="T163" s="8">
        <f t="shared" si="50"/>
        <v>5.2768931907908323E-3</v>
      </c>
      <c r="U163" s="21">
        <f t="shared" si="60"/>
        <v>0.19938700196635317</v>
      </c>
      <c r="V163" s="21">
        <f t="shared" si="61"/>
        <v>0.85152741727828729</v>
      </c>
      <c r="W163" s="21">
        <f t="shared" si="62"/>
        <v>0.19938700196635317</v>
      </c>
      <c r="Y163" s="23">
        <f t="shared" si="51"/>
        <v>6.0856704635889325E-2</v>
      </c>
      <c r="Z163" s="6">
        <f t="shared" si="52"/>
        <v>0.13853029733046385</v>
      </c>
      <c r="AA163" s="6">
        <f t="shared" si="53"/>
        <v>0.80061299803364683</v>
      </c>
      <c r="AB163" s="6">
        <f t="shared" si="54"/>
        <v>1</v>
      </c>
    </row>
    <row r="164" spans="1:28" x14ac:dyDescent="0.35">
      <c r="A164">
        <v>155</v>
      </c>
      <c r="B164" s="17">
        <f t="shared" si="55"/>
        <v>4687.375</v>
      </c>
      <c r="C164" s="17">
        <f t="shared" si="48"/>
        <v>4717.8125</v>
      </c>
      <c r="D164" s="17">
        <f t="shared" si="56"/>
        <v>4702.59375</v>
      </c>
      <c r="E164" s="17">
        <f t="shared" si="42"/>
        <v>154.5</v>
      </c>
      <c r="F164" s="17">
        <f t="shared" si="43"/>
        <v>72.875</v>
      </c>
      <c r="G164" s="21">
        <f>INDEX('Life Tables'!$F$8:$F$123,MATCH(Engine!F164,'Life Tables'!$B$8:$B$123,1))</f>
        <v>1.732427396286651E-3</v>
      </c>
      <c r="H164" s="8">
        <f t="shared" si="44"/>
        <v>0.66178329828912896</v>
      </c>
      <c r="I164">
        <f t="shared" si="45"/>
        <v>1</v>
      </c>
      <c r="K164" s="22" t="e">
        <f>$I164*IF($E164&gt;_xlfn.AGGREGATE(4,6,'KM Data'!$B$6:$B$310),NA(),INDEX('KM Data'!$C$6:$C$310,MATCH($E164,'KM Data'!$B$6:$B$310,1)))</f>
        <v>#N/A</v>
      </c>
      <c r="L164" s="21">
        <f t="shared" si="46"/>
        <v>6.0341962705514285E-2</v>
      </c>
      <c r="M164" s="20">
        <f t="shared" si="49"/>
        <v>8.4193516536021917E-3</v>
      </c>
      <c r="N164" s="21">
        <f t="shared" si="57"/>
        <v>6.0341962705514285E-2</v>
      </c>
      <c r="O164" s="21">
        <f t="shared" si="58"/>
        <v>0.85005220785190516</v>
      </c>
      <c r="P164" s="21">
        <f t="shared" si="59"/>
        <v>6.0341962705514285E-2</v>
      </c>
      <c r="R164" s="22" t="e">
        <f>$I164*IF($E164&gt;_xlfn.AGGREGATE(4,6,'KM Data'!$E$6:$E$205),NA(),INDEX('KM Data'!$F$6:$F$205,MATCH($E164,'KM Data'!$E$6:$E$205,1)))</f>
        <v>#N/A</v>
      </c>
      <c r="S164" s="21">
        <f t="shared" si="47"/>
        <v>0.19833485805334472</v>
      </c>
      <c r="T164" s="8">
        <f t="shared" si="50"/>
        <v>5.2538955960714784E-3</v>
      </c>
      <c r="U164" s="21">
        <f t="shared" si="60"/>
        <v>0.19833485805334472</v>
      </c>
      <c r="V164" s="21">
        <f t="shared" si="61"/>
        <v>0.85005220785190516</v>
      </c>
      <c r="W164" s="21">
        <f t="shared" si="62"/>
        <v>0.19833485805334472</v>
      </c>
      <c r="Y164" s="23">
        <f t="shared" si="51"/>
        <v>6.0341962705514285E-2</v>
      </c>
      <c r="Z164" s="6">
        <f t="shared" si="52"/>
        <v>0.13799289534783044</v>
      </c>
      <c r="AA164" s="6">
        <f t="shared" si="53"/>
        <v>0.80166514194665528</v>
      </c>
      <c r="AB164" s="6">
        <f t="shared" si="54"/>
        <v>1</v>
      </c>
    </row>
    <row r="165" spans="1:28" x14ac:dyDescent="0.35">
      <c r="A165">
        <v>156</v>
      </c>
      <c r="B165" s="17">
        <f t="shared" si="55"/>
        <v>4717.8125</v>
      </c>
      <c r="C165" s="17">
        <f t="shared" si="48"/>
        <v>4748.25</v>
      </c>
      <c r="D165" s="17">
        <f t="shared" si="56"/>
        <v>4733.03125</v>
      </c>
      <c r="E165" s="17">
        <f t="shared" si="42"/>
        <v>155.5</v>
      </c>
      <c r="F165" s="17">
        <f t="shared" si="43"/>
        <v>72.958333333333329</v>
      </c>
      <c r="G165" s="21">
        <f>INDEX('Life Tables'!$F$8:$F$123,MATCH(Engine!F165,'Life Tables'!$B$8:$B$123,1))</f>
        <v>1.732427396286651E-3</v>
      </c>
      <c r="H165" s="8">
        <f t="shared" si="44"/>
        <v>0.63940415293635666</v>
      </c>
      <c r="I165">
        <f t="shared" si="45"/>
        <v>1</v>
      </c>
      <c r="K165" s="22" t="e">
        <f>$I165*IF($E165&gt;_xlfn.AGGREGATE(4,6,'KM Data'!$B$6:$B$310),NA(),INDEX('KM Data'!$C$6:$C$310,MATCH($E165,'KM Data'!$B$6:$B$310,1)))</f>
        <v>#N/A</v>
      </c>
      <c r="L165" s="21">
        <f t="shared" si="46"/>
        <v>5.9833922502028014E-2</v>
      </c>
      <c r="M165" s="20">
        <f t="shared" si="49"/>
        <v>8.3808465091669282E-3</v>
      </c>
      <c r="N165" s="21">
        <f t="shared" si="57"/>
        <v>5.9833922502028014E-2</v>
      </c>
      <c r="O165" s="21">
        <f t="shared" si="58"/>
        <v>0.84857955411874852</v>
      </c>
      <c r="P165" s="21">
        <f t="shared" si="59"/>
        <v>5.9833922502028014E-2</v>
      </c>
      <c r="R165" s="22" t="e">
        <f>$I165*IF($E165&gt;_xlfn.AGGREGATE(4,6,'KM Data'!$E$6:$E$205),NA(),INDEX('KM Data'!$F$6:$F$205,MATCH($E165,'KM Data'!$E$6:$E$205,1)))</f>
        <v>#N/A</v>
      </c>
      <c r="S165" s="21">
        <f t="shared" si="47"/>
        <v>0.19729282741607079</v>
      </c>
      <c r="T165" s="8">
        <f t="shared" si="50"/>
        <v>5.2311290116412446E-3</v>
      </c>
      <c r="U165" s="21">
        <f t="shared" si="60"/>
        <v>0.19729282741607079</v>
      </c>
      <c r="V165" s="21">
        <f t="shared" si="61"/>
        <v>0.84857955411874852</v>
      </c>
      <c r="W165" s="21">
        <f t="shared" si="62"/>
        <v>0.19729282741607079</v>
      </c>
      <c r="Y165" s="23">
        <f t="shared" si="51"/>
        <v>5.9833922502028014E-2</v>
      </c>
      <c r="Z165" s="6">
        <f t="shared" si="52"/>
        <v>0.13745890491404278</v>
      </c>
      <c r="AA165" s="6">
        <f t="shared" si="53"/>
        <v>0.80270717258392921</v>
      </c>
      <c r="AB165" s="6">
        <f t="shared" si="54"/>
        <v>1</v>
      </c>
    </row>
    <row r="166" spans="1:28" x14ac:dyDescent="0.35">
      <c r="A166">
        <v>157</v>
      </c>
      <c r="B166" s="17">
        <f t="shared" si="55"/>
        <v>4748.25</v>
      </c>
      <c r="C166" s="17">
        <f t="shared" si="48"/>
        <v>4778.6875</v>
      </c>
      <c r="D166" s="17">
        <f t="shared" si="56"/>
        <v>4763.46875</v>
      </c>
      <c r="E166" s="17">
        <f t="shared" si="42"/>
        <v>156.5</v>
      </c>
      <c r="F166" s="17">
        <f t="shared" si="43"/>
        <v>73.041666666666671</v>
      </c>
      <c r="G166" s="21">
        <f>INDEX('Life Tables'!$F$8:$F$123,MATCH(Engine!F166,'Life Tables'!$B$8:$B$123,1))</f>
        <v>1.8735911846904374E-3</v>
      </c>
      <c r="H166" s="8">
        <f t="shared" si="44"/>
        <v>0.63940415293635666</v>
      </c>
      <c r="I166">
        <f t="shared" si="45"/>
        <v>1</v>
      </c>
      <c r="K166" s="22" t="e">
        <f>$I166*IF($E166&gt;_xlfn.AGGREGATE(4,6,'KM Data'!$B$6:$B$310),NA(),INDEX('KM Data'!$C$6:$C$310,MATCH($E166,'KM Data'!$B$6:$B$310,1)))</f>
        <v>#N/A</v>
      </c>
      <c r="L166" s="21">
        <f t="shared" si="46"/>
        <v>5.933246358149713E-2</v>
      </c>
      <c r="M166" s="20">
        <f t="shared" si="49"/>
        <v>8.3427396078765703E-3</v>
      </c>
      <c r="N166" s="21">
        <f t="shared" si="57"/>
        <v>5.933246358149713E-2</v>
      </c>
      <c r="O166" s="21">
        <f t="shared" si="58"/>
        <v>0.8471094516512645</v>
      </c>
      <c r="P166" s="21">
        <f t="shared" si="59"/>
        <v>5.933246358149713E-2</v>
      </c>
      <c r="R166" s="22" t="e">
        <f>$I166*IF($E166&gt;_xlfn.AGGREGATE(4,6,'KM Data'!$E$6:$E$205),NA(),INDEX('KM Data'!$F$6:$F$205,MATCH($E166,'KM Data'!$E$6:$E$205,1)))</f>
        <v>#N/A</v>
      </c>
      <c r="S166" s="21">
        <f t="shared" si="47"/>
        <v>0.19626076318278585</v>
      </c>
      <c r="T166" s="8">
        <f t="shared" si="50"/>
        <v>5.208589773975314E-3</v>
      </c>
      <c r="U166" s="21">
        <f t="shared" si="60"/>
        <v>0.19626076318278585</v>
      </c>
      <c r="V166" s="21">
        <f t="shared" si="61"/>
        <v>0.8471094516512645</v>
      </c>
      <c r="W166" s="21">
        <f t="shared" si="62"/>
        <v>0.19626076318278585</v>
      </c>
      <c r="Y166" s="23">
        <f t="shared" si="51"/>
        <v>5.933246358149713E-2</v>
      </c>
      <c r="Z166" s="6">
        <f t="shared" si="52"/>
        <v>0.13692829960128872</v>
      </c>
      <c r="AA166" s="6">
        <f t="shared" si="53"/>
        <v>0.80373923681721415</v>
      </c>
      <c r="AB166" s="6">
        <f t="shared" si="54"/>
        <v>1</v>
      </c>
    </row>
    <row r="167" spans="1:28" x14ac:dyDescent="0.35">
      <c r="A167">
        <v>158</v>
      </c>
      <c r="B167" s="17">
        <f t="shared" si="55"/>
        <v>4778.6875</v>
      </c>
      <c r="C167" s="17">
        <f t="shared" si="48"/>
        <v>4809.125</v>
      </c>
      <c r="D167" s="17">
        <f t="shared" si="56"/>
        <v>4793.90625</v>
      </c>
      <c r="E167" s="17">
        <f t="shared" si="42"/>
        <v>157.5</v>
      </c>
      <c r="F167" s="17">
        <f t="shared" si="43"/>
        <v>73.125</v>
      </c>
      <c r="G167" s="21">
        <f>INDEX('Life Tables'!$F$8:$F$123,MATCH(Engine!F167,'Life Tables'!$B$8:$B$123,1))</f>
        <v>1.8735911846904374E-3</v>
      </c>
      <c r="H167" s="8">
        <f t="shared" si="44"/>
        <v>0.63940415293635666</v>
      </c>
      <c r="I167">
        <f t="shared" si="45"/>
        <v>1</v>
      </c>
      <c r="K167" s="22" t="e">
        <f>$I167*IF($E167&gt;_xlfn.AGGREGATE(4,6,'KM Data'!$B$6:$B$310),NA(),INDEX('KM Data'!$C$6:$C$310,MATCH($E167,'KM Data'!$B$6:$B$310,1)))</f>
        <v>#N/A</v>
      </c>
      <c r="L167" s="21">
        <f t="shared" si="46"/>
        <v>5.8837468287542882E-2</v>
      </c>
      <c r="M167" s="20">
        <f t="shared" si="49"/>
        <v>8.3050244970912512E-3</v>
      </c>
      <c r="N167" s="21">
        <f t="shared" si="57"/>
        <v>5.8837468287542882E-2</v>
      </c>
      <c r="O167" s="21">
        <f t="shared" si="58"/>
        <v>0.8455223148501827</v>
      </c>
      <c r="P167" s="21">
        <f t="shared" si="59"/>
        <v>5.8837468287542882E-2</v>
      </c>
      <c r="R167" s="22" t="e">
        <f>$I167*IF($E167&gt;_xlfn.AGGREGATE(4,6,'KM Data'!$E$6:$E$205),NA(),INDEX('KM Data'!$F$6:$F$205,MATCH($E167,'KM Data'!$E$6:$E$205,1)))</f>
        <v>#N/A</v>
      </c>
      <c r="S167" s="21">
        <f t="shared" si="47"/>
        <v>0.1952385213786394</v>
      </c>
      <c r="T167" s="8">
        <f t="shared" si="50"/>
        <v>5.1862742989899902E-3</v>
      </c>
      <c r="U167" s="21">
        <f t="shared" si="60"/>
        <v>0.1952385213786394</v>
      </c>
      <c r="V167" s="21">
        <f t="shared" si="61"/>
        <v>0.8455223148501827</v>
      </c>
      <c r="W167" s="21">
        <f t="shared" si="62"/>
        <v>0.1952385213786394</v>
      </c>
      <c r="Y167" s="23">
        <f t="shared" si="51"/>
        <v>5.8837468287542882E-2</v>
      </c>
      <c r="Z167" s="6">
        <f t="shared" si="52"/>
        <v>0.13640105309109651</v>
      </c>
      <c r="AA167" s="6">
        <f t="shared" si="53"/>
        <v>0.8047614786213606</v>
      </c>
      <c r="AB167" s="6">
        <f t="shared" si="54"/>
        <v>1</v>
      </c>
    </row>
    <row r="168" spans="1:28" x14ac:dyDescent="0.35">
      <c r="A168">
        <v>159</v>
      </c>
      <c r="B168" s="17">
        <f t="shared" si="55"/>
        <v>4809.125</v>
      </c>
      <c r="C168" s="17">
        <f t="shared" si="48"/>
        <v>4839.5625</v>
      </c>
      <c r="D168" s="17">
        <f t="shared" si="56"/>
        <v>4824.34375</v>
      </c>
      <c r="E168" s="17">
        <f t="shared" si="42"/>
        <v>158.5</v>
      </c>
      <c r="F168" s="17">
        <f t="shared" si="43"/>
        <v>73.208333333333329</v>
      </c>
      <c r="G168" s="21">
        <f>INDEX('Life Tables'!$F$8:$F$123,MATCH(Engine!F168,'Life Tables'!$B$8:$B$123,1))</f>
        <v>1.8735911846904374E-3</v>
      </c>
      <c r="H168" s="8">
        <f t="shared" si="44"/>
        <v>0.63940415293635666</v>
      </c>
      <c r="I168">
        <f t="shared" si="45"/>
        <v>1</v>
      </c>
      <c r="K168" s="22" t="e">
        <f>$I168*IF($E168&gt;_xlfn.AGGREGATE(4,6,'KM Data'!$B$6:$B$310),NA(),INDEX('KM Data'!$C$6:$C$310,MATCH($E168,'KM Data'!$B$6:$B$310,1)))</f>
        <v>#N/A</v>
      </c>
      <c r="L168" s="21">
        <f t="shared" si="46"/>
        <v>5.8348821672068008E-2</v>
      </c>
      <c r="M168" s="20">
        <f t="shared" si="49"/>
        <v>8.2676948665127981E-3</v>
      </c>
      <c r="N168" s="21">
        <f t="shared" si="57"/>
        <v>5.8348821672068008E-2</v>
      </c>
      <c r="O168" s="21">
        <f t="shared" si="58"/>
        <v>0.84393815169462039</v>
      </c>
      <c r="P168" s="21">
        <f t="shared" si="59"/>
        <v>5.8348821672068008E-2</v>
      </c>
      <c r="R168" s="22" t="e">
        <f>$I168*IF($E168&gt;_xlfn.AGGREGATE(4,6,'KM Data'!$E$6:$E$205),NA(),INDEX('KM Data'!$F$6:$F$205,MATCH($E168,'KM Data'!$E$6:$E$205,1)))</f>
        <v>#N/A</v>
      </c>
      <c r="S168" s="21">
        <f t="shared" si="47"/>
        <v>0.19422596085304056</v>
      </c>
      <c r="T168" s="8">
        <f t="shared" si="50"/>
        <v>5.164179079847897E-3</v>
      </c>
      <c r="U168" s="21">
        <f t="shared" si="60"/>
        <v>0.19422596085304056</v>
      </c>
      <c r="V168" s="21">
        <f t="shared" si="61"/>
        <v>0.84393815169462039</v>
      </c>
      <c r="W168" s="21">
        <f t="shared" si="62"/>
        <v>0.19422596085304056</v>
      </c>
      <c r="Y168" s="23">
        <f t="shared" si="51"/>
        <v>5.8348821672068008E-2</v>
      </c>
      <c r="Z168" s="6">
        <f t="shared" si="52"/>
        <v>0.13587713918097255</v>
      </c>
      <c r="AA168" s="6">
        <f t="shared" si="53"/>
        <v>0.80577403914695944</v>
      </c>
      <c r="AB168" s="6">
        <f t="shared" si="54"/>
        <v>1</v>
      </c>
    </row>
    <row r="169" spans="1:28" x14ac:dyDescent="0.35">
      <c r="A169">
        <v>160</v>
      </c>
      <c r="B169" s="17">
        <f t="shared" si="55"/>
        <v>4839.5625</v>
      </c>
      <c r="C169" s="17">
        <f t="shared" si="48"/>
        <v>4870</v>
      </c>
      <c r="D169" s="17">
        <f t="shared" si="56"/>
        <v>4854.78125</v>
      </c>
      <c r="E169" s="17">
        <f t="shared" si="42"/>
        <v>159.5</v>
      </c>
      <c r="F169" s="17">
        <f t="shared" si="43"/>
        <v>73.291666666666671</v>
      </c>
      <c r="G169" s="21">
        <f>INDEX('Life Tables'!$F$8:$F$123,MATCH(Engine!F169,'Life Tables'!$B$8:$B$123,1))</f>
        <v>1.8735911846904374E-3</v>
      </c>
      <c r="H169" s="8">
        <f t="shared" si="44"/>
        <v>0.63940415293635666</v>
      </c>
      <c r="I169">
        <f t="shared" si="45"/>
        <v>1</v>
      </c>
      <c r="K169" s="22" t="e">
        <f>$I169*IF($E169&gt;_xlfn.AGGREGATE(4,6,'KM Data'!$B$6:$B$310),NA(),INDEX('KM Data'!$C$6:$C$310,MATCH($E169,'KM Data'!$B$6:$B$310,1)))</f>
        <v>#N/A</v>
      </c>
      <c r="L169" s="21">
        <f t="shared" si="46"/>
        <v>5.7866411418662778E-2</v>
      </c>
      <c r="M169" s="20">
        <f t="shared" si="49"/>
        <v>8.2307445442034721E-3</v>
      </c>
      <c r="N169" s="21">
        <f t="shared" si="57"/>
        <v>5.7866411418662778E-2</v>
      </c>
      <c r="O169" s="21">
        <f t="shared" si="58"/>
        <v>0.84235695661318144</v>
      </c>
      <c r="P169" s="21">
        <f t="shared" si="59"/>
        <v>5.7866411418662778E-2</v>
      </c>
      <c r="R169" s="22" t="e">
        <f>$I169*IF($E169&gt;_xlfn.AGGREGATE(4,6,'KM Data'!$E$6:$E$205),NA(),INDEX('KM Data'!$F$6:$F$205,MATCH($E169,'KM Data'!$E$6:$E$205,1)))</f>
        <v>#N/A</v>
      </c>
      <c r="S169" s="21">
        <f t="shared" si="47"/>
        <v>0.19322294320923994</v>
      </c>
      <c r="T169" s="8">
        <f t="shared" si="50"/>
        <v>5.1423006848607677E-3</v>
      </c>
      <c r="U169" s="21">
        <f t="shared" si="60"/>
        <v>0.19322294320923994</v>
      </c>
      <c r="V169" s="21">
        <f t="shared" si="61"/>
        <v>0.84235695661318144</v>
      </c>
      <c r="W169" s="21">
        <f t="shared" si="62"/>
        <v>0.19322294320923994</v>
      </c>
      <c r="Y169" s="23">
        <f t="shared" si="51"/>
        <v>5.7866411418662778E-2</v>
      </c>
      <c r="Z169" s="6">
        <f t="shared" si="52"/>
        <v>0.13535653179057716</v>
      </c>
      <c r="AA169" s="6">
        <f t="shared" si="53"/>
        <v>0.80677705679076006</v>
      </c>
      <c r="AB169" s="6">
        <f t="shared" si="54"/>
        <v>1</v>
      </c>
    </row>
    <row r="170" spans="1:28" x14ac:dyDescent="0.35">
      <c r="A170">
        <v>161</v>
      </c>
      <c r="B170" s="17">
        <f t="shared" si="55"/>
        <v>4870</v>
      </c>
      <c r="C170" s="17">
        <f t="shared" si="48"/>
        <v>4900.4375</v>
      </c>
      <c r="D170" s="17">
        <f t="shared" si="56"/>
        <v>4885.21875</v>
      </c>
      <c r="E170" s="17">
        <f t="shared" si="42"/>
        <v>160.5</v>
      </c>
      <c r="F170" s="17">
        <f t="shared" si="43"/>
        <v>73.375</v>
      </c>
      <c r="G170" s="21">
        <f>INDEX('Life Tables'!$F$8:$F$123,MATCH(Engine!F170,'Life Tables'!$B$8:$B$123,1))</f>
        <v>1.8735911846904374E-3</v>
      </c>
      <c r="H170" s="8">
        <f t="shared" si="44"/>
        <v>0.63940415293635666</v>
      </c>
      <c r="I170">
        <f t="shared" si="45"/>
        <v>1</v>
      </c>
      <c r="K170" s="22" t="e">
        <f>$I170*IF($E170&gt;_xlfn.AGGREGATE(4,6,'KM Data'!$B$6:$B$310),NA(),INDEX('KM Data'!$C$6:$C$310,MATCH($E170,'KM Data'!$B$6:$B$310,1)))</f>
        <v>#N/A</v>
      </c>
      <c r="L170" s="21">
        <f t="shared" si="46"/>
        <v>5.7390127768585986E-2</v>
      </c>
      <c r="M170" s="20">
        <f t="shared" si="49"/>
        <v>8.194167492758142E-3</v>
      </c>
      <c r="N170" s="21">
        <f t="shared" si="57"/>
        <v>5.7390127768585986E-2</v>
      </c>
      <c r="O170" s="21">
        <f t="shared" si="58"/>
        <v>0.84077872404490828</v>
      </c>
      <c r="P170" s="21">
        <f t="shared" si="59"/>
        <v>5.7390127768585986E-2</v>
      </c>
      <c r="R170" s="22" t="e">
        <f>$I170*IF($E170&gt;_xlfn.AGGREGATE(4,6,'KM Data'!$E$6:$E$205),NA(),INDEX('KM Data'!$F$6:$F$205,MATCH($E170,'KM Data'!$E$6:$E$205,1)))</f>
        <v>#N/A</v>
      </c>
      <c r="S170" s="21">
        <f t="shared" si="47"/>
        <v>0.19222933273604426</v>
      </c>
      <c r="T170" s="8">
        <f t="shared" si="50"/>
        <v>5.1206357554367532E-3</v>
      </c>
      <c r="U170" s="21">
        <f t="shared" si="60"/>
        <v>0.19222933273604426</v>
      </c>
      <c r="V170" s="21">
        <f t="shared" si="61"/>
        <v>0.84077872404490828</v>
      </c>
      <c r="W170" s="21">
        <f t="shared" si="62"/>
        <v>0.19222933273604426</v>
      </c>
      <c r="Y170" s="23">
        <f t="shared" si="51"/>
        <v>5.7390127768585986E-2</v>
      </c>
      <c r="Z170" s="6">
        <f t="shared" si="52"/>
        <v>0.13483920496745827</v>
      </c>
      <c r="AA170" s="6">
        <f t="shared" si="53"/>
        <v>0.80777066726395574</v>
      </c>
      <c r="AB170" s="6">
        <f t="shared" si="54"/>
        <v>1</v>
      </c>
    </row>
    <row r="171" spans="1:28" x14ac:dyDescent="0.35">
      <c r="A171">
        <v>162</v>
      </c>
      <c r="B171" s="17">
        <f t="shared" si="55"/>
        <v>4900.4375</v>
      </c>
      <c r="C171" s="17">
        <f t="shared" si="48"/>
        <v>4930.875</v>
      </c>
      <c r="D171" s="17">
        <f t="shared" si="56"/>
        <v>4915.65625</v>
      </c>
      <c r="E171" s="17">
        <f t="shared" si="42"/>
        <v>161.5</v>
      </c>
      <c r="F171" s="17">
        <f t="shared" si="43"/>
        <v>73.458333333333329</v>
      </c>
      <c r="G171" s="21">
        <f>INDEX('Life Tables'!$F$8:$F$123,MATCH(Engine!F171,'Life Tables'!$B$8:$B$123,1))</f>
        <v>1.8735911846904374E-3</v>
      </c>
      <c r="H171" s="8">
        <f t="shared" si="44"/>
        <v>0.63940415293635666</v>
      </c>
      <c r="I171">
        <f t="shared" si="45"/>
        <v>1</v>
      </c>
      <c r="K171" s="22" t="e">
        <f>$I171*IF($E171&gt;_xlfn.AGGREGATE(4,6,'KM Data'!$B$6:$B$310),NA(),INDEX('KM Data'!$C$6:$C$310,MATCH($E171,'KM Data'!$B$6:$B$310,1)))</f>
        <v>#N/A</v>
      </c>
      <c r="L171" s="21">
        <f t="shared" si="46"/>
        <v>5.6919863449219399E-2</v>
      </c>
      <c r="M171" s="20">
        <f t="shared" si="49"/>
        <v>8.1579578055992474E-3</v>
      </c>
      <c r="N171" s="21">
        <f t="shared" si="57"/>
        <v>5.6919863449219399E-2</v>
      </c>
      <c r="O171" s="21">
        <f t="shared" si="58"/>
        <v>0.83920344843926242</v>
      </c>
      <c r="P171" s="21">
        <f t="shared" si="59"/>
        <v>5.6919863449219399E-2</v>
      </c>
      <c r="R171" s="22" t="e">
        <f>$I171*IF($E171&gt;_xlfn.AGGREGATE(4,6,'KM Data'!$E$6:$E$205),NA(),INDEX('KM Data'!$F$6:$F$205,MATCH($E171,'KM Data'!$E$6:$E$205,1)))</f>
        <v>#N/A</v>
      </c>
      <c r="S171" s="21">
        <f t="shared" si="47"/>
        <v>0.19124499634159231</v>
      </c>
      <c r="T171" s="8">
        <f t="shared" si="50"/>
        <v>5.0991810041153274E-3</v>
      </c>
      <c r="U171" s="21">
        <f t="shared" si="60"/>
        <v>0.19124499634159231</v>
      </c>
      <c r="V171" s="21">
        <f t="shared" si="61"/>
        <v>0.83920344843926242</v>
      </c>
      <c r="W171" s="21">
        <f t="shared" si="62"/>
        <v>0.19124499634159231</v>
      </c>
      <c r="Y171" s="23">
        <f t="shared" si="51"/>
        <v>5.6919863449219399E-2</v>
      </c>
      <c r="Z171" s="6">
        <f t="shared" si="52"/>
        <v>0.13432513289237291</v>
      </c>
      <c r="AA171" s="6">
        <f t="shared" si="53"/>
        <v>0.80875500365840769</v>
      </c>
      <c r="AB171" s="6">
        <f t="shared" si="54"/>
        <v>1</v>
      </c>
    </row>
    <row r="172" spans="1:28" x14ac:dyDescent="0.35">
      <c r="A172">
        <v>163</v>
      </c>
      <c r="B172" s="17">
        <f t="shared" si="55"/>
        <v>4930.875</v>
      </c>
      <c r="C172" s="17">
        <f t="shared" si="48"/>
        <v>4961.3125</v>
      </c>
      <c r="D172" s="17">
        <f t="shared" si="56"/>
        <v>4946.09375</v>
      </c>
      <c r="E172" s="17">
        <f t="shared" si="42"/>
        <v>162.5</v>
      </c>
      <c r="F172" s="17">
        <f t="shared" si="43"/>
        <v>73.541666666666671</v>
      </c>
      <c r="G172" s="21">
        <f>INDEX('Life Tables'!$F$8:$F$123,MATCH(Engine!F172,'Life Tables'!$B$8:$B$123,1))</f>
        <v>1.8735911846904374E-3</v>
      </c>
      <c r="H172" s="8">
        <f t="shared" si="44"/>
        <v>0.63940415293635666</v>
      </c>
      <c r="I172">
        <f t="shared" si="45"/>
        <v>1</v>
      </c>
      <c r="K172" s="22" t="e">
        <f>$I172*IF($E172&gt;_xlfn.AGGREGATE(4,6,'KM Data'!$B$6:$B$310),NA(),INDEX('KM Data'!$C$6:$C$310,MATCH($E172,'KM Data'!$B$6:$B$310,1)))</f>
        <v>#N/A</v>
      </c>
      <c r="L172" s="21">
        <f t="shared" si="46"/>
        <v>5.6455513604900198E-2</v>
      </c>
      <c r="M172" s="20">
        <f t="shared" si="49"/>
        <v>8.122109703392888E-3</v>
      </c>
      <c r="N172" s="21">
        <f t="shared" si="57"/>
        <v>5.6455513604900198E-2</v>
      </c>
      <c r="O172" s="21">
        <f t="shared" si="58"/>
        <v>0.83763112425610475</v>
      </c>
      <c r="P172" s="21">
        <f t="shared" si="59"/>
        <v>5.6455513604900198E-2</v>
      </c>
      <c r="R172" s="22" t="e">
        <f>$I172*IF($E172&gt;_xlfn.AGGREGATE(4,6,'KM Data'!$E$6:$E$205),NA(),INDEX('KM Data'!$F$6:$F$205,MATCH($E172,'KM Data'!$E$6:$E$205,1)))</f>
        <v>#N/A</v>
      </c>
      <c r="S172" s="21">
        <f t="shared" si="47"/>
        <v>0.19026980348911515</v>
      </c>
      <c r="T172" s="8">
        <f t="shared" si="50"/>
        <v>5.077933212654151E-3</v>
      </c>
      <c r="U172" s="21">
        <f t="shared" si="60"/>
        <v>0.19026980348911515</v>
      </c>
      <c r="V172" s="21">
        <f t="shared" si="61"/>
        <v>0.83763112425610475</v>
      </c>
      <c r="W172" s="21">
        <f t="shared" si="62"/>
        <v>0.19026980348911515</v>
      </c>
      <c r="Y172" s="23">
        <f t="shared" si="51"/>
        <v>5.6455513604900198E-2</v>
      </c>
      <c r="Z172" s="6">
        <f t="shared" si="52"/>
        <v>0.13381428988421495</v>
      </c>
      <c r="AA172" s="6">
        <f t="shared" si="53"/>
        <v>0.80973019651088485</v>
      </c>
      <c r="AB172" s="6">
        <f t="shared" si="54"/>
        <v>1</v>
      </c>
    </row>
    <row r="173" spans="1:28" x14ac:dyDescent="0.35">
      <c r="A173">
        <v>164</v>
      </c>
      <c r="B173" s="17">
        <f t="shared" si="55"/>
        <v>4961.3125</v>
      </c>
      <c r="C173" s="17">
        <f t="shared" si="48"/>
        <v>4991.75</v>
      </c>
      <c r="D173" s="17">
        <f t="shared" si="56"/>
        <v>4976.53125</v>
      </c>
      <c r="E173" s="17">
        <f t="shared" si="42"/>
        <v>163.5</v>
      </c>
      <c r="F173" s="17">
        <f t="shared" si="43"/>
        <v>73.625</v>
      </c>
      <c r="G173" s="21">
        <f>INDEX('Life Tables'!$F$8:$F$123,MATCH(Engine!F173,'Life Tables'!$B$8:$B$123,1))</f>
        <v>1.8735911846904374E-3</v>
      </c>
      <c r="H173" s="8">
        <f t="shared" si="44"/>
        <v>0.63940415293635666</v>
      </c>
      <c r="I173">
        <f t="shared" si="45"/>
        <v>1</v>
      </c>
      <c r="K173" s="22" t="e">
        <f>$I173*IF($E173&gt;_xlfn.AGGREGATE(4,6,'KM Data'!$B$6:$B$310),NA(),INDEX('KM Data'!$C$6:$C$310,MATCH($E173,'KM Data'!$B$6:$B$310,1)))</f>
        <v>#N/A</v>
      </c>
      <c r="L173" s="21">
        <f t="shared" si="46"/>
        <v>5.5996975730039811E-2</v>
      </c>
      <c r="M173" s="20">
        <f t="shared" si="49"/>
        <v>8.0866175305788213E-3</v>
      </c>
      <c r="N173" s="21">
        <f t="shared" si="57"/>
        <v>5.5996975730039811E-2</v>
      </c>
      <c r="O173" s="21">
        <f t="shared" si="58"/>
        <v>0.83606174596567617</v>
      </c>
      <c r="P173" s="21">
        <f t="shared" si="59"/>
        <v>5.5996975730039811E-2</v>
      </c>
      <c r="R173" s="22" t="e">
        <f>$I173*IF($E173&gt;_xlfn.AGGREGATE(4,6,'KM Data'!$E$6:$E$205),NA(),INDEX('KM Data'!$F$6:$F$205,MATCH($E173,'KM Data'!$E$6:$E$205,1)))</f>
        <v>#N/A</v>
      </c>
      <c r="S173" s="21">
        <f t="shared" si="47"/>
        <v>0.1893036261346126</v>
      </c>
      <c r="T173" s="8">
        <f t="shared" si="50"/>
        <v>5.0568892301821045E-3</v>
      </c>
      <c r="U173" s="21">
        <f t="shared" si="60"/>
        <v>0.1893036261346126</v>
      </c>
      <c r="V173" s="21">
        <f t="shared" si="61"/>
        <v>0.83606174596567617</v>
      </c>
      <c r="W173" s="21">
        <f t="shared" si="62"/>
        <v>0.1893036261346126</v>
      </c>
      <c r="Y173" s="23">
        <f t="shared" si="51"/>
        <v>5.5996975730039811E-2</v>
      </c>
      <c r="Z173" s="6">
        <f t="shared" si="52"/>
        <v>0.13330665040457279</v>
      </c>
      <c r="AA173" s="6">
        <f t="shared" si="53"/>
        <v>0.8106963738653874</v>
      </c>
      <c r="AB173" s="6">
        <f t="shared" si="54"/>
        <v>1</v>
      </c>
    </row>
    <row r="174" spans="1:28" x14ac:dyDescent="0.35">
      <c r="A174">
        <v>165</v>
      </c>
      <c r="B174" s="17">
        <f t="shared" si="55"/>
        <v>4991.75</v>
      </c>
      <c r="C174" s="17">
        <f t="shared" si="48"/>
        <v>5022.1875</v>
      </c>
      <c r="D174" s="17">
        <f t="shared" si="56"/>
        <v>5006.96875</v>
      </c>
      <c r="E174" s="17">
        <f t="shared" si="42"/>
        <v>164.5</v>
      </c>
      <c r="F174" s="17">
        <f t="shared" si="43"/>
        <v>73.708333333333329</v>
      </c>
      <c r="G174" s="21">
        <f>INDEX('Life Tables'!$F$8:$F$123,MATCH(Engine!F174,'Life Tables'!$B$8:$B$123,1))</f>
        <v>1.8735911846904374E-3</v>
      </c>
      <c r="H174" s="8">
        <f t="shared" si="44"/>
        <v>0.63940415293635666</v>
      </c>
      <c r="I174">
        <f t="shared" si="45"/>
        <v>1</v>
      </c>
      <c r="K174" s="22" t="e">
        <f>$I174*IF($E174&gt;_xlfn.AGGREGATE(4,6,'KM Data'!$B$6:$B$310),NA(),INDEX('KM Data'!$C$6:$C$310,MATCH($E174,'KM Data'!$B$6:$B$310,1)))</f>
        <v>#N/A</v>
      </c>
      <c r="L174" s="21">
        <f t="shared" si="46"/>
        <v>5.5544149604441873E-2</v>
      </c>
      <c r="M174" s="20">
        <f t="shared" si="49"/>
        <v>8.0514757520234737E-3</v>
      </c>
      <c r="N174" s="21">
        <f t="shared" si="57"/>
        <v>5.5544149604441873E-2</v>
      </c>
      <c r="O174" s="21">
        <f t="shared" si="58"/>
        <v>0.83449530804857797</v>
      </c>
      <c r="P174" s="21">
        <f t="shared" si="59"/>
        <v>5.5544149604441873E-2</v>
      </c>
      <c r="R174" s="22" t="e">
        <f>$I174*IF($E174&gt;_xlfn.AGGREGATE(4,6,'KM Data'!$E$6:$E$205),NA(),INDEX('KM Data'!$F$6:$F$205,MATCH($E174,'KM Data'!$E$6:$E$205,1)))</f>
        <v>#N/A</v>
      </c>
      <c r="S174" s="21">
        <f t="shared" si="47"/>
        <v>0.18834633866637807</v>
      </c>
      <c r="T174" s="8">
        <f t="shared" si="50"/>
        <v>5.0360459714120509E-3</v>
      </c>
      <c r="U174" s="21">
        <f t="shared" si="60"/>
        <v>0.18834633866637807</v>
      </c>
      <c r="V174" s="21">
        <f t="shared" si="61"/>
        <v>0.83449530804857797</v>
      </c>
      <c r="W174" s="21">
        <f t="shared" si="62"/>
        <v>0.18834633866637807</v>
      </c>
      <c r="Y174" s="23">
        <f t="shared" si="51"/>
        <v>5.5544149604441873E-2</v>
      </c>
      <c r="Z174" s="6">
        <f t="shared" si="52"/>
        <v>0.13280218906193619</v>
      </c>
      <c r="AA174" s="6">
        <f t="shared" si="53"/>
        <v>0.81165366133362193</v>
      </c>
      <c r="AB174" s="6">
        <f t="shared" si="54"/>
        <v>1</v>
      </c>
    </row>
    <row r="175" spans="1:28" x14ac:dyDescent="0.35">
      <c r="A175">
        <v>166</v>
      </c>
      <c r="B175" s="17">
        <f t="shared" si="55"/>
        <v>5022.1875</v>
      </c>
      <c r="C175" s="17">
        <f t="shared" si="48"/>
        <v>5052.625</v>
      </c>
      <c r="D175" s="17">
        <f t="shared" si="56"/>
        <v>5037.40625</v>
      </c>
      <c r="E175" s="17">
        <f t="shared" si="42"/>
        <v>165.5</v>
      </c>
      <c r="F175" s="17">
        <f t="shared" si="43"/>
        <v>73.791666666666671</v>
      </c>
      <c r="G175" s="21">
        <f>INDEX('Life Tables'!$F$8:$F$123,MATCH(Engine!F175,'Life Tables'!$B$8:$B$123,1))</f>
        <v>1.8735911846904374E-3</v>
      </c>
      <c r="H175" s="8">
        <f t="shared" si="44"/>
        <v>0.63940415293635666</v>
      </c>
      <c r="I175">
        <f t="shared" si="45"/>
        <v>1</v>
      </c>
      <c r="K175" s="22" t="e">
        <f>$I175*IF($E175&gt;_xlfn.AGGREGATE(4,6,'KM Data'!$B$6:$B$310),NA(),INDEX('KM Data'!$C$6:$C$310,MATCH($E175,'KM Data'!$B$6:$B$310,1)))</f>
        <v>#N/A</v>
      </c>
      <c r="L175" s="21">
        <f t="shared" si="46"/>
        <v>5.5096937230734944E-2</v>
      </c>
      <c r="M175" s="20">
        <f t="shared" si="49"/>
        <v>8.0166789497846391E-3</v>
      </c>
      <c r="N175" s="21">
        <f t="shared" si="57"/>
        <v>5.5096937230734944E-2</v>
      </c>
      <c r="O175" s="21">
        <f t="shared" si="58"/>
        <v>0.83293180499575259</v>
      </c>
      <c r="P175" s="21">
        <f t="shared" si="59"/>
        <v>5.5096937230734944E-2</v>
      </c>
      <c r="R175" s="22" t="e">
        <f>$I175*IF($E175&gt;_xlfn.AGGREGATE(4,6,'KM Data'!$E$6:$E$205),NA(),INDEX('KM Data'!$F$6:$F$205,MATCH($E175,'KM Data'!$E$6:$E$205,1)))</f>
        <v>#N/A</v>
      </c>
      <c r="S175" s="21">
        <f t="shared" si="47"/>
        <v>0.18739781784630705</v>
      </c>
      <c r="T175" s="8">
        <f t="shared" si="50"/>
        <v>5.0154004149115528E-3</v>
      </c>
      <c r="U175" s="21">
        <f t="shared" si="60"/>
        <v>0.18739781784630705</v>
      </c>
      <c r="V175" s="21">
        <f t="shared" si="61"/>
        <v>0.83293180499575259</v>
      </c>
      <c r="W175" s="21">
        <f t="shared" si="62"/>
        <v>0.18739781784630705</v>
      </c>
      <c r="Y175" s="23">
        <f t="shared" si="51"/>
        <v>5.5096937230734944E-2</v>
      </c>
      <c r="Z175" s="6">
        <f t="shared" si="52"/>
        <v>0.1323008806155721</v>
      </c>
      <c r="AA175" s="6">
        <f t="shared" si="53"/>
        <v>0.81260218215369295</v>
      </c>
      <c r="AB175" s="6">
        <f t="shared" si="54"/>
        <v>1</v>
      </c>
    </row>
    <row r="176" spans="1:28" x14ac:dyDescent="0.35">
      <c r="A176">
        <v>167</v>
      </c>
      <c r="B176" s="17">
        <f t="shared" si="55"/>
        <v>5052.625</v>
      </c>
      <c r="C176" s="17">
        <f t="shared" si="48"/>
        <v>5083.0625</v>
      </c>
      <c r="D176" s="17">
        <f t="shared" si="56"/>
        <v>5067.84375</v>
      </c>
      <c r="E176" s="17">
        <f t="shared" si="42"/>
        <v>166.5</v>
      </c>
      <c r="F176" s="17">
        <f t="shared" si="43"/>
        <v>73.875</v>
      </c>
      <c r="G176" s="21">
        <f>INDEX('Life Tables'!$F$8:$F$123,MATCH(Engine!F176,'Life Tables'!$B$8:$B$123,1))</f>
        <v>1.8735911846904374E-3</v>
      </c>
      <c r="H176" s="8">
        <f t="shared" si="44"/>
        <v>0.63940415293635666</v>
      </c>
      <c r="I176">
        <f t="shared" si="45"/>
        <v>1</v>
      </c>
      <c r="K176" s="22" t="e">
        <f>$I176*IF($E176&gt;_xlfn.AGGREGATE(4,6,'KM Data'!$B$6:$B$310),NA(),INDEX('KM Data'!$C$6:$C$310,MATCH($E176,'KM Data'!$B$6:$B$310,1)))</f>
        <v>#N/A</v>
      </c>
      <c r="L176" s="21">
        <f t="shared" si="46"/>
        <v>5.4655242773839707E-2</v>
      </c>
      <c r="M176" s="20">
        <f t="shared" si="49"/>
        <v>7.9822218199639972E-3</v>
      </c>
      <c r="N176" s="21">
        <f t="shared" si="57"/>
        <v>5.4655242773839707E-2</v>
      </c>
      <c r="O176" s="21">
        <f t="shared" si="58"/>
        <v>0.83137123130846424</v>
      </c>
      <c r="P176" s="21">
        <f t="shared" si="59"/>
        <v>5.4655242773839707E-2</v>
      </c>
      <c r="R176" s="22" t="e">
        <f>$I176*IF($E176&gt;_xlfn.AGGREGATE(4,6,'KM Data'!$E$6:$E$205),NA(),INDEX('KM Data'!$F$6:$F$205,MATCH($E176,'KM Data'!$E$6:$E$205,1)))</f>
        <v>#N/A</v>
      </c>
      <c r="S176" s="21">
        <f t="shared" si="47"/>
        <v>0.18645794275292715</v>
      </c>
      <c r="T176" s="8">
        <f t="shared" si="50"/>
        <v>4.9949496014237704E-3</v>
      </c>
      <c r="U176" s="21">
        <f t="shared" si="60"/>
        <v>0.18645794275292715</v>
      </c>
      <c r="V176" s="21">
        <f t="shared" si="61"/>
        <v>0.83137123130846424</v>
      </c>
      <c r="W176" s="21">
        <f t="shared" si="62"/>
        <v>0.18645794275292715</v>
      </c>
      <c r="Y176" s="23">
        <f t="shared" si="51"/>
        <v>5.4655242773839707E-2</v>
      </c>
      <c r="Z176" s="6">
        <f t="shared" si="52"/>
        <v>0.13180269997908745</v>
      </c>
      <c r="AA176" s="6">
        <f t="shared" si="53"/>
        <v>0.81354205724707285</v>
      </c>
      <c r="AB176" s="6">
        <f t="shared" si="54"/>
        <v>1</v>
      </c>
    </row>
    <row r="177" spans="1:28" x14ac:dyDescent="0.35">
      <c r="A177">
        <v>168</v>
      </c>
      <c r="B177" s="17">
        <f t="shared" si="55"/>
        <v>5083.0625</v>
      </c>
      <c r="C177" s="17">
        <f t="shared" si="48"/>
        <v>5113.5</v>
      </c>
      <c r="D177" s="17">
        <f t="shared" si="56"/>
        <v>5098.28125</v>
      </c>
      <c r="E177" s="17">
        <f t="shared" si="42"/>
        <v>167.5</v>
      </c>
      <c r="F177" s="17">
        <f t="shared" si="43"/>
        <v>73.958333333333329</v>
      </c>
      <c r="G177" s="21">
        <f>INDEX('Life Tables'!$F$8:$F$123,MATCH(Engine!F177,'Life Tables'!$B$8:$B$123,1))</f>
        <v>1.8735911846904374E-3</v>
      </c>
      <c r="H177" s="8">
        <f t="shared" si="44"/>
        <v>0.61778179027667302</v>
      </c>
      <c r="I177">
        <f t="shared" si="45"/>
        <v>1</v>
      </c>
      <c r="K177" s="22" t="e">
        <f>$I177*IF($E177&gt;_xlfn.AGGREGATE(4,6,'KM Data'!$B$6:$B$310),NA(),INDEX('KM Data'!$C$6:$C$310,MATCH($E177,'KM Data'!$B$6:$B$310,1)))</f>
        <v>#N/A</v>
      </c>
      <c r="L177" s="21">
        <f t="shared" si="46"/>
        <v>5.4218972502394935E-2</v>
      </c>
      <c r="M177" s="20">
        <f t="shared" si="49"/>
        <v>7.948099169682421E-3</v>
      </c>
      <c r="N177" s="21">
        <f t="shared" si="57"/>
        <v>5.4218972502394935E-2</v>
      </c>
      <c r="O177" s="21">
        <f t="shared" si="58"/>
        <v>0.82981358149827944</v>
      </c>
      <c r="P177" s="21">
        <f t="shared" si="59"/>
        <v>5.4218972502394935E-2</v>
      </c>
      <c r="R177" s="22" t="e">
        <f>$I177*IF($E177&gt;_xlfn.AGGREGATE(4,6,'KM Data'!$E$6:$E$205),NA(),INDEX('KM Data'!$F$6:$F$205,MATCH($E177,'KM Data'!$E$6:$E$205,1)))</f>
        <v>#N/A</v>
      </c>
      <c r="S177" s="21">
        <f t="shared" si="47"/>
        <v>0.18552659472609112</v>
      </c>
      <c r="T177" s="8">
        <f t="shared" si="50"/>
        <v>4.9746906322541973E-3</v>
      </c>
      <c r="U177" s="21">
        <f t="shared" si="60"/>
        <v>0.18552659472609112</v>
      </c>
      <c r="V177" s="21">
        <f t="shared" si="61"/>
        <v>0.82981358149827944</v>
      </c>
      <c r="W177" s="21">
        <f t="shared" si="62"/>
        <v>0.18552659472609112</v>
      </c>
      <c r="Y177" s="23">
        <f t="shared" si="51"/>
        <v>5.4218972502394935E-2</v>
      </c>
      <c r="Z177" s="6">
        <f t="shared" si="52"/>
        <v>0.13130762222369619</v>
      </c>
      <c r="AA177" s="6">
        <f t="shared" si="53"/>
        <v>0.81447340527390888</v>
      </c>
      <c r="AB177" s="6">
        <f t="shared" si="54"/>
        <v>1</v>
      </c>
    </row>
    <row r="178" spans="1:28" x14ac:dyDescent="0.35">
      <c r="A178">
        <v>169</v>
      </c>
      <c r="B178" s="17">
        <f t="shared" si="55"/>
        <v>5113.5</v>
      </c>
      <c r="C178" s="17">
        <f t="shared" si="48"/>
        <v>5143.9375</v>
      </c>
      <c r="D178" s="17">
        <f t="shared" si="56"/>
        <v>5128.71875</v>
      </c>
      <c r="E178" s="17">
        <f t="shared" si="42"/>
        <v>168.5</v>
      </c>
      <c r="F178" s="17">
        <f t="shared" si="43"/>
        <v>74.041666666666671</v>
      </c>
      <c r="G178" s="21">
        <f>INDEX('Life Tables'!$F$8:$F$123,MATCH(Engine!F178,'Life Tables'!$B$8:$B$123,1))</f>
        <v>2.041824306980744E-3</v>
      </c>
      <c r="H178" s="8">
        <f t="shared" si="44"/>
        <v>0.61778179027667302</v>
      </c>
      <c r="I178">
        <f t="shared" si="45"/>
        <v>1</v>
      </c>
      <c r="K178" s="22" t="e">
        <f>$I178*IF($E178&gt;_xlfn.AGGREGATE(4,6,'KM Data'!$B$6:$B$310),NA(),INDEX('KM Data'!$C$6:$C$310,MATCH($E178,'KM Data'!$B$6:$B$310,1)))</f>
        <v>#N/A</v>
      </c>
      <c r="L178" s="21">
        <f t="shared" si="46"/>
        <v>5.3788034732067613E-2</v>
      </c>
      <c r="M178" s="20">
        <f t="shared" si="49"/>
        <v>7.9143059141281169E-3</v>
      </c>
      <c r="N178" s="21">
        <f t="shared" si="57"/>
        <v>5.3788034732067613E-2</v>
      </c>
      <c r="O178" s="21">
        <f t="shared" si="58"/>
        <v>0.82825885008704792</v>
      </c>
      <c r="P178" s="21">
        <f t="shared" si="59"/>
        <v>5.3788034732067613E-2</v>
      </c>
      <c r="R178" s="22" t="e">
        <f>$I178*IF($E178&gt;_xlfn.AGGREGATE(4,6,'KM Data'!$E$6:$E$205),NA(),INDEX('KM Data'!$F$6:$F$205,MATCH($E178,'KM Data'!$E$6:$E$205,1)))</f>
        <v>#N/A</v>
      </c>
      <c r="S178" s="21">
        <f t="shared" si="47"/>
        <v>0.18460365731327322</v>
      </c>
      <c r="T178" s="8">
        <f t="shared" si="50"/>
        <v>4.9546206676904792E-3</v>
      </c>
      <c r="U178" s="21">
        <f t="shared" si="60"/>
        <v>0.18460365731327322</v>
      </c>
      <c r="V178" s="21">
        <f t="shared" si="61"/>
        <v>0.82825885008704792</v>
      </c>
      <c r="W178" s="21">
        <f t="shared" si="62"/>
        <v>0.18460365731327322</v>
      </c>
      <c r="Y178" s="23">
        <f t="shared" si="51"/>
        <v>5.3788034732067613E-2</v>
      </c>
      <c r="Z178" s="6">
        <f t="shared" si="52"/>
        <v>0.1308156225812056</v>
      </c>
      <c r="AA178" s="6">
        <f t="shared" si="53"/>
        <v>0.81539634268672678</v>
      </c>
      <c r="AB178" s="6">
        <f t="shared" si="54"/>
        <v>1</v>
      </c>
    </row>
    <row r="179" spans="1:28" x14ac:dyDescent="0.35">
      <c r="A179">
        <v>170</v>
      </c>
      <c r="B179" s="17">
        <f t="shared" si="55"/>
        <v>5143.9375</v>
      </c>
      <c r="C179" s="17">
        <f t="shared" si="48"/>
        <v>5174.375</v>
      </c>
      <c r="D179" s="17">
        <f t="shared" si="56"/>
        <v>5159.15625</v>
      </c>
      <c r="E179" s="17">
        <f t="shared" si="42"/>
        <v>169.5</v>
      </c>
      <c r="F179" s="17">
        <f t="shared" si="43"/>
        <v>74.125</v>
      </c>
      <c r="G179" s="21">
        <f>INDEX('Life Tables'!$F$8:$F$123,MATCH(Engine!F179,'Life Tables'!$B$8:$B$123,1))</f>
        <v>2.041824306980744E-3</v>
      </c>
      <c r="H179" s="8">
        <f t="shared" si="44"/>
        <v>0.61778179027667302</v>
      </c>
      <c r="I179">
        <f t="shared" si="45"/>
        <v>1</v>
      </c>
      <c r="K179" s="22" t="e">
        <f>$I179*IF($E179&gt;_xlfn.AGGREGATE(4,6,'KM Data'!$B$6:$B$310),NA(),INDEX('KM Data'!$C$6:$C$310,MATCH($E179,'KM Data'!$B$6:$B$310,1)))</f>
        <v>#N/A</v>
      </c>
      <c r="L179" s="21">
        <f t="shared" si="46"/>
        <v>5.336233977067828E-2</v>
      </c>
      <c r="M179" s="20">
        <f t="shared" si="49"/>
        <v>7.880837073744873E-3</v>
      </c>
      <c r="N179" s="21">
        <f t="shared" si="57"/>
        <v>5.336233977067828E-2</v>
      </c>
      <c r="O179" s="21">
        <f t="shared" si="58"/>
        <v>0.82656769103446825</v>
      </c>
      <c r="P179" s="21">
        <f t="shared" si="59"/>
        <v>5.336233977067828E-2</v>
      </c>
      <c r="R179" s="22" t="e">
        <f>$I179*IF($E179&gt;_xlfn.AGGREGATE(4,6,'KM Data'!$E$6:$E$205),NA(),INDEX('KM Data'!$F$6:$F$205,MATCH($E179,'KM Data'!$E$6:$E$205,1)))</f>
        <v>#N/A</v>
      </c>
      <c r="S179" s="21">
        <f t="shared" si="47"/>
        <v>0.18368901621741762</v>
      </c>
      <c r="T179" s="8">
        <f t="shared" si="50"/>
        <v>4.9347369254875151E-3</v>
      </c>
      <c r="U179" s="21">
        <f t="shared" si="60"/>
        <v>0.18368901621741762</v>
      </c>
      <c r="V179" s="21">
        <f t="shared" si="61"/>
        <v>0.82656769103446825</v>
      </c>
      <c r="W179" s="21">
        <f t="shared" si="62"/>
        <v>0.18368901621741762</v>
      </c>
      <c r="Y179" s="23">
        <f t="shared" si="51"/>
        <v>5.336233977067828E-2</v>
      </c>
      <c r="Z179" s="6">
        <f t="shared" si="52"/>
        <v>0.13032667644673934</v>
      </c>
      <c r="AA179" s="6">
        <f t="shared" si="53"/>
        <v>0.81631098378258238</v>
      </c>
      <c r="AB179" s="6">
        <f t="shared" si="54"/>
        <v>1</v>
      </c>
    </row>
    <row r="180" spans="1:28" x14ac:dyDescent="0.35">
      <c r="A180">
        <v>171</v>
      </c>
      <c r="B180" s="17">
        <f t="shared" si="55"/>
        <v>5174.375</v>
      </c>
      <c r="C180" s="17">
        <f t="shared" si="48"/>
        <v>5204.8125</v>
      </c>
      <c r="D180" s="17">
        <f t="shared" si="56"/>
        <v>5189.59375</v>
      </c>
      <c r="E180" s="17">
        <f t="shared" si="42"/>
        <v>170.5</v>
      </c>
      <c r="F180" s="17">
        <f t="shared" si="43"/>
        <v>74.208333333333329</v>
      </c>
      <c r="G180" s="21">
        <f>INDEX('Life Tables'!$F$8:$F$123,MATCH(Engine!F180,'Life Tables'!$B$8:$B$123,1))</f>
        <v>2.041824306980744E-3</v>
      </c>
      <c r="H180" s="8">
        <f t="shared" si="44"/>
        <v>0.61778179027667302</v>
      </c>
      <c r="I180">
        <f t="shared" si="45"/>
        <v>1</v>
      </c>
      <c r="K180" s="22" t="e">
        <f>$I180*IF($E180&gt;_xlfn.AGGREGATE(4,6,'KM Data'!$B$6:$B$310),NA(),INDEX('KM Data'!$C$6:$C$310,MATCH($E180,'KM Data'!$B$6:$B$310,1)))</f>
        <v>#N/A</v>
      </c>
      <c r="L180" s="21">
        <f t="shared" si="46"/>
        <v>5.2941799865071748E-2</v>
      </c>
      <c r="M180" s="20">
        <f t="shared" si="49"/>
        <v>7.8476877714297455E-3</v>
      </c>
      <c r="N180" s="21">
        <f t="shared" si="57"/>
        <v>5.2941799865071748E-2</v>
      </c>
      <c r="O180" s="21">
        <f t="shared" si="58"/>
        <v>0.82487998503154913</v>
      </c>
      <c r="P180" s="21">
        <f t="shared" si="59"/>
        <v>5.2941799865071748E-2</v>
      </c>
      <c r="R180" s="22" t="e">
        <f>$I180*IF($E180&gt;_xlfn.AGGREGATE(4,6,'KM Data'!$E$6:$E$205),NA(),INDEX('KM Data'!$F$6:$F$205,MATCH($E180,'KM Data'!$E$6:$E$205,1)))</f>
        <v>#N/A</v>
      </c>
      <c r="S180" s="21">
        <f t="shared" si="47"/>
        <v>0.18278255924628306</v>
      </c>
      <c r="T180" s="8">
        <f t="shared" si="50"/>
        <v>4.9150366793861977E-3</v>
      </c>
      <c r="U180" s="21">
        <f t="shared" si="60"/>
        <v>0.18278255924628306</v>
      </c>
      <c r="V180" s="21">
        <f t="shared" si="61"/>
        <v>0.82487998503154913</v>
      </c>
      <c r="W180" s="21">
        <f t="shared" si="62"/>
        <v>0.18278255924628306</v>
      </c>
      <c r="Y180" s="23">
        <f t="shared" si="51"/>
        <v>5.2941799865071748E-2</v>
      </c>
      <c r="Z180" s="6">
        <f t="shared" si="52"/>
        <v>0.12984075938121131</v>
      </c>
      <c r="AA180" s="6">
        <f t="shared" si="53"/>
        <v>0.81721744075371694</v>
      </c>
      <c r="AB180" s="6">
        <f t="shared" si="54"/>
        <v>1</v>
      </c>
    </row>
    <row r="181" spans="1:28" x14ac:dyDescent="0.35">
      <c r="A181">
        <v>172</v>
      </c>
      <c r="B181" s="17">
        <f t="shared" si="55"/>
        <v>5204.8125</v>
      </c>
      <c r="C181" s="17">
        <f t="shared" si="48"/>
        <v>5235.25</v>
      </c>
      <c r="D181" s="17">
        <f t="shared" si="56"/>
        <v>5220.03125</v>
      </c>
      <c r="E181" s="17">
        <f t="shared" si="42"/>
        <v>171.5</v>
      </c>
      <c r="F181" s="17">
        <f t="shared" si="43"/>
        <v>74.291666666666671</v>
      </c>
      <c r="G181" s="21">
        <f>INDEX('Life Tables'!$F$8:$F$123,MATCH(Engine!F181,'Life Tables'!$B$8:$B$123,1))</f>
        <v>2.041824306980744E-3</v>
      </c>
      <c r="H181" s="8">
        <f t="shared" si="44"/>
        <v>0.61778179027667302</v>
      </c>
      <c r="I181">
        <f t="shared" si="45"/>
        <v>1</v>
      </c>
      <c r="K181" s="22" t="e">
        <f>$I181*IF($E181&gt;_xlfn.AGGREGATE(4,6,'KM Data'!$B$6:$B$310),NA(),INDEX('KM Data'!$C$6:$C$310,MATCH($E181,'KM Data'!$B$6:$B$310,1)))</f>
        <v>#N/A</v>
      </c>
      <c r="L181" s="21">
        <f t="shared" si="46"/>
        <v>5.2526329149673145E-2</v>
      </c>
      <c r="M181" s="20">
        <f t="shared" si="49"/>
        <v>7.8148532299177065E-3</v>
      </c>
      <c r="N181" s="21">
        <f t="shared" si="57"/>
        <v>5.2526329149673145E-2</v>
      </c>
      <c r="O181" s="21">
        <f t="shared" si="58"/>
        <v>0.82319572502776983</v>
      </c>
      <c r="P181" s="21">
        <f t="shared" si="59"/>
        <v>5.2526329149673145E-2</v>
      </c>
      <c r="R181" s="22" t="e">
        <f>$I181*IF($E181&gt;_xlfn.AGGREGATE(4,6,'KM Data'!$E$6:$E$205),NA(),INDEX('KM Data'!$F$6:$F$205,MATCH($E181,'KM Data'!$E$6:$E$205,1)))</f>
        <v>#N/A</v>
      </c>
      <c r="S181" s="21">
        <f t="shared" si="47"/>
        <v>0.1818841762632355</v>
      </c>
      <c r="T181" s="8">
        <f t="shared" si="50"/>
        <v>4.8955172576969908E-3</v>
      </c>
      <c r="U181" s="21">
        <f t="shared" si="60"/>
        <v>0.1818841762632355</v>
      </c>
      <c r="V181" s="21">
        <f t="shared" si="61"/>
        <v>0.82319572502776983</v>
      </c>
      <c r="W181" s="21">
        <f t="shared" si="62"/>
        <v>0.1818841762632355</v>
      </c>
      <c r="Y181" s="23">
        <f t="shared" si="51"/>
        <v>5.2526329149673145E-2</v>
      </c>
      <c r="Z181" s="6">
        <f t="shared" si="52"/>
        <v>0.12935784711356235</v>
      </c>
      <c r="AA181" s="6">
        <f t="shared" si="53"/>
        <v>0.8181158237367645</v>
      </c>
      <c r="AB181" s="6">
        <f t="shared" si="54"/>
        <v>1</v>
      </c>
    </row>
    <row r="182" spans="1:28" x14ac:dyDescent="0.35">
      <c r="A182">
        <v>173</v>
      </c>
      <c r="B182" s="17">
        <f t="shared" si="55"/>
        <v>5235.25</v>
      </c>
      <c r="C182" s="17">
        <f t="shared" si="48"/>
        <v>5265.6875</v>
      </c>
      <c r="D182" s="17">
        <f t="shared" si="56"/>
        <v>5250.46875</v>
      </c>
      <c r="E182" s="17">
        <f t="shared" si="42"/>
        <v>172.5</v>
      </c>
      <c r="F182" s="17">
        <f t="shared" si="43"/>
        <v>74.375</v>
      </c>
      <c r="G182" s="21">
        <f>INDEX('Life Tables'!$F$8:$F$123,MATCH(Engine!F182,'Life Tables'!$B$8:$B$123,1))</f>
        <v>2.041824306980744E-3</v>
      </c>
      <c r="H182" s="8">
        <f t="shared" si="44"/>
        <v>0.61778179027667302</v>
      </c>
      <c r="I182">
        <f t="shared" si="45"/>
        <v>1</v>
      </c>
      <c r="K182" s="22" t="e">
        <f>$I182*IF($E182&gt;_xlfn.AGGREGATE(4,6,'KM Data'!$B$6:$B$310),NA(),INDEX('KM Data'!$C$6:$C$310,MATCH($E182,'KM Data'!$B$6:$B$310,1)))</f>
        <v>#N/A</v>
      </c>
      <c r="L182" s="21">
        <f t="shared" si="46"/>
        <v>5.2115843596662104E-2</v>
      </c>
      <c r="M182" s="20">
        <f t="shared" si="49"/>
        <v>7.7823287691654031E-3</v>
      </c>
      <c r="N182" s="21">
        <f t="shared" si="57"/>
        <v>5.2115843596662104E-2</v>
      </c>
      <c r="O182" s="21">
        <f t="shared" si="58"/>
        <v>0.82151490398700544</v>
      </c>
      <c r="P182" s="21">
        <f t="shared" si="59"/>
        <v>5.2115843596662104E-2</v>
      </c>
      <c r="R182" s="22" t="e">
        <f>$I182*IF($E182&gt;_xlfn.AGGREGATE(4,6,'KM Data'!$E$6:$E$205),NA(),INDEX('KM Data'!$F$6:$F$205,MATCH($E182,'KM Data'!$E$6:$E$205,1)))</f>
        <v>#N/A</v>
      </c>
      <c r="S182" s="21">
        <f t="shared" si="47"/>
        <v>0.18099375913943683</v>
      </c>
      <c r="T182" s="8">
        <f t="shared" si="50"/>
        <v>4.8761760419036015E-3</v>
      </c>
      <c r="U182" s="21">
        <f t="shared" si="60"/>
        <v>0.18099375913943683</v>
      </c>
      <c r="V182" s="21">
        <f t="shared" si="61"/>
        <v>0.82151490398700544</v>
      </c>
      <c r="W182" s="21">
        <f t="shared" si="62"/>
        <v>0.18099375913943683</v>
      </c>
      <c r="Y182" s="23">
        <f t="shared" si="51"/>
        <v>5.2115843596662104E-2</v>
      </c>
      <c r="Z182" s="6">
        <f t="shared" si="52"/>
        <v>0.12887791554277472</v>
      </c>
      <c r="AA182" s="6">
        <f t="shared" si="53"/>
        <v>0.81900624086056317</v>
      </c>
      <c r="AB182" s="6">
        <f t="shared" si="54"/>
        <v>1</v>
      </c>
    </row>
    <row r="183" spans="1:28" x14ac:dyDescent="0.35">
      <c r="A183">
        <v>174</v>
      </c>
      <c r="B183" s="17">
        <f t="shared" si="55"/>
        <v>5265.6875</v>
      </c>
      <c r="C183" s="17">
        <f t="shared" si="48"/>
        <v>5296.125</v>
      </c>
      <c r="D183" s="17">
        <f t="shared" si="56"/>
        <v>5280.90625</v>
      </c>
      <c r="E183" s="17">
        <f t="shared" si="42"/>
        <v>173.5</v>
      </c>
      <c r="F183" s="17">
        <f t="shared" si="43"/>
        <v>74.458333333333329</v>
      </c>
      <c r="G183" s="21">
        <f>INDEX('Life Tables'!$F$8:$F$123,MATCH(Engine!F183,'Life Tables'!$B$8:$B$123,1))</f>
        <v>2.041824306980744E-3</v>
      </c>
      <c r="H183" s="8">
        <f t="shared" si="44"/>
        <v>0.61778179027667302</v>
      </c>
      <c r="I183">
        <f t="shared" si="45"/>
        <v>1</v>
      </c>
      <c r="K183" s="22" t="e">
        <f>$I183*IF($E183&gt;_xlfn.AGGREGATE(4,6,'KM Data'!$B$6:$B$310),NA(),INDEX('KM Data'!$C$6:$C$310,MATCH($E183,'KM Data'!$B$6:$B$310,1)))</f>
        <v>#N/A</v>
      </c>
      <c r="L183" s="21">
        <f t="shared" si="46"/>
        <v>5.1710260967710475E-2</v>
      </c>
      <c r="M183" s="20">
        <f t="shared" si="49"/>
        <v>7.7501098038611493E-3</v>
      </c>
      <c r="N183" s="21">
        <f t="shared" si="57"/>
        <v>5.1710260967710475E-2</v>
      </c>
      <c r="O183" s="21">
        <f t="shared" si="58"/>
        <v>0.81983751488749779</v>
      </c>
      <c r="P183" s="21">
        <f t="shared" si="59"/>
        <v>5.1710260967710475E-2</v>
      </c>
      <c r="R183" s="22" t="e">
        <f>$I183*IF($E183&gt;_xlfn.AGGREGATE(4,6,'KM Data'!$E$6:$E$205),NA(),INDEX('KM Data'!$F$6:$F$205,MATCH($E183,'KM Data'!$E$6:$E$205,1)))</f>
        <v>#N/A</v>
      </c>
      <c r="S183" s="21">
        <f t="shared" si="47"/>
        <v>0.18011120170738704</v>
      </c>
      <c r="T183" s="8">
        <f t="shared" si="50"/>
        <v>4.8570104653287149E-3</v>
      </c>
      <c r="U183" s="21">
        <f t="shared" si="60"/>
        <v>0.18011120170738704</v>
      </c>
      <c r="V183" s="21">
        <f t="shared" si="61"/>
        <v>0.81983751488749779</v>
      </c>
      <c r="W183" s="21">
        <f t="shared" si="62"/>
        <v>0.18011120170738704</v>
      </c>
      <c r="Y183" s="23">
        <f t="shared" si="51"/>
        <v>5.1710260967710475E-2</v>
      </c>
      <c r="Z183" s="6">
        <f t="shared" si="52"/>
        <v>0.12840094073967656</v>
      </c>
      <c r="AA183" s="6">
        <f t="shared" si="53"/>
        <v>0.81988879829261296</v>
      </c>
      <c r="AB183" s="6">
        <f t="shared" si="54"/>
        <v>1</v>
      </c>
    </row>
    <row r="184" spans="1:28" x14ac:dyDescent="0.35">
      <c r="A184">
        <v>175</v>
      </c>
      <c r="B184" s="17">
        <f t="shared" si="55"/>
        <v>5296.125</v>
      </c>
      <c r="C184" s="17">
        <f t="shared" si="48"/>
        <v>5326.5625</v>
      </c>
      <c r="D184" s="17">
        <f t="shared" si="56"/>
        <v>5311.34375</v>
      </c>
      <c r="E184" s="17">
        <f t="shared" si="42"/>
        <v>174.5</v>
      </c>
      <c r="F184" s="17">
        <f t="shared" si="43"/>
        <v>74.541666666666671</v>
      </c>
      <c r="G184" s="21">
        <f>INDEX('Life Tables'!$F$8:$F$123,MATCH(Engine!F184,'Life Tables'!$B$8:$B$123,1))</f>
        <v>2.041824306980744E-3</v>
      </c>
      <c r="H184" s="8">
        <f t="shared" si="44"/>
        <v>0.61778179027667302</v>
      </c>
      <c r="I184">
        <f t="shared" si="45"/>
        <v>1</v>
      </c>
      <c r="K184" s="22" t="e">
        <f>$I184*IF($E184&gt;_xlfn.AGGREGATE(4,6,'KM Data'!$B$6:$B$310),NA(),INDEX('KM Data'!$C$6:$C$310,MATCH($E184,'KM Data'!$B$6:$B$310,1)))</f>
        <v>#N/A</v>
      </c>
      <c r="L184" s="21">
        <f t="shared" si="46"/>
        <v>5.1309500767224403E-2</v>
      </c>
      <c r="M184" s="20">
        <f t="shared" si="49"/>
        <v>7.7181918410090811E-3</v>
      </c>
      <c r="N184" s="21">
        <f t="shared" si="57"/>
        <v>5.1309500767224403E-2</v>
      </c>
      <c r="O184" s="21">
        <f t="shared" si="58"/>
        <v>0.81816355072182578</v>
      </c>
      <c r="P184" s="21">
        <f t="shared" si="59"/>
        <v>5.1309500767224403E-2</v>
      </c>
      <c r="R184" s="22" t="e">
        <f>$I184*IF($E184&gt;_xlfn.AGGREGATE(4,6,'KM Data'!$E$6:$E$205),NA(),INDEX('KM Data'!$F$6:$F$205,MATCH($E184,'KM Data'!$E$6:$E$205,1)))</f>
        <v>#N/A</v>
      </c>
      <c r="S184" s="21">
        <f t="shared" si="47"/>
        <v>0.17923639971577132</v>
      </c>
      <c r="T184" s="8">
        <f t="shared" si="50"/>
        <v>4.838018011833034E-3</v>
      </c>
      <c r="U184" s="21">
        <f t="shared" si="60"/>
        <v>0.17923639971577132</v>
      </c>
      <c r="V184" s="21">
        <f t="shared" si="61"/>
        <v>0.81816355072182578</v>
      </c>
      <c r="W184" s="21">
        <f t="shared" si="62"/>
        <v>0.17923639971577132</v>
      </c>
      <c r="Y184" s="23">
        <f t="shared" si="51"/>
        <v>5.1309500767224403E-2</v>
      </c>
      <c r="Z184" s="6">
        <f t="shared" si="52"/>
        <v>0.12792689894854692</v>
      </c>
      <c r="AA184" s="6">
        <f t="shared" si="53"/>
        <v>0.82076360028422868</v>
      </c>
      <c r="AB184" s="6">
        <f t="shared" si="54"/>
        <v>1</v>
      </c>
    </row>
    <row r="185" spans="1:28" x14ac:dyDescent="0.35">
      <c r="A185">
        <v>176</v>
      </c>
      <c r="B185" s="17">
        <f t="shared" si="55"/>
        <v>5326.5625</v>
      </c>
      <c r="C185" s="17">
        <f t="shared" si="48"/>
        <v>5357</v>
      </c>
      <c r="D185" s="17">
        <f t="shared" si="56"/>
        <v>5341.78125</v>
      </c>
      <c r="E185" s="17">
        <f t="shared" si="42"/>
        <v>175.5</v>
      </c>
      <c r="F185" s="17">
        <f t="shared" si="43"/>
        <v>74.625</v>
      </c>
      <c r="G185" s="21">
        <f>INDEX('Life Tables'!$F$8:$F$123,MATCH(Engine!F185,'Life Tables'!$B$8:$B$123,1))</f>
        <v>2.041824306980744E-3</v>
      </c>
      <c r="H185" s="8">
        <f t="shared" si="44"/>
        <v>0.61778179027667302</v>
      </c>
      <c r="I185">
        <f t="shared" si="45"/>
        <v>1</v>
      </c>
      <c r="K185" s="22" t="e">
        <f>$I185*IF($E185&gt;_xlfn.AGGREGATE(4,6,'KM Data'!$B$6:$B$310),NA(),INDEX('KM Data'!$C$6:$C$310,MATCH($E185,'KM Data'!$B$6:$B$310,1)))</f>
        <v>#N/A</v>
      </c>
      <c r="L185" s="21">
        <f t="shared" si="46"/>
        <v>5.0913484197036563E-2</v>
      </c>
      <c r="M185" s="20">
        <f t="shared" si="49"/>
        <v>7.6865704775547217E-3</v>
      </c>
      <c r="N185" s="21">
        <f t="shared" si="57"/>
        <v>5.0913484197036563E-2</v>
      </c>
      <c r="O185" s="21">
        <f t="shared" si="58"/>
        <v>0.81649300449687634</v>
      </c>
      <c r="P185" s="21">
        <f t="shared" si="59"/>
        <v>5.0913484197036563E-2</v>
      </c>
      <c r="R185" s="22" t="e">
        <f>$I185*IF($E185&gt;_xlfn.AGGREGATE(4,6,'KM Data'!$E$6:$E$205),NA(),INDEX('KM Data'!$F$6:$F$205,MATCH($E185,'KM Data'!$E$6:$E$205,1)))</f>
        <v>#N/A</v>
      </c>
      <c r="S185" s="21">
        <f t="shared" si="47"/>
        <v>0.17836925078557031</v>
      </c>
      <c r="T185" s="8">
        <f t="shared" si="50"/>
        <v>4.819196214545407E-3</v>
      </c>
      <c r="U185" s="21">
        <f t="shared" si="60"/>
        <v>0.17836925078557031</v>
      </c>
      <c r="V185" s="21">
        <f t="shared" si="61"/>
        <v>0.81649300449687634</v>
      </c>
      <c r="W185" s="21">
        <f t="shared" si="62"/>
        <v>0.17836925078557031</v>
      </c>
      <c r="Y185" s="23">
        <f t="shared" si="51"/>
        <v>5.0913484197036563E-2</v>
      </c>
      <c r="Z185" s="6">
        <f t="shared" si="52"/>
        <v>0.12745576658853375</v>
      </c>
      <c r="AA185" s="6">
        <f t="shared" si="53"/>
        <v>0.82163074921442969</v>
      </c>
      <c r="AB185" s="6">
        <f t="shared" si="54"/>
        <v>1</v>
      </c>
    </row>
    <row r="186" spans="1:28" x14ac:dyDescent="0.35">
      <c r="A186">
        <v>177</v>
      </c>
      <c r="B186" s="17">
        <f t="shared" si="55"/>
        <v>5357</v>
      </c>
      <c r="C186" s="17">
        <f t="shared" si="48"/>
        <v>5387.4375</v>
      </c>
      <c r="D186" s="17">
        <f t="shared" si="56"/>
        <v>5372.21875</v>
      </c>
      <c r="E186" s="17">
        <f t="shared" si="42"/>
        <v>176.5</v>
      </c>
      <c r="F186" s="17">
        <f t="shared" si="43"/>
        <v>74.708333333333329</v>
      </c>
      <c r="G186" s="21">
        <f>INDEX('Life Tables'!$F$8:$F$123,MATCH(Engine!F186,'Life Tables'!$B$8:$B$123,1))</f>
        <v>2.041824306980744E-3</v>
      </c>
      <c r="H186" s="8">
        <f t="shared" si="44"/>
        <v>0.61778179027667302</v>
      </c>
      <c r="I186">
        <f t="shared" si="45"/>
        <v>1</v>
      </c>
      <c r="K186" s="22" t="e">
        <f>$I186*IF($E186&gt;_xlfn.AGGREGATE(4,6,'KM Data'!$B$6:$B$310),NA(),INDEX('KM Data'!$C$6:$C$310,MATCH($E186,'KM Data'!$B$6:$B$310,1)))</f>
        <v>#N/A</v>
      </c>
      <c r="L186" s="21">
        <f t="shared" si="46"/>
        <v>5.0522134112498174E-2</v>
      </c>
      <c r="M186" s="20">
        <f t="shared" si="49"/>
        <v>7.6552413981416656E-3</v>
      </c>
      <c r="N186" s="21">
        <f t="shared" si="57"/>
        <v>5.0522134112498174E-2</v>
      </c>
      <c r="O186" s="21">
        <f t="shared" si="58"/>
        <v>0.81482586923381484</v>
      </c>
      <c r="P186" s="21">
        <f t="shared" si="59"/>
        <v>5.0522134112498174E-2</v>
      </c>
      <c r="R186" s="22" t="e">
        <f>$I186*IF($E186&gt;_xlfn.AGGREGATE(4,6,'KM Data'!$E$6:$E$205),NA(),INDEX('KM Data'!$F$6:$F$205,MATCH($E186,'KM Data'!$E$6:$E$205,1)))</f>
        <v>#N/A</v>
      </c>
      <c r="S186" s="21">
        <f t="shared" si="47"/>
        <v>0.17750965436739319</v>
      </c>
      <c r="T186" s="8">
        <f t="shared" si="50"/>
        <v>4.8005426546550156E-3</v>
      </c>
      <c r="U186" s="21">
        <f t="shared" si="60"/>
        <v>0.17750965436739319</v>
      </c>
      <c r="V186" s="21">
        <f t="shared" si="61"/>
        <v>0.81482586923381484</v>
      </c>
      <c r="W186" s="21">
        <f t="shared" si="62"/>
        <v>0.17750965436739319</v>
      </c>
      <c r="Y186" s="23">
        <f t="shared" si="51"/>
        <v>5.0522134112498174E-2</v>
      </c>
      <c r="Z186" s="6">
        <f t="shared" si="52"/>
        <v>0.12698752025489501</v>
      </c>
      <c r="AA186" s="6">
        <f t="shared" si="53"/>
        <v>0.82249034563260681</v>
      </c>
      <c r="AB186" s="6">
        <f t="shared" si="54"/>
        <v>1</v>
      </c>
    </row>
    <row r="187" spans="1:28" x14ac:dyDescent="0.35">
      <c r="A187">
        <v>178</v>
      </c>
      <c r="B187" s="17">
        <f t="shared" si="55"/>
        <v>5387.4375</v>
      </c>
      <c r="C187" s="17">
        <f t="shared" si="48"/>
        <v>5417.875</v>
      </c>
      <c r="D187" s="17">
        <f t="shared" si="56"/>
        <v>5402.65625</v>
      </c>
      <c r="E187" s="17">
        <f t="shared" si="42"/>
        <v>177.5</v>
      </c>
      <c r="F187" s="17">
        <f t="shared" si="43"/>
        <v>74.791666666666671</v>
      </c>
      <c r="G187" s="21">
        <f>INDEX('Life Tables'!$F$8:$F$123,MATCH(Engine!F187,'Life Tables'!$B$8:$B$123,1))</f>
        <v>2.041824306980744E-3</v>
      </c>
      <c r="H187" s="8">
        <f t="shared" si="44"/>
        <v>0.61778179027667302</v>
      </c>
      <c r="I187">
        <f t="shared" si="45"/>
        <v>1</v>
      </c>
      <c r="K187" s="22" t="e">
        <f>$I187*IF($E187&gt;_xlfn.AGGREGATE(4,6,'KM Data'!$B$6:$B$310),NA(),INDEX('KM Data'!$C$6:$C$310,MATCH($E187,'KM Data'!$B$6:$B$310,1)))</f>
        <v>#N/A</v>
      </c>
      <c r="L187" s="21">
        <f t="shared" si="46"/>
        <v>5.0135374979917713E-2</v>
      </c>
      <c r="M187" s="20">
        <f t="shared" si="49"/>
        <v>7.624200372879697E-3</v>
      </c>
      <c r="N187" s="21">
        <f t="shared" si="57"/>
        <v>5.0135374979917713E-2</v>
      </c>
      <c r="O187" s="21">
        <f t="shared" si="58"/>
        <v>0.81316213796805648</v>
      </c>
      <c r="P187" s="21">
        <f t="shared" si="59"/>
        <v>5.0135374979917713E-2</v>
      </c>
      <c r="R187" s="22" t="e">
        <f>$I187*IF($E187&gt;_xlfn.AGGREGATE(4,6,'KM Data'!$E$6:$E$205),NA(),INDEX('KM Data'!$F$6:$F$205,MATCH($E187,'KM Data'!$E$6:$E$205,1)))</f>
        <v>#N/A</v>
      </c>
      <c r="S187" s="21">
        <f t="shared" si="47"/>
        <v>0.17665751169998944</v>
      </c>
      <c r="T187" s="8">
        <f t="shared" si="50"/>
        <v>4.7820549602082263E-3</v>
      </c>
      <c r="U187" s="21">
        <f t="shared" si="60"/>
        <v>0.17665751169998944</v>
      </c>
      <c r="V187" s="21">
        <f t="shared" si="61"/>
        <v>0.81316213796805648</v>
      </c>
      <c r="W187" s="21">
        <f t="shared" si="62"/>
        <v>0.17665751169998944</v>
      </c>
      <c r="Y187" s="23">
        <f t="shared" si="51"/>
        <v>5.0135374979917713E-2</v>
      </c>
      <c r="Z187" s="6">
        <f t="shared" si="52"/>
        <v>0.12652213672007173</v>
      </c>
      <c r="AA187" s="6">
        <f t="shared" si="53"/>
        <v>0.82334248830001056</v>
      </c>
      <c r="AB187" s="6">
        <f t="shared" si="54"/>
        <v>1</v>
      </c>
    </row>
    <row r="188" spans="1:28" x14ac:dyDescent="0.35">
      <c r="A188">
        <v>179</v>
      </c>
      <c r="B188" s="17">
        <f t="shared" si="55"/>
        <v>5417.875</v>
      </c>
      <c r="C188" s="17">
        <f t="shared" si="48"/>
        <v>5448.3125</v>
      </c>
      <c r="D188" s="17">
        <f t="shared" si="56"/>
        <v>5433.09375</v>
      </c>
      <c r="E188" s="17">
        <f t="shared" si="42"/>
        <v>178.5</v>
      </c>
      <c r="F188" s="17">
        <f t="shared" si="43"/>
        <v>74.875</v>
      </c>
      <c r="G188" s="21">
        <f>INDEX('Life Tables'!$F$8:$F$123,MATCH(Engine!F188,'Life Tables'!$B$8:$B$123,1))</f>
        <v>2.041824306980744E-3</v>
      </c>
      <c r="H188" s="8">
        <f t="shared" si="44"/>
        <v>0.61778179027667302</v>
      </c>
      <c r="I188">
        <f t="shared" si="45"/>
        <v>1</v>
      </c>
      <c r="K188" s="22" t="e">
        <f>$I188*IF($E188&gt;_xlfn.AGGREGATE(4,6,'KM Data'!$B$6:$B$310),NA(),INDEX('KM Data'!$C$6:$C$310,MATCH($E188,'KM Data'!$B$6:$B$310,1)))</f>
        <v>#N/A</v>
      </c>
      <c r="L188" s="21">
        <f t="shared" si="46"/>
        <v>4.9753132835301361E-2</v>
      </c>
      <c r="M188" s="20">
        <f t="shared" si="49"/>
        <v>7.5934432552102749E-3</v>
      </c>
      <c r="N188" s="21">
        <f t="shared" si="57"/>
        <v>4.9753132835301361E-2</v>
      </c>
      <c r="O188" s="21">
        <f t="shared" si="58"/>
        <v>0.81150180374923686</v>
      </c>
      <c r="P188" s="21">
        <f t="shared" si="59"/>
        <v>4.9753132835301361E-2</v>
      </c>
      <c r="R188" s="22" t="e">
        <f>$I188*IF($E188&gt;_xlfn.AGGREGATE(4,6,'KM Data'!$E$6:$E$205),NA(),INDEX('KM Data'!$F$6:$F$205,MATCH($E188,'KM Data'!$E$6:$E$205,1)))</f>
        <v>#N/A</v>
      </c>
      <c r="S188" s="21">
        <f t="shared" si="47"/>
        <v>0.17581272576990647</v>
      </c>
      <c r="T188" s="8">
        <f t="shared" si="50"/>
        <v>4.7637308049750526E-3</v>
      </c>
      <c r="U188" s="21">
        <f t="shared" si="60"/>
        <v>0.17581272576990647</v>
      </c>
      <c r="V188" s="21">
        <f t="shared" si="61"/>
        <v>0.81150180374923686</v>
      </c>
      <c r="W188" s="21">
        <f t="shared" si="62"/>
        <v>0.17581272576990647</v>
      </c>
      <c r="Y188" s="23">
        <f t="shared" si="51"/>
        <v>4.9753132835301361E-2</v>
      </c>
      <c r="Z188" s="6">
        <f t="shared" si="52"/>
        <v>0.12605959293460511</v>
      </c>
      <c r="AA188" s="6">
        <f t="shared" si="53"/>
        <v>0.82418727423009353</v>
      </c>
      <c r="AB188" s="6">
        <f t="shared" si="54"/>
        <v>1</v>
      </c>
    </row>
    <row r="189" spans="1:28" x14ac:dyDescent="0.35">
      <c r="A189">
        <v>180</v>
      </c>
      <c r="B189" s="17">
        <f t="shared" si="55"/>
        <v>5448.3125</v>
      </c>
      <c r="C189" s="17">
        <f t="shared" si="48"/>
        <v>5478.75</v>
      </c>
      <c r="D189" s="17">
        <f t="shared" si="56"/>
        <v>5463.53125</v>
      </c>
      <c r="E189" s="17">
        <f t="shared" si="42"/>
        <v>179.5</v>
      </c>
      <c r="F189" s="17">
        <f t="shared" si="43"/>
        <v>74.958333333333329</v>
      </c>
      <c r="G189" s="21">
        <f>INDEX('Life Tables'!$F$8:$F$123,MATCH(Engine!F189,'Life Tables'!$B$8:$B$123,1))</f>
        <v>2.041824306980744E-3</v>
      </c>
      <c r="H189" s="8">
        <f t="shared" si="44"/>
        <v>0.59689061862480497</v>
      </c>
      <c r="I189">
        <f t="shared" si="45"/>
        <v>1</v>
      </c>
      <c r="K189" s="22" t="e">
        <f>$I189*IF($E189&gt;_xlfn.AGGREGATE(4,6,'KM Data'!$B$6:$B$310),NA(),INDEX('KM Data'!$C$6:$C$310,MATCH($E189,'KM Data'!$B$6:$B$310,1)))</f>
        <v>#N/A</v>
      </c>
      <c r="L189" s="21">
        <f t="shared" si="46"/>
        <v>4.9375335244347562E-2</v>
      </c>
      <c r="M189" s="20">
        <f t="shared" si="49"/>
        <v>7.5629659798328586E-3</v>
      </c>
      <c r="N189" s="21">
        <f t="shared" si="57"/>
        <v>4.9375335244347562E-2</v>
      </c>
      <c r="O189" s="21">
        <f t="shared" si="58"/>
        <v>0.80984485964118291</v>
      </c>
      <c r="P189" s="21">
        <f t="shared" si="59"/>
        <v>4.9375335244347562E-2</v>
      </c>
      <c r="R189" s="22" t="e">
        <f>$I189*IF($E189&gt;_xlfn.AGGREGATE(4,6,'KM Data'!$E$6:$E$205),NA(),INDEX('KM Data'!$F$6:$F$205,MATCH($E189,'KM Data'!$E$6:$E$205,1)))</f>
        <v>#N/A</v>
      </c>
      <c r="S189" s="21">
        <f t="shared" si="47"/>
        <v>0.17497520127224975</v>
      </c>
      <c r="T189" s="8">
        <f t="shared" si="50"/>
        <v>4.7455679073121759E-3</v>
      </c>
      <c r="U189" s="21">
        <f t="shared" si="60"/>
        <v>0.17497520127224975</v>
      </c>
      <c r="V189" s="21">
        <f t="shared" si="61"/>
        <v>0.80984485964118291</v>
      </c>
      <c r="W189" s="21">
        <f t="shared" si="62"/>
        <v>0.17497520127224975</v>
      </c>
      <c r="Y189" s="23">
        <f t="shared" si="51"/>
        <v>4.9375335244347562E-2</v>
      </c>
      <c r="Z189" s="6">
        <f t="shared" si="52"/>
        <v>0.12559986602790219</v>
      </c>
      <c r="AA189" s="6">
        <f t="shared" si="53"/>
        <v>0.82502479872775025</v>
      </c>
      <c r="AB189" s="6">
        <f t="shared" si="54"/>
        <v>1</v>
      </c>
    </row>
    <row r="190" spans="1:28" x14ac:dyDescent="0.35">
      <c r="A190">
        <v>181</v>
      </c>
      <c r="B190" s="17">
        <f t="shared" si="55"/>
        <v>5478.75</v>
      </c>
      <c r="C190" s="17">
        <f t="shared" si="48"/>
        <v>5509.1875</v>
      </c>
      <c r="D190" s="17">
        <f t="shared" si="56"/>
        <v>5493.96875</v>
      </c>
      <c r="E190" s="17">
        <f t="shared" si="42"/>
        <v>180.5</v>
      </c>
      <c r="F190" s="17">
        <f t="shared" si="43"/>
        <v>75.041666666666671</v>
      </c>
      <c r="G190" s="21">
        <f>INDEX('Life Tables'!$F$8:$F$123,MATCH(Engine!F190,'Life Tables'!$B$8:$B$123,1))</f>
        <v>2.2796178093119623E-3</v>
      </c>
      <c r="H190" s="8">
        <f t="shared" si="44"/>
        <v>0.59689061862480497</v>
      </c>
      <c r="I190">
        <f t="shared" si="45"/>
        <v>1</v>
      </c>
      <c r="K190" s="22" t="e">
        <f>$I190*IF($E190&gt;_xlfn.AGGREGATE(4,6,'KM Data'!$B$6:$B$310),NA(),INDEX('KM Data'!$C$6:$C$310,MATCH($E190,'KM Data'!$B$6:$B$310,1)))</f>
        <v>#N/A</v>
      </c>
      <c r="L190" s="21">
        <f t="shared" si="46"/>
        <v>4.9001911263651721E-2</v>
      </c>
      <c r="M190" s="20">
        <f t="shared" si="49"/>
        <v>7.5327645607004001E-3</v>
      </c>
      <c r="N190" s="21">
        <f t="shared" si="57"/>
        <v>4.9001911263651721E-2</v>
      </c>
      <c r="O190" s="21">
        <f t="shared" si="58"/>
        <v>0.80819129872188411</v>
      </c>
      <c r="P190" s="21">
        <f t="shared" si="59"/>
        <v>4.9001911263651721E-2</v>
      </c>
      <c r="R190" s="22" t="e">
        <f>$I190*IF($E190&gt;_xlfn.AGGREGATE(4,6,'KM Data'!$E$6:$E$205),NA(),INDEX('KM Data'!$F$6:$F$205,MATCH($E190,'KM Data'!$E$6:$E$205,1)))</f>
        <v>#N/A</v>
      </c>
      <c r="S190" s="21">
        <f t="shared" si="47"/>
        <v>0.17414484457251667</v>
      </c>
      <c r="T190" s="8">
        <f t="shared" si="50"/>
        <v>4.72756402909702E-3</v>
      </c>
      <c r="U190" s="21">
        <f t="shared" si="60"/>
        <v>0.17414484457251667</v>
      </c>
      <c r="V190" s="21">
        <f t="shared" si="61"/>
        <v>0.80819129872188411</v>
      </c>
      <c r="W190" s="21">
        <f t="shared" si="62"/>
        <v>0.17414484457251667</v>
      </c>
      <c r="Y190" s="23">
        <f t="shared" si="51"/>
        <v>4.9001911263651721E-2</v>
      </c>
      <c r="Z190" s="6">
        <f t="shared" si="52"/>
        <v>0.12514293330886495</v>
      </c>
      <c r="AA190" s="6">
        <f t="shared" si="53"/>
        <v>0.82585515542748333</v>
      </c>
      <c r="AB190" s="6">
        <f t="shared" si="54"/>
        <v>1</v>
      </c>
    </row>
    <row r="191" spans="1:28" x14ac:dyDescent="0.35">
      <c r="A191">
        <v>182</v>
      </c>
      <c r="B191" s="17">
        <f t="shared" si="55"/>
        <v>5509.1875</v>
      </c>
      <c r="C191" s="17">
        <f t="shared" si="48"/>
        <v>5539.625</v>
      </c>
      <c r="D191" s="17">
        <f t="shared" si="56"/>
        <v>5524.40625</v>
      </c>
      <c r="E191" s="17">
        <f t="shared" si="42"/>
        <v>181.5</v>
      </c>
      <c r="F191" s="17">
        <f t="shared" si="43"/>
        <v>75.125</v>
      </c>
      <c r="G191" s="21">
        <f>INDEX('Life Tables'!$F$8:$F$123,MATCH(Engine!F191,'Life Tables'!$B$8:$B$123,1))</f>
        <v>2.2796178093119623E-3</v>
      </c>
      <c r="H191" s="8">
        <f t="shared" si="44"/>
        <v>0.59689061862480497</v>
      </c>
      <c r="I191">
        <f t="shared" si="45"/>
        <v>1</v>
      </c>
      <c r="K191" s="22" t="e">
        <f>$I191*IF($E191&gt;_xlfn.AGGREGATE(4,6,'KM Data'!$B$6:$B$310),NA(),INDEX('KM Data'!$C$6:$C$310,MATCH($E191,'KM Data'!$B$6:$B$310,1)))</f>
        <v>#N/A</v>
      </c>
      <c r="L191" s="21">
        <f t="shared" si="46"/>
        <v>4.8632791403078302E-2</v>
      </c>
      <c r="M191" s="20">
        <f t="shared" si="49"/>
        <v>7.5028350890505857E-3</v>
      </c>
      <c r="N191" s="21">
        <f t="shared" si="57"/>
        <v>4.8632791403078302E-2</v>
      </c>
      <c r="O191" s="21">
        <f t="shared" si="58"/>
        <v>0.80634893144398678</v>
      </c>
      <c r="P191" s="21">
        <f t="shared" si="59"/>
        <v>4.8632791403078302E-2</v>
      </c>
      <c r="R191" s="22" t="e">
        <f>$I191*IF($E191&gt;_xlfn.AGGREGATE(4,6,'KM Data'!$E$6:$E$205),NA(),INDEX('KM Data'!$F$6:$F$205,MATCH($E191,'KM Data'!$E$6:$E$205,1)))</f>
        <v>#N/A</v>
      </c>
      <c r="S191" s="21">
        <f t="shared" si="47"/>
        <v>0.17332156366946294</v>
      </c>
      <c r="T191" s="8">
        <f t="shared" si="50"/>
        <v>4.7097169746701528E-3</v>
      </c>
      <c r="U191" s="21">
        <f t="shared" si="60"/>
        <v>0.17332156366946294</v>
      </c>
      <c r="V191" s="21">
        <f t="shared" si="61"/>
        <v>0.80634893144398678</v>
      </c>
      <c r="W191" s="21">
        <f t="shared" si="62"/>
        <v>0.17332156366946294</v>
      </c>
      <c r="Y191" s="23">
        <f t="shared" si="51"/>
        <v>4.8632791403078302E-2</v>
      </c>
      <c r="Z191" s="6">
        <f t="shared" si="52"/>
        <v>0.12468877226638464</v>
      </c>
      <c r="AA191" s="6">
        <f t="shared" si="53"/>
        <v>0.82667843633053706</v>
      </c>
      <c r="AB191" s="6">
        <f t="shared" si="54"/>
        <v>1</v>
      </c>
    </row>
    <row r="192" spans="1:28" x14ac:dyDescent="0.35">
      <c r="A192">
        <v>183</v>
      </c>
      <c r="B192" s="17">
        <f t="shared" si="55"/>
        <v>5539.625</v>
      </c>
      <c r="C192" s="17">
        <f t="shared" si="48"/>
        <v>5570.0625</v>
      </c>
      <c r="D192" s="17">
        <f t="shared" si="56"/>
        <v>5554.84375</v>
      </c>
      <c r="E192" s="17">
        <f t="shared" si="42"/>
        <v>182.5</v>
      </c>
      <c r="F192" s="17">
        <f t="shared" si="43"/>
        <v>75.208333333333329</v>
      </c>
      <c r="G192" s="21">
        <f>INDEX('Life Tables'!$F$8:$F$123,MATCH(Engine!F192,'Life Tables'!$B$8:$B$123,1))</f>
        <v>2.2796178093119623E-3</v>
      </c>
      <c r="H192" s="8">
        <f t="shared" si="44"/>
        <v>0.59689061862480497</v>
      </c>
      <c r="I192">
        <f t="shared" si="45"/>
        <v>1</v>
      </c>
      <c r="K192" s="22" t="e">
        <f>$I192*IF($E192&gt;_xlfn.AGGREGATE(4,6,'KM Data'!$B$6:$B$310),NA(),INDEX('KM Data'!$C$6:$C$310,MATCH($E192,'KM Data'!$B$6:$B$310,1)))</f>
        <v>#N/A</v>
      </c>
      <c r="L192" s="21">
        <f t="shared" si="46"/>
        <v>4.8267907589260806E-2</v>
      </c>
      <c r="M192" s="20">
        <f t="shared" si="49"/>
        <v>7.4731737315151259E-3</v>
      </c>
      <c r="N192" s="21">
        <f t="shared" si="57"/>
        <v>4.8267907589260806E-2</v>
      </c>
      <c r="O192" s="21">
        <f t="shared" si="58"/>
        <v>0.80451076405934741</v>
      </c>
      <c r="P192" s="21">
        <f t="shared" si="59"/>
        <v>4.8267907589260806E-2</v>
      </c>
      <c r="R192" s="22" t="e">
        <f>$I192*IF($E192&gt;_xlfn.AGGREGATE(4,6,'KM Data'!$E$6:$E$205),NA(),INDEX('KM Data'!$F$6:$F$205,MATCH($E192,'KM Data'!$E$6:$E$205,1)))</f>
        <v>#N/A</v>
      </c>
      <c r="S192" s="21">
        <f t="shared" si="47"/>
        <v>0.17250526815897249</v>
      </c>
      <c r="T192" s="8">
        <f t="shared" si="50"/>
        <v>4.6920245898069979E-3</v>
      </c>
      <c r="U192" s="21">
        <f t="shared" si="60"/>
        <v>0.17250526815897249</v>
      </c>
      <c r="V192" s="21">
        <f t="shared" si="61"/>
        <v>0.80451076405934741</v>
      </c>
      <c r="W192" s="21">
        <f t="shared" si="62"/>
        <v>0.17250526815897249</v>
      </c>
      <c r="Y192" s="23">
        <f t="shared" si="51"/>
        <v>4.8267907589260806E-2</v>
      </c>
      <c r="Z192" s="6">
        <f t="shared" si="52"/>
        <v>0.12423736056971169</v>
      </c>
      <c r="AA192" s="6">
        <f t="shared" si="53"/>
        <v>0.82749473184102751</v>
      </c>
      <c r="AB192" s="6">
        <f t="shared" si="54"/>
        <v>1</v>
      </c>
    </row>
    <row r="193" spans="1:28" x14ac:dyDescent="0.35">
      <c r="A193">
        <v>184</v>
      </c>
      <c r="B193" s="17">
        <f t="shared" si="55"/>
        <v>5570.0625</v>
      </c>
      <c r="C193" s="17">
        <f t="shared" si="48"/>
        <v>5600.5</v>
      </c>
      <c r="D193" s="17">
        <f t="shared" si="56"/>
        <v>5585.28125</v>
      </c>
      <c r="E193" s="17">
        <f t="shared" si="42"/>
        <v>183.5</v>
      </c>
      <c r="F193" s="17">
        <f t="shared" si="43"/>
        <v>75.291666666666671</v>
      </c>
      <c r="G193" s="21">
        <f>INDEX('Life Tables'!$F$8:$F$123,MATCH(Engine!F193,'Life Tables'!$B$8:$B$123,1))</f>
        <v>2.2796178093119623E-3</v>
      </c>
      <c r="H193" s="8">
        <f t="shared" si="44"/>
        <v>0.59689061862480497</v>
      </c>
      <c r="I193">
        <f t="shared" si="45"/>
        <v>1</v>
      </c>
      <c r="K193" s="22" t="e">
        <f>$I193*IF($E193&gt;_xlfn.AGGREGATE(4,6,'KM Data'!$B$6:$B$310),NA(),INDEX('KM Data'!$C$6:$C$310,MATCH($E193,'KM Data'!$B$6:$B$310,1)))</f>
        <v>#N/A</v>
      </c>
      <c r="L193" s="21">
        <f t="shared" si="46"/>
        <v>4.790719313018954E-2</v>
      </c>
      <c r="M193" s="20">
        <f t="shared" si="49"/>
        <v>7.4437767282948819E-3</v>
      </c>
      <c r="N193" s="21">
        <f t="shared" si="57"/>
        <v>4.790719313018954E-2</v>
      </c>
      <c r="O193" s="21">
        <f t="shared" si="58"/>
        <v>0.80267678699381451</v>
      </c>
      <c r="P193" s="21">
        <f t="shared" si="59"/>
        <v>4.790719313018954E-2</v>
      </c>
      <c r="R193" s="22" t="e">
        <f>$I193*IF($E193&gt;_xlfn.AGGREGATE(4,6,'KM Data'!$E$6:$E$205),NA(),INDEX('KM Data'!$F$6:$F$205,MATCH($E193,'KM Data'!$E$6:$E$205,1)))</f>
        <v>#N/A</v>
      </c>
      <c r="S193" s="21">
        <f t="shared" si="47"/>
        <v>0.17169586919889934</v>
      </c>
      <c r="T193" s="8">
        <f t="shared" si="50"/>
        <v>4.6744847607339546E-3</v>
      </c>
      <c r="U193" s="21">
        <f t="shared" si="60"/>
        <v>0.17169586919889934</v>
      </c>
      <c r="V193" s="21">
        <f t="shared" si="61"/>
        <v>0.80267678699381451</v>
      </c>
      <c r="W193" s="21">
        <f t="shared" si="62"/>
        <v>0.17169586919889934</v>
      </c>
      <c r="Y193" s="23">
        <f t="shared" si="51"/>
        <v>4.790719313018954E-2</v>
      </c>
      <c r="Z193" s="6">
        <f t="shared" si="52"/>
        <v>0.1237886760687098</v>
      </c>
      <c r="AA193" s="6">
        <f t="shared" si="53"/>
        <v>0.82830413080110066</v>
      </c>
      <c r="AB193" s="6">
        <f t="shared" si="54"/>
        <v>1</v>
      </c>
    </row>
    <row r="194" spans="1:28" x14ac:dyDescent="0.35">
      <c r="A194">
        <v>185</v>
      </c>
      <c r="B194" s="17">
        <f t="shared" si="55"/>
        <v>5600.5</v>
      </c>
      <c r="C194" s="17">
        <f t="shared" si="48"/>
        <v>5630.9375</v>
      </c>
      <c r="D194" s="17">
        <f t="shared" si="56"/>
        <v>5615.71875</v>
      </c>
      <c r="E194" s="17">
        <f t="shared" si="42"/>
        <v>184.5</v>
      </c>
      <c r="F194" s="17">
        <f t="shared" si="43"/>
        <v>75.375</v>
      </c>
      <c r="G194" s="21">
        <f>INDEX('Life Tables'!$F$8:$F$123,MATCH(Engine!F194,'Life Tables'!$B$8:$B$123,1))</f>
        <v>2.2796178093119623E-3</v>
      </c>
      <c r="H194" s="8">
        <f t="shared" si="44"/>
        <v>0.59689061862480497</v>
      </c>
      <c r="I194">
        <f t="shared" si="45"/>
        <v>1</v>
      </c>
      <c r="K194" s="22" t="e">
        <f>$I194*IF($E194&gt;_xlfn.AGGREGATE(4,6,'KM Data'!$B$6:$B$310),NA(),INDEX('KM Data'!$C$6:$C$310,MATCH($E194,'KM Data'!$B$6:$B$310,1)))</f>
        <v>#N/A</v>
      </c>
      <c r="L194" s="21">
        <f t="shared" si="46"/>
        <v>4.7550582680849107E-2</v>
      </c>
      <c r="M194" s="20">
        <f t="shared" si="49"/>
        <v>7.4146403913603054E-3</v>
      </c>
      <c r="N194" s="21">
        <f t="shared" si="57"/>
        <v>4.7550582680849107E-2</v>
      </c>
      <c r="O194" s="21">
        <f t="shared" si="58"/>
        <v>0.80084699069506216</v>
      </c>
      <c r="P194" s="21">
        <f t="shared" si="59"/>
        <v>4.7550582680849107E-2</v>
      </c>
      <c r="R194" s="22" t="e">
        <f>$I194*IF($E194&gt;_xlfn.AGGREGATE(4,6,'KM Data'!$E$6:$E$205),NA(),INDEX('KM Data'!$F$6:$F$205,MATCH($E194,'KM Data'!$E$6:$E$205,1)))</f>
        <v>#N/A</v>
      </c>
      <c r="S194" s="21">
        <f t="shared" si="47"/>
        <v>0.17089327947484811</v>
      </c>
      <c r="T194" s="8">
        <f t="shared" si="50"/>
        <v>4.6570954131693876E-3</v>
      </c>
      <c r="U194" s="21">
        <f t="shared" si="60"/>
        <v>0.17089327947484811</v>
      </c>
      <c r="V194" s="21">
        <f t="shared" si="61"/>
        <v>0.80084699069506216</v>
      </c>
      <c r="W194" s="21">
        <f t="shared" si="62"/>
        <v>0.17089327947484811</v>
      </c>
      <c r="Y194" s="23">
        <f t="shared" si="51"/>
        <v>4.7550582680849107E-2</v>
      </c>
      <c r="Z194" s="6">
        <f t="shared" si="52"/>
        <v>0.12334269679399901</v>
      </c>
      <c r="AA194" s="6">
        <f t="shared" si="53"/>
        <v>0.82910672052515189</v>
      </c>
      <c r="AB194" s="6">
        <f t="shared" si="54"/>
        <v>1</v>
      </c>
    </row>
    <row r="195" spans="1:28" x14ac:dyDescent="0.35">
      <c r="A195">
        <v>186</v>
      </c>
      <c r="B195" s="17">
        <f t="shared" si="55"/>
        <v>5630.9375</v>
      </c>
      <c r="C195" s="17">
        <f t="shared" si="48"/>
        <v>5661.375</v>
      </c>
      <c r="D195" s="17">
        <f t="shared" si="56"/>
        <v>5646.15625</v>
      </c>
      <c r="E195" s="17">
        <f t="shared" si="42"/>
        <v>185.5</v>
      </c>
      <c r="F195" s="17">
        <f t="shared" si="43"/>
        <v>75.458333333333329</v>
      </c>
      <c r="G195" s="21">
        <f>INDEX('Life Tables'!$F$8:$F$123,MATCH(Engine!F195,'Life Tables'!$B$8:$B$123,1))</f>
        <v>2.2796178093119623E-3</v>
      </c>
      <c r="H195" s="8">
        <f t="shared" si="44"/>
        <v>0.59689061862480497</v>
      </c>
      <c r="I195">
        <f t="shared" si="45"/>
        <v>1</v>
      </c>
      <c r="K195" s="22" t="e">
        <f>$I195*IF($E195&gt;_xlfn.AGGREGATE(4,6,'KM Data'!$B$6:$B$310),NA(),INDEX('KM Data'!$C$6:$C$310,MATCH($E195,'KM Data'!$B$6:$B$310,1)))</f>
        <v>#N/A</v>
      </c>
      <c r="L195" s="21">
        <f t="shared" si="46"/>
        <v>4.7198012209870965E-2</v>
      </c>
      <c r="M195" s="20">
        <f t="shared" si="49"/>
        <v>7.3857611027163816E-3</v>
      </c>
      <c r="N195" s="21">
        <f t="shared" si="57"/>
        <v>4.7198012209870965E-2</v>
      </c>
      <c r="O195" s="21">
        <f t="shared" si="58"/>
        <v>0.79902136563253978</v>
      </c>
      <c r="P195" s="21">
        <f t="shared" si="59"/>
        <v>4.7198012209870965E-2</v>
      </c>
      <c r="R195" s="22" t="e">
        <f>$I195*IF($E195&gt;_xlfn.AGGREGATE(4,6,'KM Data'!$E$6:$E$205),NA(),INDEX('KM Data'!$F$6:$F$205,MATCH($E195,'KM Data'!$E$6:$E$205,1)))</f>
        <v>#N/A</v>
      </c>
      <c r="S195" s="21">
        <f t="shared" si="47"/>
        <v>0.17009741316686433</v>
      </c>
      <c r="T195" s="8">
        <f t="shared" si="50"/>
        <v>4.6398545113758294E-3</v>
      </c>
      <c r="U195" s="21">
        <f t="shared" si="60"/>
        <v>0.17009741316686433</v>
      </c>
      <c r="V195" s="21">
        <f t="shared" si="61"/>
        <v>0.79902136563253978</v>
      </c>
      <c r="W195" s="21">
        <f t="shared" si="62"/>
        <v>0.17009741316686433</v>
      </c>
      <c r="Y195" s="23">
        <f t="shared" si="51"/>
        <v>4.7198012209870965E-2</v>
      </c>
      <c r="Z195" s="6">
        <f t="shared" si="52"/>
        <v>0.12289940095699337</v>
      </c>
      <c r="AA195" s="6">
        <f t="shared" si="53"/>
        <v>0.82990258683313567</v>
      </c>
      <c r="AB195" s="6">
        <f t="shared" si="54"/>
        <v>1</v>
      </c>
    </row>
    <row r="196" spans="1:28" x14ac:dyDescent="0.35">
      <c r="A196">
        <v>187</v>
      </c>
      <c r="B196" s="17">
        <f t="shared" si="55"/>
        <v>5661.375</v>
      </c>
      <c r="C196" s="17">
        <f t="shared" si="48"/>
        <v>5691.8125</v>
      </c>
      <c r="D196" s="17">
        <f t="shared" si="56"/>
        <v>5676.59375</v>
      </c>
      <c r="E196" s="17">
        <f t="shared" si="42"/>
        <v>186.5</v>
      </c>
      <c r="F196" s="17">
        <f t="shared" si="43"/>
        <v>75.541666666666671</v>
      </c>
      <c r="G196" s="21">
        <f>INDEX('Life Tables'!$F$8:$F$123,MATCH(Engine!F196,'Life Tables'!$B$8:$B$123,1))</f>
        <v>2.2796178093119623E-3</v>
      </c>
      <c r="H196" s="8">
        <f t="shared" si="44"/>
        <v>0.59689061862480497</v>
      </c>
      <c r="I196">
        <f t="shared" si="45"/>
        <v>1</v>
      </c>
      <c r="K196" s="22" t="e">
        <f>$I196*IF($E196&gt;_xlfn.AGGREGATE(4,6,'KM Data'!$B$6:$B$310),NA(),INDEX('KM Data'!$C$6:$C$310,MATCH($E196,'KM Data'!$B$6:$B$310,1)))</f>
        <v>#N/A</v>
      </c>
      <c r="L196" s="21">
        <f t="shared" si="46"/>
        <v>4.6849418967165768E-2</v>
      </c>
      <c r="M196" s="20">
        <f t="shared" si="49"/>
        <v>7.3571353127382944E-3</v>
      </c>
      <c r="N196" s="21">
        <f t="shared" si="57"/>
        <v>4.6849418967165768E-2</v>
      </c>
      <c r="O196" s="21">
        <f t="shared" si="58"/>
        <v>0.7971999022974231</v>
      </c>
      <c r="P196" s="21">
        <f t="shared" si="59"/>
        <v>4.6849418967165768E-2</v>
      </c>
      <c r="R196" s="22" t="e">
        <f>$I196*IF($E196&gt;_xlfn.AGGREGATE(4,6,'KM Data'!$E$6:$E$205),NA(),INDEX('KM Data'!$F$6:$F$205,MATCH($E196,'KM Data'!$E$6:$E$205,1)))</f>
        <v>#N/A</v>
      </c>
      <c r="S196" s="21">
        <f t="shared" si="47"/>
        <v>0.16930818591700869</v>
      </c>
      <c r="T196" s="8">
        <f t="shared" si="50"/>
        <v>4.6227600572610328E-3</v>
      </c>
      <c r="U196" s="21">
        <f t="shared" si="60"/>
        <v>0.16930818591700869</v>
      </c>
      <c r="V196" s="21">
        <f t="shared" si="61"/>
        <v>0.7971999022974231</v>
      </c>
      <c r="W196" s="21">
        <f t="shared" si="62"/>
        <v>0.16930818591700869</v>
      </c>
      <c r="Y196" s="23">
        <f t="shared" si="51"/>
        <v>4.6849418967165768E-2</v>
      </c>
      <c r="Z196" s="6">
        <f t="shared" si="52"/>
        <v>0.12245876694984292</v>
      </c>
      <c r="AA196" s="6">
        <f t="shared" si="53"/>
        <v>0.83069181408299131</v>
      </c>
      <c r="AB196" s="6">
        <f t="shared" si="54"/>
        <v>1</v>
      </c>
    </row>
    <row r="197" spans="1:28" x14ac:dyDescent="0.35">
      <c r="A197">
        <v>188</v>
      </c>
      <c r="B197" s="17">
        <f t="shared" si="55"/>
        <v>5691.8125</v>
      </c>
      <c r="C197" s="17">
        <f t="shared" si="48"/>
        <v>5722.25</v>
      </c>
      <c r="D197" s="17">
        <f t="shared" si="56"/>
        <v>5707.03125</v>
      </c>
      <c r="E197" s="17">
        <f t="shared" si="42"/>
        <v>187.5</v>
      </c>
      <c r="F197" s="17">
        <f t="shared" si="43"/>
        <v>75.625</v>
      </c>
      <c r="G197" s="21">
        <f>INDEX('Life Tables'!$F$8:$F$123,MATCH(Engine!F197,'Life Tables'!$B$8:$B$123,1))</f>
        <v>2.2796178093119623E-3</v>
      </c>
      <c r="H197" s="8">
        <f t="shared" si="44"/>
        <v>0.59689061862480497</v>
      </c>
      <c r="I197">
        <f t="shared" si="45"/>
        <v>1</v>
      </c>
      <c r="K197" s="22" t="e">
        <f>$I197*IF($E197&gt;_xlfn.AGGREGATE(4,6,'KM Data'!$B$6:$B$310),NA(),INDEX('KM Data'!$C$6:$C$310,MATCH($E197,'KM Data'!$B$6:$B$310,1)))</f>
        <v>#N/A</v>
      </c>
      <c r="L197" s="21">
        <f t="shared" si="46"/>
        <v>4.6504741452501164E-2</v>
      </c>
      <c r="M197" s="20">
        <f t="shared" si="49"/>
        <v>7.3287595385291837E-3</v>
      </c>
      <c r="N197" s="21">
        <f t="shared" si="57"/>
        <v>4.6504741452501164E-2</v>
      </c>
      <c r="O197" s="21">
        <f t="shared" si="58"/>
        <v>0.79538259120256416</v>
      </c>
      <c r="P197" s="21">
        <f t="shared" si="59"/>
        <v>4.6504741452501164E-2</v>
      </c>
      <c r="R197" s="22" t="e">
        <f>$I197*IF($E197&gt;_xlfn.AGGREGATE(4,6,'KM Data'!$E$6:$E$205),NA(),INDEX('KM Data'!$F$6:$F$205,MATCH($E197,'KM Data'!$E$6:$E$205,1)))</f>
        <v>#N/A</v>
      </c>
      <c r="S197" s="21">
        <f t="shared" si="47"/>
        <v>0.16852551479778421</v>
      </c>
      <c r="T197" s="8">
        <f t="shared" si="50"/>
        <v>4.6058100894981191E-3</v>
      </c>
      <c r="U197" s="21">
        <f t="shared" si="60"/>
        <v>0.16852551479778421</v>
      </c>
      <c r="V197" s="21">
        <f t="shared" si="61"/>
        <v>0.79538259120256416</v>
      </c>
      <c r="W197" s="21">
        <f t="shared" si="62"/>
        <v>0.16852551479778421</v>
      </c>
      <c r="Y197" s="23">
        <f t="shared" si="51"/>
        <v>4.6504741452501164E-2</v>
      </c>
      <c r="Z197" s="6">
        <f t="shared" si="52"/>
        <v>0.12202077334528305</v>
      </c>
      <c r="AA197" s="6">
        <f t="shared" si="53"/>
        <v>0.83147448520221579</v>
      </c>
      <c r="AB197" s="6">
        <f t="shared" si="54"/>
        <v>1</v>
      </c>
    </row>
    <row r="198" spans="1:28" x14ac:dyDescent="0.35">
      <c r="A198">
        <v>189</v>
      </c>
      <c r="B198" s="17">
        <f t="shared" si="55"/>
        <v>5722.25</v>
      </c>
      <c r="C198" s="17">
        <f t="shared" si="48"/>
        <v>5752.6875</v>
      </c>
      <c r="D198" s="17">
        <f t="shared" si="56"/>
        <v>5737.46875</v>
      </c>
      <c r="E198" s="17">
        <f t="shared" si="42"/>
        <v>188.5</v>
      </c>
      <c r="F198" s="17">
        <f t="shared" si="43"/>
        <v>75.708333333333329</v>
      </c>
      <c r="G198" s="21">
        <f>INDEX('Life Tables'!$F$8:$F$123,MATCH(Engine!F198,'Life Tables'!$B$8:$B$123,1))</f>
        <v>2.2796178093119623E-3</v>
      </c>
      <c r="H198" s="8">
        <f t="shared" si="44"/>
        <v>0.59689061862480497</v>
      </c>
      <c r="I198">
        <f t="shared" si="45"/>
        <v>1</v>
      </c>
      <c r="K198" s="22" t="e">
        <f>$I198*IF($E198&gt;_xlfn.AGGREGATE(4,6,'KM Data'!$B$6:$B$310),NA(),INDEX('KM Data'!$C$6:$C$310,MATCH($E198,'KM Data'!$B$6:$B$310,1)))</f>
        <v>#N/A</v>
      </c>
      <c r="L198" s="21">
        <f t="shared" si="46"/>
        <v>4.6163919384994312E-2</v>
      </c>
      <c r="M198" s="20">
        <f t="shared" si="49"/>
        <v>7.3006303623285307E-3</v>
      </c>
      <c r="N198" s="21">
        <f t="shared" si="57"/>
        <v>4.6163919384994312E-2</v>
      </c>
      <c r="O198" s="21">
        <f t="shared" si="58"/>
        <v>0.79356942288244214</v>
      </c>
      <c r="P198" s="21">
        <f t="shared" si="59"/>
        <v>4.6163919384994312E-2</v>
      </c>
      <c r="R198" s="22" t="e">
        <f>$I198*IF($E198&gt;_xlfn.AGGREGATE(4,6,'KM Data'!$E$6:$E$205),NA(),INDEX('KM Data'!$F$6:$F$205,MATCH($E198,'KM Data'!$E$6:$E$205,1)))</f>
        <v>#N/A</v>
      </c>
      <c r="S198" s="21">
        <f t="shared" si="47"/>
        <v>0.16774931828139072</v>
      </c>
      <c r="T198" s="8">
        <f t="shared" si="50"/>
        <v>4.5890026826568286E-3</v>
      </c>
      <c r="U198" s="21">
        <f t="shared" si="60"/>
        <v>0.16774931828139072</v>
      </c>
      <c r="V198" s="21">
        <f t="shared" si="61"/>
        <v>0.79356942288244214</v>
      </c>
      <c r="W198" s="21">
        <f t="shared" si="62"/>
        <v>0.16774931828139072</v>
      </c>
      <c r="Y198" s="23">
        <f t="shared" si="51"/>
        <v>4.6163919384994312E-2</v>
      </c>
      <c r="Z198" s="6">
        <f t="shared" si="52"/>
        <v>0.12158539889639641</v>
      </c>
      <c r="AA198" s="6">
        <f t="shared" si="53"/>
        <v>0.83225068171860928</v>
      </c>
      <c r="AB198" s="6">
        <f t="shared" si="54"/>
        <v>1</v>
      </c>
    </row>
    <row r="199" spans="1:28" x14ac:dyDescent="0.35">
      <c r="A199">
        <v>190</v>
      </c>
      <c r="B199" s="17">
        <f t="shared" si="55"/>
        <v>5752.6875</v>
      </c>
      <c r="C199" s="17">
        <f t="shared" si="48"/>
        <v>5783.125</v>
      </c>
      <c r="D199" s="17">
        <f t="shared" si="56"/>
        <v>5767.90625</v>
      </c>
      <c r="E199" s="17">
        <f t="shared" si="42"/>
        <v>189.5</v>
      </c>
      <c r="F199" s="17">
        <f t="shared" si="43"/>
        <v>75.791666666666671</v>
      </c>
      <c r="G199" s="21">
        <f>INDEX('Life Tables'!$F$8:$F$123,MATCH(Engine!F199,'Life Tables'!$B$8:$B$123,1))</f>
        <v>2.2796178093119623E-3</v>
      </c>
      <c r="H199" s="8">
        <f t="shared" si="44"/>
        <v>0.59689061862480497</v>
      </c>
      <c r="I199">
        <f t="shared" si="45"/>
        <v>1</v>
      </c>
      <c r="K199" s="22" t="e">
        <f>$I199*IF($E199&gt;_xlfn.AGGREGATE(4,6,'KM Data'!$B$6:$B$310),NA(),INDEX('KM Data'!$C$6:$C$310,MATCH($E199,'KM Data'!$B$6:$B$310,1)))</f>
        <v>#N/A</v>
      </c>
      <c r="L199" s="21">
        <f t="shared" si="46"/>
        <v>4.5826893673488134E-2</v>
      </c>
      <c r="M199" s="20">
        <f t="shared" si="49"/>
        <v>7.2727444299750532E-3</v>
      </c>
      <c r="N199" s="21">
        <f t="shared" si="57"/>
        <v>4.5826893673488134E-2</v>
      </c>
      <c r="O199" s="21">
        <f t="shared" si="58"/>
        <v>0.79176038789311387</v>
      </c>
      <c r="P199" s="21">
        <f t="shared" si="59"/>
        <v>4.5826893673488134E-2</v>
      </c>
      <c r="R199" s="22" t="e">
        <f>$I199*IF($E199&gt;_xlfn.AGGREGATE(4,6,'KM Data'!$E$6:$E$205),NA(),INDEX('KM Data'!$F$6:$F$205,MATCH($E199,'KM Data'!$E$6:$E$205,1)))</f>
        <v>#N/A</v>
      </c>
      <c r="S199" s="21">
        <f t="shared" si="47"/>
        <v>0.16697951620978357</v>
      </c>
      <c r="T199" s="8">
        <f t="shared" si="50"/>
        <v>4.5723359463847313E-3</v>
      </c>
      <c r="U199" s="21">
        <f t="shared" si="60"/>
        <v>0.16697951620978357</v>
      </c>
      <c r="V199" s="21">
        <f t="shared" si="61"/>
        <v>0.79176038789311387</v>
      </c>
      <c r="W199" s="21">
        <f t="shared" si="62"/>
        <v>0.16697951620978357</v>
      </c>
      <c r="Y199" s="23">
        <f t="shared" si="51"/>
        <v>4.5826893673488134E-2</v>
      </c>
      <c r="Z199" s="6">
        <f t="shared" si="52"/>
        <v>0.12115262253629544</v>
      </c>
      <c r="AA199" s="6">
        <f t="shared" si="53"/>
        <v>0.83302048379021643</v>
      </c>
      <c r="AB199" s="6">
        <f t="shared" si="54"/>
        <v>1</v>
      </c>
    </row>
    <row r="200" spans="1:28" x14ac:dyDescent="0.35">
      <c r="A200">
        <v>191</v>
      </c>
      <c r="B200" s="17">
        <f t="shared" si="55"/>
        <v>5783.125</v>
      </c>
      <c r="C200" s="17">
        <f t="shared" si="48"/>
        <v>5813.5625</v>
      </c>
      <c r="D200" s="17">
        <f t="shared" si="56"/>
        <v>5798.34375</v>
      </c>
      <c r="E200" s="17">
        <f t="shared" si="42"/>
        <v>190.5</v>
      </c>
      <c r="F200" s="17">
        <f t="shared" si="43"/>
        <v>75.875</v>
      </c>
      <c r="G200" s="21">
        <f>INDEX('Life Tables'!$F$8:$F$123,MATCH(Engine!F200,'Life Tables'!$B$8:$B$123,1))</f>
        <v>2.2796178093119623E-3</v>
      </c>
      <c r="H200" s="8">
        <f t="shared" si="44"/>
        <v>0.59689061862480497</v>
      </c>
      <c r="I200">
        <f t="shared" si="45"/>
        <v>1</v>
      </c>
      <c r="K200" s="22" t="e">
        <f>$I200*IF($E200&gt;_xlfn.AGGREGATE(4,6,'KM Data'!$B$6:$B$310),NA(),INDEX('KM Data'!$C$6:$C$310,MATCH($E200,'KM Data'!$B$6:$B$310,1)))</f>
        <v>#N/A</v>
      </c>
      <c r="L200" s="21">
        <f t="shared" si="46"/>
        <v>4.5493606387781216E-2</v>
      </c>
      <c r="M200" s="20">
        <f t="shared" si="49"/>
        <v>7.245098449416898E-3</v>
      </c>
      <c r="N200" s="21">
        <f t="shared" si="57"/>
        <v>4.5493606387781216E-2</v>
      </c>
      <c r="O200" s="21">
        <f t="shared" si="58"/>
        <v>0.78995547681216494</v>
      </c>
      <c r="P200" s="21">
        <f t="shared" si="59"/>
        <v>4.5493606387781216E-2</v>
      </c>
      <c r="R200" s="22" t="e">
        <f>$I200*IF($E200&gt;_xlfn.AGGREGATE(4,6,'KM Data'!$E$6:$E$205),NA(),INDEX('KM Data'!$F$6:$F$205,MATCH($E200,'KM Data'!$E$6:$E$205,1)))</f>
        <v>#N/A</v>
      </c>
      <c r="S200" s="21">
        <f t="shared" si="47"/>
        <v>0.16621602976550764</v>
      </c>
      <c r="T200" s="8">
        <f t="shared" si="50"/>
        <v>4.5558080245822197E-3</v>
      </c>
      <c r="U200" s="21">
        <f t="shared" si="60"/>
        <v>0.16621602976550764</v>
      </c>
      <c r="V200" s="21">
        <f t="shared" si="61"/>
        <v>0.78995547681216494</v>
      </c>
      <c r="W200" s="21">
        <f t="shared" si="62"/>
        <v>0.16621602976550764</v>
      </c>
      <c r="Y200" s="23">
        <f t="shared" si="51"/>
        <v>4.5493606387781216E-2</v>
      </c>
      <c r="Z200" s="6">
        <f t="shared" si="52"/>
        <v>0.12072242337772643</v>
      </c>
      <c r="AA200" s="6">
        <f t="shared" si="53"/>
        <v>0.83378397023449236</v>
      </c>
      <c r="AB200" s="6">
        <f t="shared" si="54"/>
        <v>1</v>
      </c>
    </row>
    <row r="201" spans="1:28" x14ac:dyDescent="0.35">
      <c r="A201">
        <v>192</v>
      </c>
      <c r="B201" s="17">
        <f t="shared" si="55"/>
        <v>5813.5625</v>
      </c>
      <c r="C201" s="17">
        <f t="shared" si="48"/>
        <v>5844</v>
      </c>
      <c r="D201" s="17">
        <f t="shared" si="56"/>
        <v>5828.78125</v>
      </c>
      <c r="E201" s="17">
        <f t="shared" ref="E201:E264" si="63">D201/Days_per_Month</f>
        <v>191.5</v>
      </c>
      <c r="F201" s="17">
        <f t="shared" ref="F201:F264" si="64">Patient_Baseline_Age+(D201/365.25)</f>
        <v>75.958333333333329</v>
      </c>
      <c r="G201" s="21">
        <f>INDEX('Life Tables'!$F$8:$F$123,MATCH(Engine!F201,'Life Tables'!$B$8:$B$123,1))</f>
        <v>2.2796178093119623E-3</v>
      </c>
      <c r="H201" s="8">
        <f t="shared" ref="H201:H264" si="65">1/(1+Discount_Rate)^ROUNDDOWN(A201/12,0)</f>
        <v>0.57670591171478747</v>
      </c>
      <c r="I201">
        <f t="shared" ref="I201:I264" si="66">IF(E201&lt;Min_Time_Horizon__5_Years___60_Months,1,IF(C201/Days_per_Year&lt;Max_Time_Horizon__in_Years,1,NA()))</f>
        <v>1</v>
      </c>
      <c r="K201" s="22" t="e">
        <f>$I201*IF($E201&gt;_xlfn.AGGREGATE(4,6,'KM Data'!$B$6:$B$310),NA(),INDEX('KM Data'!$C$6:$C$310,MATCH($E201,'KM Data'!$B$6:$B$310,1)))</f>
        <v>#N/A</v>
      </c>
      <c r="L201" s="21">
        <f t="shared" ref="L201:L264" si="67">$I201*CHOOSE(MATCH(K$4,label_curves,0),
    EXP(-$E201*EXP(L$5)),
    1-((EXP(GAMMALN(EXP(L$5)))*_xlfn.GAMMA.DIST(EXP(L$6)*$E201,EXP(L$5),1,TRUE))/_xlfn.GAMMA(EXP(L$5))),
    IF($E201=0,1, IF(L$7&gt;0,1,0) + IF(L$7&gt;0,-1,1) * IFERROR(_xlfn.GAMMA.DIST((L$7^-2)*EXP(L$7*((LN($E201)-(L$5))/EXP(L$6))),L$7^-2,1,TRUE),0)),
    EXP(-(EXP(L$5)/L$6)*(EXP(L$6*$E201)-1)),
    1/(1+($E201/EXP(L$5))^EXP(L$6)),
    1-IFERROR(_xlfn.LOGNORM.DIST($E201,L$5,EXP(L$6),TRUE),0),
    EXP(-(($E201/EXP(L$5))^EXP(L$6)))
)</f>
        <v>4.5164000730682718E-2</v>
      </c>
      <c r="M201" s="20">
        <f t="shared" si="49"/>
        <v>7.2176891892536954E-3</v>
      </c>
      <c r="N201" s="21">
        <f t="shared" si="57"/>
        <v>4.5164000730682718E-2</v>
      </c>
      <c r="O201" s="21">
        <f t="shared" si="58"/>
        <v>0.78815468023866042</v>
      </c>
      <c r="P201" s="21">
        <f t="shared" si="59"/>
        <v>4.5164000730682718E-2</v>
      </c>
      <c r="R201" s="22" t="e">
        <f>$I201*IF($E201&gt;_xlfn.AGGREGATE(4,6,'KM Data'!$E$6:$E$205),NA(),INDEX('KM Data'!$F$6:$F$205,MATCH($E201,'KM Data'!$E$6:$E$205,1)))</f>
        <v>#N/A</v>
      </c>
      <c r="S201" s="21">
        <f t="shared" ref="S201:S264" si="68">$I201*CHOOSE(MATCH(R$4,label_curves,0),
    EXP(-$E201*EXP(S$5)),
    1-((EXP(GAMMALN(EXP(S$5)))*_xlfn.GAMMA.DIST(EXP(S$6)*$E201,EXP(S$5),1,TRUE))/_xlfn.GAMMA(EXP(S$5))),
    IF($E201=0,1, IF(S$7&gt;0,1,0) + IF(S$7&gt;0,-1,1) * IFERROR(_xlfn.GAMMA.DIST((S$7^-2)*EXP(S$7*((LN($E201)-(S$5))/EXP(S$6))),S$7^-2,1,TRUE),0)),
    EXP(-(EXP(S$5)/S$6)*(EXP(S$6*$E201)-1)),
    1/(1+($E201/EXP(S$5))^EXP(S$6)),
    1-IFERROR(_xlfn.LOGNORM.DIST($E201,S$5,EXP(S$6),TRUE),0),
    EXP(-(($E201/EXP(S$5))^EXP(S$6)))
)</f>
        <v>0.16545878144328774</v>
      </c>
      <c r="T201" s="8">
        <f t="shared" si="50"/>
        <v>4.5394170946315704E-3</v>
      </c>
      <c r="U201" s="21">
        <f t="shared" si="60"/>
        <v>0.16545878144328774</v>
      </c>
      <c r="V201" s="21">
        <f t="shared" si="61"/>
        <v>0.78815468023866042</v>
      </c>
      <c r="W201" s="21">
        <f t="shared" si="62"/>
        <v>0.16545878144328774</v>
      </c>
      <c r="Y201" s="23">
        <f t="shared" si="51"/>
        <v>4.5164000730682718E-2</v>
      </c>
      <c r="Z201" s="6">
        <f t="shared" si="52"/>
        <v>0.12029478071260502</v>
      </c>
      <c r="AA201" s="6">
        <f t="shared" si="53"/>
        <v>0.83454121855671226</v>
      </c>
      <c r="AB201" s="6">
        <f t="shared" si="54"/>
        <v>1</v>
      </c>
    </row>
    <row r="202" spans="1:28" x14ac:dyDescent="0.35">
      <c r="A202">
        <v>193</v>
      </c>
      <c r="B202" s="17">
        <f t="shared" si="55"/>
        <v>5844</v>
      </c>
      <c r="C202" s="17">
        <f t="shared" ref="C202:C265" si="69">B202+Days_per_Month</f>
        <v>5874.4375</v>
      </c>
      <c r="D202" s="17">
        <f t="shared" si="56"/>
        <v>5859.21875</v>
      </c>
      <c r="E202" s="17">
        <f t="shared" si="63"/>
        <v>192.5</v>
      </c>
      <c r="F202" s="17">
        <f t="shared" si="64"/>
        <v>76.041666666666671</v>
      </c>
      <c r="G202" s="21">
        <f>INDEX('Life Tables'!$F$8:$F$123,MATCH(Engine!F202,'Life Tables'!$B$8:$B$123,1))</f>
        <v>2.5610435121949937E-3</v>
      </c>
      <c r="H202" s="8">
        <f t="shared" si="65"/>
        <v>0.57670591171478747</v>
      </c>
      <c r="I202">
        <f t="shared" si="66"/>
        <v>1</v>
      </c>
      <c r="K202" s="22" t="e">
        <f>$I202*IF($E202&gt;_xlfn.AGGREGATE(4,6,'KM Data'!$B$6:$B$310),NA(),INDEX('KM Data'!$C$6:$C$310,MATCH($E202,'KM Data'!$B$6:$B$310,1)))</f>
        <v>#N/A</v>
      </c>
      <c r="L202" s="21">
        <f t="shared" si="67"/>
        <v>4.4838021010865425E-2</v>
      </c>
      <c r="M202" s="20">
        <f t="shared" ref="M202:M265" si="70">1-(L203/L202)</f>
        <v>7.190513477323468E-3</v>
      </c>
      <c r="N202" s="21">
        <f t="shared" si="57"/>
        <v>4.4838021010865425E-2</v>
      </c>
      <c r="O202" s="21">
        <f t="shared" si="58"/>
        <v>0.78635798879309582</v>
      </c>
      <c r="P202" s="21">
        <f t="shared" si="59"/>
        <v>4.4838021010865425E-2</v>
      </c>
      <c r="R202" s="22" t="e">
        <f>$I202*IF($E202&gt;_xlfn.AGGREGATE(4,6,'KM Data'!$E$6:$E$205),NA(),INDEX('KM Data'!$F$6:$F$205,MATCH($E202,'KM Data'!$E$6:$E$205,1)))</f>
        <v>#N/A</v>
      </c>
      <c r="S202" s="21">
        <f t="shared" si="68"/>
        <v>0.16470769502234717</v>
      </c>
      <c r="T202" s="8">
        <f t="shared" ref="T202:T265" si="71">1-(S203/S202)</f>
        <v>4.5231613666143478E-3</v>
      </c>
      <c r="U202" s="21">
        <f t="shared" si="60"/>
        <v>0.16470769502234717</v>
      </c>
      <c r="V202" s="21">
        <f t="shared" si="61"/>
        <v>0.78635798879309582</v>
      </c>
      <c r="W202" s="21">
        <f t="shared" si="62"/>
        <v>0.16470769502234717</v>
      </c>
      <c r="Y202" s="23">
        <f t="shared" ref="Y202:Y265" si="72">N202</f>
        <v>4.4838021010865425E-2</v>
      </c>
      <c r="Z202" s="6">
        <f t="shared" ref="Z202:Z265" si="73">U202-N202</f>
        <v>0.11986967401148174</v>
      </c>
      <c r="AA202" s="6">
        <f t="shared" ref="AA202:AA265" si="74">1-U202</f>
        <v>0.83529230497765283</v>
      </c>
      <c r="AB202" s="6">
        <f t="shared" ref="AB202:AB265" si="75">SUM(Y202:AA202)</f>
        <v>1</v>
      </c>
    </row>
    <row r="203" spans="1:28" x14ac:dyDescent="0.35">
      <c r="A203">
        <v>194</v>
      </c>
      <c r="B203" s="17">
        <f t="shared" ref="B203:B266" si="76">C202</f>
        <v>5874.4375</v>
      </c>
      <c r="C203" s="17">
        <f t="shared" si="69"/>
        <v>5904.875</v>
      </c>
      <c r="D203" s="17">
        <f t="shared" ref="D203:D266" si="77">AVERAGE(B203:C203)</f>
        <v>5889.65625</v>
      </c>
      <c r="E203" s="17">
        <f t="shared" si="63"/>
        <v>193.5</v>
      </c>
      <c r="F203" s="17">
        <f t="shared" si="64"/>
        <v>76.125</v>
      </c>
      <c r="G203" s="21">
        <f>INDEX('Life Tables'!$F$8:$F$123,MATCH(Engine!F203,'Life Tables'!$B$8:$B$123,1))</f>
        <v>2.5610435121949937E-3</v>
      </c>
      <c r="H203" s="8">
        <f t="shared" si="65"/>
        <v>0.57670591171478747</v>
      </c>
      <c r="I203">
        <f t="shared" si="66"/>
        <v>1</v>
      </c>
      <c r="K203" s="22" t="e">
        <f>$I203*IF($E203&gt;_xlfn.AGGREGATE(4,6,'KM Data'!$B$6:$B$310),NA(),INDEX('KM Data'!$C$6:$C$310,MATCH($E203,'KM Data'!$B$6:$B$310,1)))</f>
        <v>#N/A</v>
      </c>
      <c r="L203" s="21">
        <f t="shared" si="67"/>
        <v>4.4515612616490285E-2</v>
      </c>
      <c r="M203" s="20">
        <f t="shared" si="70"/>
        <v>7.1635681993192923E-3</v>
      </c>
      <c r="N203" s="21">
        <f t="shared" ref="N203:N266" si="78">$I203*MIN(N202,U203,P203)</f>
        <v>4.4515612616490285E-2</v>
      </c>
      <c r="O203" s="21">
        <f t="shared" ref="O203:O266" si="79">I203*O202*(1-G202)</f>
        <v>0.78434409176763453</v>
      </c>
      <c r="P203" s="21">
        <f t="shared" ref="P203:P266" si="80">$I203*P202*(1-MAX($G202,M202))</f>
        <v>4.4515612616490285E-2</v>
      </c>
      <c r="R203" s="22" t="e">
        <f>$I203*IF($E203&gt;_xlfn.AGGREGATE(4,6,'KM Data'!$E$6:$E$205),NA(),INDEX('KM Data'!$F$6:$F$205,MATCH($E203,'KM Data'!$E$6:$E$205,1)))</f>
        <v>#N/A</v>
      </c>
      <c r="S203" s="21">
        <f t="shared" si="68"/>
        <v>0.16396269553943799</v>
      </c>
      <c r="T203" s="8">
        <f t="shared" si="71"/>
        <v>4.5070390825860951E-3</v>
      </c>
      <c r="U203" s="21">
        <f t="shared" ref="U203:U266" si="81">$I203*MIN(U202,W203)</f>
        <v>0.16396269553943799</v>
      </c>
      <c r="V203" s="21">
        <f t="shared" ref="V203:V266" si="82">I203*V202*(1-G202)</f>
        <v>0.78434409176763453</v>
      </c>
      <c r="W203" s="21">
        <f t="shared" ref="W203:W266" si="83">$I203*W202*(1-MAX($G202,T202))</f>
        <v>0.16396269553943799</v>
      </c>
      <c r="Y203" s="23">
        <f t="shared" si="72"/>
        <v>4.4515612616490285E-2</v>
      </c>
      <c r="Z203" s="6">
        <f t="shared" si="73"/>
        <v>0.1194470829229477</v>
      </c>
      <c r="AA203" s="6">
        <f t="shared" si="74"/>
        <v>0.83603730446056201</v>
      </c>
      <c r="AB203" s="6">
        <f t="shared" si="75"/>
        <v>1</v>
      </c>
    </row>
    <row r="204" spans="1:28" x14ac:dyDescent="0.35">
      <c r="A204">
        <v>195</v>
      </c>
      <c r="B204" s="17">
        <f t="shared" si="76"/>
        <v>5904.875</v>
      </c>
      <c r="C204" s="17">
        <f t="shared" si="69"/>
        <v>5935.3125</v>
      </c>
      <c r="D204" s="17">
        <f t="shared" si="77"/>
        <v>5920.09375</v>
      </c>
      <c r="E204" s="17">
        <f t="shared" si="63"/>
        <v>194.5</v>
      </c>
      <c r="F204" s="17">
        <f t="shared" si="64"/>
        <v>76.208333333333329</v>
      </c>
      <c r="G204" s="21">
        <f>INDEX('Life Tables'!$F$8:$F$123,MATCH(Engine!F204,'Life Tables'!$B$8:$B$123,1))</f>
        <v>2.5610435121949937E-3</v>
      </c>
      <c r="H204" s="8">
        <f t="shared" si="65"/>
        <v>0.57670591171478747</v>
      </c>
      <c r="I204">
        <f t="shared" si="66"/>
        <v>1</v>
      </c>
      <c r="K204" s="22" t="e">
        <f>$I204*IF($E204&gt;_xlfn.AGGREGATE(4,6,'KM Data'!$B$6:$B$310),NA(),INDEX('KM Data'!$C$6:$C$310,MATCH($E204,'KM Data'!$B$6:$B$310,1)))</f>
        <v>#N/A</v>
      </c>
      <c r="L204" s="21">
        <f t="shared" si="67"/>
        <v>4.4196721989577581E-2</v>
      </c>
      <c r="M204" s="20">
        <f t="shared" si="70"/>
        <v>7.1368502974823445E-3</v>
      </c>
      <c r="N204" s="21">
        <f t="shared" si="78"/>
        <v>4.4196721989577581E-2</v>
      </c>
      <c r="O204" s="21">
        <f t="shared" si="79"/>
        <v>0.78233535242008456</v>
      </c>
      <c r="P204" s="21">
        <f t="shared" si="80"/>
        <v>4.4196721989577581E-2</v>
      </c>
      <c r="R204" s="22" t="e">
        <f>$I204*IF($E204&gt;_xlfn.AGGREGATE(4,6,'KM Data'!$E$6:$E$205),NA(),INDEX('KM Data'!$F$6:$F$205,MATCH($E204,'KM Data'!$E$6:$E$205,1)))</f>
        <v>#N/A</v>
      </c>
      <c r="S204" s="21">
        <f t="shared" si="68"/>
        <v>0.16322370926255558</v>
      </c>
      <c r="T204" s="8">
        <f t="shared" si="71"/>
        <v>4.4910485158340396E-3</v>
      </c>
      <c r="U204" s="21">
        <f t="shared" si="81"/>
        <v>0.16322370926255558</v>
      </c>
      <c r="V204" s="21">
        <f t="shared" si="82"/>
        <v>0.78233535242008456</v>
      </c>
      <c r="W204" s="21">
        <f t="shared" si="83"/>
        <v>0.16322370926255558</v>
      </c>
      <c r="Y204" s="23">
        <f t="shared" si="72"/>
        <v>4.4196721989577581E-2</v>
      </c>
      <c r="Z204" s="6">
        <f t="shared" si="73"/>
        <v>0.119026987272978</v>
      </c>
      <c r="AA204" s="6">
        <f t="shared" si="74"/>
        <v>0.83677629073744442</v>
      </c>
      <c r="AB204" s="6">
        <f t="shared" si="75"/>
        <v>1</v>
      </c>
    </row>
    <row r="205" spans="1:28" x14ac:dyDescent="0.35">
      <c r="A205">
        <v>196</v>
      </c>
      <c r="B205" s="17">
        <f t="shared" si="76"/>
        <v>5935.3125</v>
      </c>
      <c r="C205" s="17">
        <f t="shared" si="69"/>
        <v>5965.75</v>
      </c>
      <c r="D205" s="17">
        <f t="shared" si="77"/>
        <v>5950.53125</v>
      </c>
      <c r="E205" s="17">
        <f t="shared" si="63"/>
        <v>195.5</v>
      </c>
      <c r="F205" s="17">
        <f t="shared" si="64"/>
        <v>76.291666666666671</v>
      </c>
      <c r="G205" s="21">
        <f>INDEX('Life Tables'!$F$8:$F$123,MATCH(Engine!F205,'Life Tables'!$B$8:$B$123,1))</f>
        <v>2.5610435121949937E-3</v>
      </c>
      <c r="H205" s="8">
        <f t="shared" si="65"/>
        <v>0.57670591171478747</v>
      </c>
      <c r="I205">
        <f t="shared" si="66"/>
        <v>1</v>
      </c>
      <c r="K205" s="22" t="e">
        <f>$I205*IF($E205&gt;_xlfn.AGGREGATE(4,6,'KM Data'!$B$6:$B$310),NA(),INDEX('KM Data'!$C$6:$C$310,MATCH($E205,'KM Data'!$B$6:$B$310,1)))</f>
        <v>#N/A</v>
      </c>
      <c r="L205" s="21">
        <f t="shared" si="67"/>
        <v>4.3881296601098518E-2</v>
      </c>
      <c r="M205" s="20">
        <f t="shared" si="70"/>
        <v>7.1103567692716307E-3</v>
      </c>
      <c r="N205" s="21">
        <f t="shared" si="78"/>
        <v>4.3881296601098518E-2</v>
      </c>
      <c r="O205" s="21">
        <f t="shared" si="79"/>
        <v>0.78033175754140827</v>
      </c>
      <c r="P205" s="21">
        <f t="shared" si="80"/>
        <v>4.3881296601098518E-2</v>
      </c>
      <c r="R205" s="22" t="e">
        <f>$I205*IF($E205&gt;_xlfn.AGGREGATE(4,6,'KM Data'!$E$6:$E$205),NA(),INDEX('KM Data'!$F$6:$F$205,MATCH($E205,'KM Data'!$E$6:$E$205,1)))</f>
        <v>#N/A</v>
      </c>
      <c r="S205" s="21">
        <f t="shared" si="68"/>
        <v>0.16249066366532305</v>
      </c>
      <c r="T205" s="8">
        <f t="shared" si="71"/>
        <v>4.4751879701904196E-3</v>
      </c>
      <c r="U205" s="21">
        <f t="shared" si="81"/>
        <v>0.16249066366532305</v>
      </c>
      <c r="V205" s="21">
        <f t="shared" si="82"/>
        <v>0.78033175754140827</v>
      </c>
      <c r="W205" s="21">
        <f t="shared" si="83"/>
        <v>0.16249066366532305</v>
      </c>
      <c r="Y205" s="23">
        <f t="shared" si="72"/>
        <v>4.3881296601098518E-2</v>
      </c>
      <c r="Z205" s="6">
        <f t="shared" si="73"/>
        <v>0.11860936706422454</v>
      </c>
      <c r="AA205" s="6">
        <f t="shared" si="74"/>
        <v>0.83750933633467695</v>
      </c>
      <c r="AB205" s="6">
        <f t="shared" si="75"/>
        <v>1</v>
      </c>
    </row>
    <row r="206" spans="1:28" x14ac:dyDescent="0.35">
      <c r="A206">
        <v>197</v>
      </c>
      <c r="B206" s="17">
        <f t="shared" si="76"/>
        <v>5965.75</v>
      </c>
      <c r="C206" s="17">
        <f t="shared" si="69"/>
        <v>5996.1875</v>
      </c>
      <c r="D206" s="17">
        <f t="shared" si="77"/>
        <v>5980.96875</v>
      </c>
      <c r="E206" s="17">
        <f t="shared" si="63"/>
        <v>196.5</v>
      </c>
      <c r="F206" s="17">
        <f t="shared" si="64"/>
        <v>76.375</v>
      </c>
      <c r="G206" s="21">
        <f>INDEX('Life Tables'!$F$8:$F$123,MATCH(Engine!F206,'Life Tables'!$B$8:$B$123,1))</f>
        <v>2.5610435121949937E-3</v>
      </c>
      <c r="H206" s="8">
        <f t="shared" si="65"/>
        <v>0.57670591171478747</v>
      </c>
      <c r="I206">
        <f t="shared" si="66"/>
        <v>1</v>
      </c>
      <c r="K206" s="22" t="e">
        <f>$I206*IF($E206&gt;_xlfn.AGGREGATE(4,6,'KM Data'!$B$6:$B$310),NA(),INDEX('KM Data'!$C$6:$C$310,MATCH($E206,'KM Data'!$B$6:$B$310,1)))</f>
        <v>#N/A</v>
      </c>
      <c r="L206" s="21">
        <f t="shared" si="67"/>
        <v>4.3569284926766483E-2</v>
      </c>
      <c r="M206" s="20">
        <f t="shared" si="70"/>
        <v>7.084084666129975E-3</v>
      </c>
      <c r="N206" s="21">
        <f t="shared" si="78"/>
        <v>4.3569284926766483E-2</v>
      </c>
      <c r="O206" s="21">
        <f t="shared" si="79"/>
        <v>0.77833329395639717</v>
      </c>
      <c r="P206" s="21">
        <f t="shared" si="80"/>
        <v>4.3569284926766483E-2</v>
      </c>
      <c r="R206" s="22" t="e">
        <f>$I206*IF($E206&gt;_xlfn.AGGREGATE(4,6,'KM Data'!$E$6:$E$205),NA(),INDEX('KM Data'!$F$6:$F$205,MATCH($E206,'KM Data'!$E$6:$E$205,1)))</f>
        <v>#N/A</v>
      </c>
      <c r="S206" s="21">
        <f t="shared" si="68"/>
        <v>0.16176348740201973</v>
      </c>
      <c r="T206" s="8">
        <f t="shared" si="71"/>
        <v>4.4594557793340428E-3</v>
      </c>
      <c r="U206" s="21">
        <f t="shared" si="81"/>
        <v>0.16176348740201973</v>
      </c>
      <c r="V206" s="21">
        <f t="shared" si="82"/>
        <v>0.77833329395639717</v>
      </c>
      <c r="W206" s="21">
        <f t="shared" si="83"/>
        <v>0.16176348740201973</v>
      </c>
      <c r="Y206" s="23">
        <f t="shared" si="72"/>
        <v>4.3569284926766483E-2</v>
      </c>
      <c r="Z206" s="6">
        <f t="shared" si="73"/>
        <v>0.11819420247525325</v>
      </c>
      <c r="AA206" s="6">
        <f t="shared" si="74"/>
        <v>0.83823651259798027</v>
      </c>
      <c r="AB206" s="6">
        <f t="shared" si="75"/>
        <v>1</v>
      </c>
    </row>
    <row r="207" spans="1:28" x14ac:dyDescent="0.35">
      <c r="A207">
        <v>198</v>
      </c>
      <c r="B207" s="17">
        <f t="shared" si="76"/>
        <v>5996.1875</v>
      </c>
      <c r="C207" s="17">
        <f t="shared" si="69"/>
        <v>6026.625</v>
      </c>
      <c r="D207" s="17">
        <f t="shared" si="77"/>
        <v>6011.40625</v>
      </c>
      <c r="E207" s="17">
        <f t="shared" si="63"/>
        <v>197.5</v>
      </c>
      <c r="F207" s="17">
        <f t="shared" si="64"/>
        <v>76.458333333333329</v>
      </c>
      <c r="G207" s="21">
        <f>INDEX('Life Tables'!$F$8:$F$123,MATCH(Engine!F207,'Life Tables'!$B$8:$B$123,1))</f>
        <v>2.5610435121949937E-3</v>
      </c>
      <c r="H207" s="8">
        <f t="shared" si="65"/>
        <v>0.57670591171478747</v>
      </c>
      <c r="I207">
        <f t="shared" si="66"/>
        <v>1</v>
      </c>
      <c r="K207" s="22" t="e">
        <f>$I207*IF($E207&gt;_xlfn.AGGREGATE(4,6,'KM Data'!$B$6:$B$310),NA(),INDEX('KM Data'!$C$6:$C$310,MATCH($E207,'KM Data'!$B$6:$B$310,1)))</f>
        <v>#N/A</v>
      </c>
      <c r="L207" s="21">
        <f t="shared" si="67"/>
        <v>4.326063642350253E-2</v>
      </c>
      <c r="M207" s="20">
        <f t="shared" si="70"/>
        <v>7.0580310922350176E-3</v>
      </c>
      <c r="N207" s="21">
        <f t="shared" si="78"/>
        <v>4.326063642350253E-2</v>
      </c>
      <c r="O207" s="21">
        <f t="shared" si="79"/>
        <v>0.77633994852358479</v>
      </c>
      <c r="P207" s="21">
        <f t="shared" si="80"/>
        <v>4.326063642350253E-2</v>
      </c>
      <c r="R207" s="22" t="e">
        <f>$I207*IF($E207&gt;_xlfn.AGGREGATE(4,6,'KM Data'!$E$6:$E$205),NA(),INDEX('KM Data'!$F$6:$F$205,MATCH($E207,'KM Data'!$E$6:$E$205,1)))</f>
        <v>#N/A</v>
      </c>
      <c r="S207" s="21">
        <f t="shared" si="68"/>
        <v>0.16104211028323956</v>
      </c>
      <c r="T207" s="8">
        <f t="shared" si="71"/>
        <v>4.4438503061324797E-3</v>
      </c>
      <c r="U207" s="21">
        <f t="shared" si="81"/>
        <v>0.16104211028323956</v>
      </c>
      <c r="V207" s="21">
        <f t="shared" si="82"/>
        <v>0.77633994852358479</v>
      </c>
      <c r="W207" s="21">
        <f t="shared" si="83"/>
        <v>0.16104211028323956</v>
      </c>
      <c r="Y207" s="23">
        <f t="shared" si="72"/>
        <v>4.326063642350253E-2</v>
      </c>
      <c r="Z207" s="6">
        <f t="shared" si="73"/>
        <v>0.11778147385973703</v>
      </c>
      <c r="AA207" s="6">
        <f t="shared" si="74"/>
        <v>0.83895788971676044</v>
      </c>
      <c r="AB207" s="6">
        <f t="shared" si="75"/>
        <v>1</v>
      </c>
    </row>
    <row r="208" spans="1:28" x14ac:dyDescent="0.35">
      <c r="A208">
        <v>199</v>
      </c>
      <c r="B208" s="17">
        <f t="shared" si="76"/>
        <v>6026.625</v>
      </c>
      <c r="C208" s="17">
        <f t="shared" si="69"/>
        <v>6057.0625</v>
      </c>
      <c r="D208" s="17">
        <f t="shared" si="77"/>
        <v>6041.84375</v>
      </c>
      <c r="E208" s="17">
        <f t="shared" si="63"/>
        <v>198.5</v>
      </c>
      <c r="F208" s="17">
        <f t="shared" si="64"/>
        <v>76.541666666666671</v>
      </c>
      <c r="G208" s="21">
        <f>INDEX('Life Tables'!$F$8:$F$123,MATCH(Engine!F208,'Life Tables'!$B$8:$B$123,1))</f>
        <v>2.5610435121949937E-3</v>
      </c>
      <c r="H208" s="8">
        <f t="shared" si="65"/>
        <v>0.57670591171478747</v>
      </c>
      <c r="I208">
        <f t="shared" si="66"/>
        <v>1</v>
      </c>
      <c r="K208" s="22" t="e">
        <f>$I208*IF($E208&gt;_xlfn.AGGREGATE(4,6,'KM Data'!$B$6:$B$310),NA(),INDEX('KM Data'!$C$6:$C$310,MATCH($E208,'KM Data'!$B$6:$B$310,1)))</f>
        <v>#N/A</v>
      </c>
      <c r="L208" s="21">
        <f t="shared" si="67"/>
        <v>4.2955301506555577E-2</v>
      </c>
      <c r="M208" s="20">
        <f t="shared" si="70"/>
        <v>7.0321932033244883E-3</v>
      </c>
      <c r="N208" s="21">
        <f t="shared" si="78"/>
        <v>4.2955301506555577E-2</v>
      </c>
      <c r="O208" s="21">
        <f t="shared" si="79"/>
        <v>0.77435170813516063</v>
      </c>
      <c r="P208" s="21">
        <f t="shared" si="80"/>
        <v>4.2955301506555577E-2</v>
      </c>
      <c r="R208" s="22" t="e">
        <f>$I208*IF($E208&gt;_xlfn.AGGREGATE(4,6,'KM Data'!$E$6:$E$205),NA(),INDEX('KM Data'!$F$6:$F$205,MATCH($E208,'KM Data'!$E$6:$E$205,1)))</f>
        <v>#N/A</v>
      </c>
      <c r="S208" s="21">
        <f t="shared" si="68"/>
        <v>0.16032646325215716</v>
      </c>
      <c r="T208" s="8">
        <f t="shared" si="71"/>
        <v>4.4283699419909173E-3</v>
      </c>
      <c r="U208" s="21">
        <f t="shared" si="81"/>
        <v>0.16032646325215716</v>
      </c>
      <c r="V208" s="21">
        <f t="shared" si="82"/>
        <v>0.77435170813516063</v>
      </c>
      <c r="W208" s="21">
        <f t="shared" si="83"/>
        <v>0.16032646325215716</v>
      </c>
      <c r="Y208" s="23">
        <f t="shared" si="72"/>
        <v>4.2955301506555577E-2</v>
      </c>
      <c r="Z208" s="6">
        <f t="shared" si="73"/>
        <v>0.11737116174560158</v>
      </c>
      <c r="AA208" s="6">
        <f t="shared" si="74"/>
        <v>0.83967353674784284</v>
      </c>
      <c r="AB208" s="6">
        <f t="shared" si="75"/>
        <v>1</v>
      </c>
    </row>
    <row r="209" spans="1:28" x14ac:dyDescent="0.35">
      <c r="A209">
        <v>200</v>
      </c>
      <c r="B209" s="17">
        <f t="shared" si="76"/>
        <v>6057.0625</v>
      </c>
      <c r="C209" s="17">
        <f t="shared" si="69"/>
        <v>6087.5</v>
      </c>
      <c r="D209" s="17">
        <f t="shared" si="77"/>
        <v>6072.28125</v>
      </c>
      <c r="E209" s="17">
        <f t="shared" si="63"/>
        <v>199.5</v>
      </c>
      <c r="F209" s="17">
        <f t="shared" si="64"/>
        <v>76.625</v>
      </c>
      <c r="G209" s="21">
        <f>INDEX('Life Tables'!$F$8:$F$123,MATCH(Engine!F209,'Life Tables'!$B$8:$B$123,1))</f>
        <v>2.5610435121949937E-3</v>
      </c>
      <c r="H209" s="8">
        <f t="shared" si="65"/>
        <v>0.57670591171478747</v>
      </c>
      <c r="I209">
        <f t="shared" si="66"/>
        <v>1</v>
      </c>
      <c r="K209" s="22" t="e">
        <f>$I209*IF($E209&gt;_xlfn.AGGREGATE(4,6,'KM Data'!$B$6:$B$310),NA(),INDEX('KM Data'!$C$6:$C$310,MATCH($E209,'KM Data'!$B$6:$B$310,1)))</f>
        <v>#N/A</v>
      </c>
      <c r="L209" s="21">
        <f t="shared" si="67"/>
        <v>4.265323152725442E-2</v>
      </c>
      <c r="M209" s="20">
        <f t="shared" si="70"/>
        <v>7.0065682055212575E-3</v>
      </c>
      <c r="N209" s="21">
        <f t="shared" si="78"/>
        <v>4.265323152725442E-2</v>
      </c>
      <c r="O209" s="21">
        <f t="shared" si="79"/>
        <v>0.77236855971688401</v>
      </c>
      <c r="P209" s="21">
        <f t="shared" si="80"/>
        <v>4.265323152725442E-2</v>
      </c>
      <c r="R209" s="22" t="e">
        <f>$I209*IF($E209&gt;_xlfn.AGGREGATE(4,6,'KM Data'!$E$6:$E$205),NA(),INDEX('KM Data'!$F$6:$F$205,MATCH($E209,'KM Data'!$E$6:$E$205,1)))</f>
        <v>#N/A</v>
      </c>
      <c r="S209" s="21">
        <f t="shared" si="68"/>
        <v>0.15961647836138559</v>
      </c>
      <c r="T209" s="8">
        <f t="shared" si="71"/>
        <v>4.4130131062216638E-3</v>
      </c>
      <c r="U209" s="21">
        <f t="shared" si="81"/>
        <v>0.15961647836138559</v>
      </c>
      <c r="V209" s="21">
        <f t="shared" si="82"/>
        <v>0.77236855971688401</v>
      </c>
      <c r="W209" s="21">
        <f t="shared" si="83"/>
        <v>0.15961647836138559</v>
      </c>
      <c r="Y209" s="23">
        <f t="shared" si="72"/>
        <v>4.265323152725442E-2</v>
      </c>
      <c r="Z209" s="6">
        <f t="shared" si="73"/>
        <v>0.11696324683413117</v>
      </c>
      <c r="AA209" s="6">
        <f t="shared" si="74"/>
        <v>0.84038352163861441</v>
      </c>
      <c r="AB209" s="6">
        <f t="shared" si="75"/>
        <v>1</v>
      </c>
    </row>
    <row r="210" spans="1:28" x14ac:dyDescent="0.35">
      <c r="A210">
        <v>201</v>
      </c>
      <c r="B210" s="17">
        <f t="shared" si="76"/>
        <v>6087.5</v>
      </c>
      <c r="C210" s="17">
        <f t="shared" si="69"/>
        <v>6117.9375</v>
      </c>
      <c r="D210" s="17">
        <f t="shared" si="77"/>
        <v>6102.71875</v>
      </c>
      <c r="E210" s="17">
        <f t="shared" si="63"/>
        <v>200.5</v>
      </c>
      <c r="F210" s="17">
        <f t="shared" si="64"/>
        <v>76.708333333333329</v>
      </c>
      <c r="G210" s="21">
        <f>INDEX('Life Tables'!$F$8:$F$123,MATCH(Engine!F210,'Life Tables'!$B$8:$B$123,1))</f>
        <v>2.5610435121949937E-3</v>
      </c>
      <c r="H210" s="8">
        <f t="shared" si="65"/>
        <v>0.57670591171478747</v>
      </c>
      <c r="I210">
        <f t="shared" si="66"/>
        <v>1</v>
      </c>
      <c r="K210" s="22" t="e">
        <f>$I210*IF($E210&gt;_xlfn.AGGREGATE(4,6,'KM Data'!$B$6:$B$310),NA(),INDEX('KM Data'!$C$6:$C$310,MATCH($E210,'KM Data'!$B$6:$B$310,1)))</f>
        <v>#N/A</v>
      </c>
      <c r="L210" s="21">
        <f t="shared" si="67"/>
        <v>4.2354378751372823E-2</v>
      </c>
      <c r="M210" s="20">
        <f t="shared" si="70"/>
        <v>6.9811533542196713E-3</v>
      </c>
      <c r="N210" s="21">
        <f t="shared" si="78"/>
        <v>4.2354378751372823E-2</v>
      </c>
      <c r="O210" s="21">
        <f t="shared" si="79"/>
        <v>0.77039049022799766</v>
      </c>
      <c r="P210" s="21">
        <f t="shared" si="80"/>
        <v>4.2354378751372823E-2</v>
      </c>
      <c r="R210" s="22" t="e">
        <f>$I210*IF($E210&gt;_xlfn.AGGREGATE(4,6,'KM Data'!$E$6:$E$205),NA(),INDEX('KM Data'!$F$6:$F$205,MATCH($E210,'KM Data'!$E$6:$E$205,1)))</f>
        <v>#N/A</v>
      </c>
      <c r="S210" s="21">
        <f t="shared" si="68"/>
        <v>0.15891208875040785</v>
      </c>
      <c r="T210" s="8">
        <f t="shared" si="71"/>
        <v>4.3977782454363012E-3</v>
      </c>
      <c r="U210" s="21">
        <f t="shared" si="81"/>
        <v>0.15891208875040785</v>
      </c>
      <c r="V210" s="21">
        <f t="shared" si="82"/>
        <v>0.77039049022799766</v>
      </c>
      <c r="W210" s="21">
        <f t="shared" si="83"/>
        <v>0.15891208875040785</v>
      </c>
      <c r="Y210" s="23">
        <f t="shared" si="72"/>
        <v>4.2354378751372823E-2</v>
      </c>
      <c r="Z210" s="6">
        <f t="shared" si="73"/>
        <v>0.11655770999903503</v>
      </c>
      <c r="AA210" s="6">
        <f t="shared" si="74"/>
        <v>0.84108791124959215</v>
      </c>
      <c r="AB210" s="6">
        <f t="shared" si="75"/>
        <v>1</v>
      </c>
    </row>
    <row r="211" spans="1:28" x14ac:dyDescent="0.35">
      <c r="A211">
        <v>202</v>
      </c>
      <c r="B211" s="17">
        <f t="shared" si="76"/>
        <v>6117.9375</v>
      </c>
      <c r="C211" s="17">
        <f t="shared" si="69"/>
        <v>6148.375</v>
      </c>
      <c r="D211" s="17">
        <f t="shared" si="77"/>
        <v>6133.15625</v>
      </c>
      <c r="E211" s="17">
        <f t="shared" si="63"/>
        <v>201.5</v>
      </c>
      <c r="F211" s="17">
        <f t="shared" si="64"/>
        <v>76.791666666666671</v>
      </c>
      <c r="G211" s="21">
        <f>INDEX('Life Tables'!$F$8:$F$123,MATCH(Engine!F211,'Life Tables'!$B$8:$B$123,1))</f>
        <v>2.5610435121949937E-3</v>
      </c>
      <c r="H211" s="8">
        <f t="shared" si="65"/>
        <v>0.57670591171478747</v>
      </c>
      <c r="I211">
        <f t="shared" si="66"/>
        <v>1</v>
      </c>
      <c r="K211" s="22" t="e">
        <f>$I211*IF($E211&gt;_xlfn.AGGREGATE(4,6,'KM Data'!$B$6:$B$310),NA(),INDEX('KM Data'!$C$6:$C$310,MATCH($E211,'KM Data'!$B$6:$B$310,1)))</f>
        <v>#N/A</v>
      </c>
      <c r="L211" s="21">
        <f t="shared" si="67"/>
        <v>4.2058696338086787E-2</v>
      </c>
      <c r="M211" s="20">
        <f t="shared" si="70"/>
        <v>6.955945952971998E-3</v>
      </c>
      <c r="N211" s="21">
        <f t="shared" si="78"/>
        <v>4.2058696338086787E-2</v>
      </c>
      <c r="O211" s="21">
        <f t="shared" si="79"/>
        <v>0.76841748666114251</v>
      </c>
      <c r="P211" s="21">
        <f t="shared" si="80"/>
        <v>4.2058696338086787E-2</v>
      </c>
      <c r="R211" s="22" t="e">
        <f>$I211*IF($E211&gt;_xlfn.AGGREGATE(4,6,'KM Data'!$E$6:$E$205),NA(),INDEX('KM Data'!$F$6:$F$205,MATCH($E211,'KM Data'!$E$6:$E$205,1)))</f>
        <v>#N/A</v>
      </c>
      <c r="S211" s="21">
        <f t="shared" si="68"/>
        <v>0.15821322862356446</v>
      </c>
      <c r="T211" s="8">
        <f t="shared" si="71"/>
        <v>4.3826638329328427E-3</v>
      </c>
      <c r="U211" s="21">
        <f t="shared" si="81"/>
        <v>0.15821322862356446</v>
      </c>
      <c r="V211" s="21">
        <f t="shared" si="82"/>
        <v>0.76841748666114251</v>
      </c>
      <c r="W211" s="21">
        <f t="shared" si="83"/>
        <v>0.15821322862356446</v>
      </c>
      <c r="Y211" s="23">
        <f t="shared" si="72"/>
        <v>4.2058696338086787E-2</v>
      </c>
      <c r="Z211" s="6">
        <f t="shared" si="73"/>
        <v>0.11615453228547767</v>
      </c>
      <c r="AA211" s="6">
        <f t="shared" si="74"/>
        <v>0.84178677137643554</v>
      </c>
      <c r="AB211" s="6">
        <f t="shared" si="75"/>
        <v>1</v>
      </c>
    </row>
    <row r="212" spans="1:28" x14ac:dyDescent="0.35">
      <c r="A212">
        <v>203</v>
      </c>
      <c r="B212" s="17">
        <f t="shared" si="76"/>
        <v>6148.375</v>
      </c>
      <c r="C212" s="17">
        <f t="shared" si="69"/>
        <v>6178.8125</v>
      </c>
      <c r="D212" s="17">
        <f t="shared" si="77"/>
        <v>6163.59375</v>
      </c>
      <c r="E212" s="17">
        <f t="shared" si="63"/>
        <v>202.5</v>
      </c>
      <c r="F212" s="17">
        <f t="shared" si="64"/>
        <v>76.875</v>
      </c>
      <c r="G212" s="21">
        <f>INDEX('Life Tables'!$F$8:$F$123,MATCH(Engine!F212,'Life Tables'!$B$8:$B$123,1))</f>
        <v>2.5610435121949937E-3</v>
      </c>
      <c r="H212" s="8">
        <f t="shared" si="65"/>
        <v>0.57670591171478747</v>
      </c>
      <c r="I212">
        <f t="shared" si="66"/>
        <v>1</v>
      </c>
      <c r="K212" s="22" t="e">
        <f>$I212*IF($E212&gt;_xlfn.AGGREGATE(4,6,'KM Data'!$B$6:$B$310),NA(),INDEX('KM Data'!$C$6:$C$310,MATCH($E212,'KM Data'!$B$6:$B$310,1)))</f>
        <v>#N/A</v>
      </c>
      <c r="L212" s="21">
        <f t="shared" si="67"/>
        <v>4.1766138319506596E-2</v>
      </c>
      <c r="M212" s="20">
        <f t="shared" si="70"/>
        <v>6.9309433524310515E-3</v>
      </c>
      <c r="N212" s="21">
        <f t="shared" si="78"/>
        <v>4.1766138319506596E-2</v>
      </c>
      <c r="O212" s="21">
        <f t="shared" si="79"/>
        <v>0.76644953604227184</v>
      </c>
      <c r="P212" s="21">
        <f t="shared" si="80"/>
        <v>4.1766138319506596E-2</v>
      </c>
      <c r="R212" s="22" t="e">
        <f>$I212*IF($E212&gt;_xlfn.AGGREGATE(4,6,'KM Data'!$E$6:$E$205),NA(),INDEX('KM Data'!$F$6:$F$205,MATCH($E212,'KM Data'!$E$6:$E$205,1)))</f>
        <v>#N/A</v>
      </c>
      <c r="S212" s="21">
        <f t="shared" si="68"/>
        <v>0.15751983322858443</v>
      </c>
      <c r="T212" s="8">
        <f t="shared" si="71"/>
        <v>4.367668368133848E-3</v>
      </c>
      <c r="U212" s="21">
        <f t="shared" si="81"/>
        <v>0.15751983322858443</v>
      </c>
      <c r="V212" s="21">
        <f t="shared" si="82"/>
        <v>0.76644953604227184</v>
      </c>
      <c r="W212" s="21">
        <f t="shared" si="83"/>
        <v>0.15751983322858443</v>
      </c>
      <c r="Y212" s="23">
        <f t="shared" si="72"/>
        <v>4.1766138319506596E-2</v>
      </c>
      <c r="Z212" s="6">
        <f t="shared" si="73"/>
        <v>0.11575369490907783</v>
      </c>
      <c r="AA212" s="6">
        <f t="shared" si="74"/>
        <v>0.84248016677141557</v>
      </c>
      <c r="AB212" s="6">
        <f t="shared" si="75"/>
        <v>1</v>
      </c>
    </row>
    <row r="213" spans="1:28" x14ac:dyDescent="0.35">
      <c r="A213">
        <v>204</v>
      </c>
      <c r="B213" s="17">
        <f t="shared" si="76"/>
        <v>6178.8125</v>
      </c>
      <c r="C213" s="17">
        <f t="shared" si="69"/>
        <v>6209.25</v>
      </c>
      <c r="D213" s="17">
        <f t="shared" si="77"/>
        <v>6194.03125</v>
      </c>
      <c r="E213" s="17">
        <f t="shared" si="63"/>
        <v>203.5</v>
      </c>
      <c r="F213" s="17">
        <f t="shared" si="64"/>
        <v>76.958333333333329</v>
      </c>
      <c r="G213" s="21">
        <f>INDEX('Life Tables'!$F$8:$F$123,MATCH(Engine!F213,'Life Tables'!$B$8:$B$123,1))</f>
        <v>2.5610435121949937E-3</v>
      </c>
      <c r="H213" s="8">
        <f t="shared" si="65"/>
        <v>0.55720377943457733</v>
      </c>
      <c r="I213">
        <f t="shared" si="66"/>
        <v>1</v>
      </c>
      <c r="K213" s="22" t="e">
        <f>$I213*IF($E213&gt;_xlfn.AGGREGATE(4,6,'KM Data'!$B$6:$B$310),NA(),INDEX('KM Data'!$C$6:$C$310,MATCH($E213,'KM Data'!$B$6:$B$310,1)))</f>
        <v>#N/A</v>
      </c>
      <c r="L213" s="21">
        <f t="shared" si="67"/>
        <v>4.1476659580764297E-2</v>
      </c>
      <c r="M213" s="20">
        <f t="shared" si="70"/>
        <v>6.9061429492999205E-3</v>
      </c>
      <c r="N213" s="21">
        <f t="shared" si="78"/>
        <v>4.1476659580764297E-2</v>
      </c>
      <c r="O213" s="21">
        <f t="shared" si="79"/>
        <v>0.76448662543056589</v>
      </c>
      <c r="P213" s="21">
        <f t="shared" si="80"/>
        <v>4.1476659580764297E-2</v>
      </c>
      <c r="R213" s="22" t="e">
        <f>$I213*IF($E213&gt;_xlfn.AGGREGATE(4,6,'KM Data'!$E$6:$E$205),NA(),INDEX('KM Data'!$F$6:$F$205,MATCH($E213,'KM Data'!$E$6:$E$205,1)))</f>
        <v>#N/A</v>
      </c>
      <c r="S213" s="21">
        <f t="shared" si="68"/>
        <v>0.15683183883563823</v>
      </c>
      <c r="T213" s="8">
        <f t="shared" si="71"/>
        <v>4.3527903760031128E-3</v>
      </c>
      <c r="U213" s="21">
        <f t="shared" si="81"/>
        <v>0.15683183883563823</v>
      </c>
      <c r="V213" s="21">
        <f t="shared" si="82"/>
        <v>0.76448662543056589</v>
      </c>
      <c r="W213" s="21">
        <f t="shared" si="83"/>
        <v>0.15683183883563823</v>
      </c>
      <c r="Y213" s="23">
        <f t="shared" si="72"/>
        <v>4.1476659580764297E-2</v>
      </c>
      <c r="Z213" s="6">
        <f t="shared" si="73"/>
        <v>0.11535517925487393</v>
      </c>
      <c r="AA213" s="6">
        <f t="shared" si="74"/>
        <v>0.84316816116436177</v>
      </c>
      <c r="AB213" s="6">
        <f t="shared" si="75"/>
        <v>1</v>
      </c>
    </row>
    <row r="214" spans="1:28" x14ac:dyDescent="0.35">
      <c r="A214">
        <v>205</v>
      </c>
      <c r="B214" s="17">
        <f t="shared" si="76"/>
        <v>6209.25</v>
      </c>
      <c r="C214" s="17">
        <f t="shared" si="69"/>
        <v>6239.6875</v>
      </c>
      <c r="D214" s="17">
        <f t="shared" si="77"/>
        <v>6224.46875</v>
      </c>
      <c r="E214" s="17">
        <f t="shared" si="63"/>
        <v>204.5</v>
      </c>
      <c r="F214" s="17">
        <f t="shared" si="64"/>
        <v>77.041666666666671</v>
      </c>
      <c r="G214" s="21">
        <f>INDEX('Life Tables'!$F$8:$F$123,MATCH(Engine!F214,'Life Tables'!$B$8:$B$123,1))</f>
        <v>2.8844908891774157E-3</v>
      </c>
      <c r="H214" s="8">
        <f t="shared" si="65"/>
        <v>0.55720377943457733</v>
      </c>
      <c r="I214">
        <f t="shared" si="66"/>
        <v>1</v>
      </c>
      <c r="K214" s="22" t="e">
        <f>$I214*IF($E214&gt;_xlfn.AGGREGATE(4,6,'KM Data'!$B$6:$B$310),NA(),INDEX('KM Data'!$C$6:$C$310,MATCH($E214,'KM Data'!$B$6:$B$310,1)))</f>
        <v>#N/A</v>
      </c>
      <c r="L214" s="21">
        <f t="shared" si="67"/>
        <v>4.1190215840640088E-2</v>
      </c>
      <c r="M214" s="20">
        <f t="shared" si="70"/>
        <v>6.881542185330769E-3</v>
      </c>
      <c r="N214" s="21">
        <f t="shared" si="78"/>
        <v>4.1190215840640088E-2</v>
      </c>
      <c r="O214" s="21">
        <f t="shared" si="79"/>
        <v>0.76252874191834707</v>
      </c>
      <c r="P214" s="21">
        <f t="shared" si="80"/>
        <v>4.1190215840640088E-2</v>
      </c>
      <c r="R214" s="22" t="e">
        <f>$I214*IF($E214&gt;_xlfn.AGGREGATE(4,6,'KM Data'!$E$6:$E$205),NA(),INDEX('KM Data'!$F$6:$F$205,MATCH($E214,'KM Data'!$E$6:$E$205,1)))</f>
        <v>#N/A</v>
      </c>
      <c r="S214" s="21">
        <f t="shared" si="68"/>
        <v>0.15614918271690359</v>
      </c>
      <c r="T214" s="8">
        <f t="shared" si="71"/>
        <v>4.3380284065099861E-3</v>
      </c>
      <c r="U214" s="21">
        <f t="shared" si="81"/>
        <v>0.15614918271690359</v>
      </c>
      <c r="V214" s="21">
        <f t="shared" si="82"/>
        <v>0.76252874191834707</v>
      </c>
      <c r="W214" s="21">
        <f t="shared" si="83"/>
        <v>0.15614918271690359</v>
      </c>
      <c r="Y214" s="23">
        <f t="shared" si="72"/>
        <v>4.1190215840640088E-2</v>
      </c>
      <c r="Z214" s="6">
        <f t="shared" si="73"/>
        <v>0.1149589668762635</v>
      </c>
      <c r="AA214" s="6">
        <f t="shared" si="74"/>
        <v>0.84385081728309641</v>
      </c>
      <c r="AB214" s="6">
        <f t="shared" si="75"/>
        <v>1</v>
      </c>
    </row>
    <row r="215" spans="1:28" x14ac:dyDescent="0.35">
      <c r="A215">
        <v>206</v>
      </c>
      <c r="B215" s="17">
        <f t="shared" si="76"/>
        <v>6239.6875</v>
      </c>
      <c r="C215" s="17">
        <f t="shared" si="69"/>
        <v>6270.125</v>
      </c>
      <c r="D215" s="17">
        <f t="shared" si="77"/>
        <v>6254.90625</v>
      </c>
      <c r="E215" s="17">
        <f t="shared" si="63"/>
        <v>205.5</v>
      </c>
      <c r="F215" s="17">
        <f t="shared" si="64"/>
        <v>77.125</v>
      </c>
      <c r="G215" s="21">
        <f>INDEX('Life Tables'!$F$8:$F$123,MATCH(Engine!F215,'Life Tables'!$B$8:$B$123,1))</f>
        <v>2.8844908891774157E-3</v>
      </c>
      <c r="H215" s="8">
        <f t="shared" si="65"/>
        <v>0.55720377943457733</v>
      </c>
      <c r="I215">
        <f t="shared" si="66"/>
        <v>1</v>
      </c>
      <c r="K215" s="22" t="e">
        <f>$I215*IF($E215&gt;_xlfn.AGGREGATE(4,6,'KM Data'!$B$6:$B$310),NA(),INDEX('KM Data'!$C$6:$C$310,MATCH($E215,'KM Data'!$B$6:$B$310,1)))</f>
        <v>#N/A</v>
      </c>
      <c r="L215" s="21">
        <f t="shared" si="67"/>
        <v>4.0906763632709842E-2</v>
      </c>
      <c r="M215" s="20">
        <f t="shared" si="70"/>
        <v>6.8571385463362944E-3</v>
      </c>
      <c r="N215" s="21">
        <f t="shared" si="78"/>
        <v>4.0906763632709842E-2</v>
      </c>
      <c r="O215" s="21">
        <f t="shared" si="79"/>
        <v>0.76032923470954772</v>
      </c>
      <c r="P215" s="21">
        <f t="shared" si="80"/>
        <v>4.0906763632709842E-2</v>
      </c>
      <c r="R215" s="22" t="e">
        <f>$I215*IF($E215&gt;_xlfn.AGGREGATE(4,6,'KM Data'!$E$6:$E$205),NA(),INDEX('KM Data'!$F$6:$F$205,MATCH($E215,'KM Data'!$E$6:$E$205,1)))</f>
        <v>#N/A</v>
      </c>
      <c r="S215" s="21">
        <f t="shared" si="68"/>
        <v>0.15547180312662434</v>
      </c>
      <c r="T215" s="8">
        <f t="shared" si="71"/>
        <v>4.3233810340747025E-3</v>
      </c>
      <c r="U215" s="21">
        <f t="shared" si="81"/>
        <v>0.15547180312662434</v>
      </c>
      <c r="V215" s="21">
        <f t="shared" si="82"/>
        <v>0.76032923470954772</v>
      </c>
      <c r="W215" s="21">
        <f t="shared" si="83"/>
        <v>0.15547180312662434</v>
      </c>
      <c r="Y215" s="23">
        <f t="shared" si="72"/>
        <v>4.0906763632709842E-2</v>
      </c>
      <c r="Z215" s="6">
        <f t="shared" si="73"/>
        <v>0.1145650394939145</v>
      </c>
      <c r="AA215" s="6">
        <f t="shared" si="74"/>
        <v>0.84452819687337566</v>
      </c>
      <c r="AB215" s="6">
        <f t="shared" si="75"/>
        <v>1</v>
      </c>
    </row>
    <row r="216" spans="1:28" x14ac:dyDescent="0.35">
      <c r="A216">
        <v>207</v>
      </c>
      <c r="B216" s="17">
        <f t="shared" si="76"/>
        <v>6270.125</v>
      </c>
      <c r="C216" s="17">
        <f t="shared" si="69"/>
        <v>6300.5625</v>
      </c>
      <c r="D216" s="17">
        <f t="shared" si="77"/>
        <v>6285.34375</v>
      </c>
      <c r="E216" s="17">
        <f t="shared" si="63"/>
        <v>206.5</v>
      </c>
      <c r="F216" s="17">
        <f t="shared" si="64"/>
        <v>77.208333333333329</v>
      </c>
      <c r="G216" s="21">
        <f>INDEX('Life Tables'!$F$8:$F$123,MATCH(Engine!F216,'Life Tables'!$B$8:$B$123,1))</f>
        <v>2.8844908891774157E-3</v>
      </c>
      <c r="H216" s="8">
        <f t="shared" si="65"/>
        <v>0.55720377943457733</v>
      </c>
      <c r="I216">
        <f t="shared" si="66"/>
        <v>1</v>
      </c>
      <c r="K216" s="22" t="e">
        <f>$I216*IF($E216&gt;_xlfn.AGGREGATE(4,6,'KM Data'!$B$6:$B$310),NA(),INDEX('KM Data'!$C$6:$C$310,MATCH($E216,'KM Data'!$B$6:$B$310,1)))</f>
        <v>#N/A</v>
      </c>
      <c r="L216" s="21">
        <f t="shared" si="67"/>
        <v>4.0626260286998117E-2</v>
      </c>
      <c r="M216" s="20">
        <f t="shared" si="70"/>
        <v>6.8329295612239438E-3</v>
      </c>
      <c r="N216" s="21">
        <f t="shared" si="78"/>
        <v>4.0626260286998117E-2</v>
      </c>
      <c r="O216" s="21">
        <f t="shared" si="79"/>
        <v>0.75813607195925281</v>
      </c>
      <c r="P216" s="21">
        <f t="shared" si="80"/>
        <v>4.0626260286998117E-2</v>
      </c>
      <c r="R216" s="22" t="e">
        <f>$I216*IF($E216&gt;_xlfn.AGGREGATE(4,6,'KM Data'!$E$6:$E$205),NA(),INDEX('KM Data'!$F$6:$F$205,MATCH($E216,'KM Data'!$E$6:$E$205,1)))</f>
        <v>#N/A</v>
      </c>
      <c r="S216" s="21">
        <f t="shared" si="68"/>
        <v>0.1547996392816533</v>
      </c>
      <c r="T216" s="8">
        <f t="shared" si="71"/>
        <v>4.308846857063231E-3</v>
      </c>
      <c r="U216" s="21">
        <f t="shared" si="81"/>
        <v>0.1547996392816533</v>
      </c>
      <c r="V216" s="21">
        <f t="shared" si="82"/>
        <v>0.75813607195925281</v>
      </c>
      <c r="W216" s="21">
        <f t="shared" si="83"/>
        <v>0.1547996392816533</v>
      </c>
      <c r="Y216" s="23">
        <f t="shared" si="72"/>
        <v>4.0626260286998117E-2</v>
      </c>
      <c r="Z216" s="6">
        <f t="shared" si="73"/>
        <v>0.11417337899465518</v>
      </c>
      <c r="AA216" s="6">
        <f t="shared" si="74"/>
        <v>0.8452003607183467</v>
      </c>
      <c r="AB216" s="6">
        <f t="shared" si="75"/>
        <v>1</v>
      </c>
    </row>
    <row r="217" spans="1:28" x14ac:dyDescent="0.35">
      <c r="A217">
        <v>208</v>
      </c>
      <c r="B217" s="17">
        <f t="shared" si="76"/>
        <v>6300.5625</v>
      </c>
      <c r="C217" s="17">
        <f t="shared" si="69"/>
        <v>6331</v>
      </c>
      <c r="D217" s="17">
        <f t="shared" si="77"/>
        <v>6315.78125</v>
      </c>
      <c r="E217" s="17">
        <f t="shared" si="63"/>
        <v>207.5</v>
      </c>
      <c r="F217" s="17">
        <f t="shared" si="64"/>
        <v>77.291666666666671</v>
      </c>
      <c r="G217" s="21">
        <f>INDEX('Life Tables'!$F$8:$F$123,MATCH(Engine!F217,'Life Tables'!$B$8:$B$123,1))</f>
        <v>2.8844908891774157E-3</v>
      </c>
      <c r="H217" s="8">
        <f t="shared" si="65"/>
        <v>0.55720377943457733</v>
      </c>
      <c r="I217">
        <f t="shared" si="66"/>
        <v>1</v>
      </c>
      <c r="K217" s="22" t="e">
        <f>$I217*IF($E217&gt;_xlfn.AGGREGATE(4,6,'KM Data'!$B$6:$B$310),NA(),INDEX('KM Data'!$C$6:$C$310,MATCH($E217,'KM Data'!$B$6:$B$310,1)))</f>
        <v>#N/A</v>
      </c>
      <c r="L217" s="21">
        <f t="shared" si="67"/>
        <v>4.0348663912121108E-2</v>
      </c>
      <c r="M217" s="20">
        <f t="shared" si="70"/>
        <v>6.8089128010568878E-3</v>
      </c>
      <c r="N217" s="21">
        <f t="shared" si="78"/>
        <v>4.0348663912121108E-2</v>
      </c>
      <c r="O217" s="21">
        <f t="shared" si="79"/>
        <v>0.75594923536692959</v>
      </c>
      <c r="P217" s="21">
        <f t="shared" si="80"/>
        <v>4.0348663912121108E-2</v>
      </c>
      <c r="R217" s="22" t="e">
        <f>$I217*IF($E217&gt;_xlfn.AGGREGATE(4,6,'KM Data'!$E$6:$E$205),NA(),INDEX('KM Data'!$F$6:$F$205,MATCH($E217,'KM Data'!$E$6:$E$205,1)))</f>
        <v>#N/A</v>
      </c>
      <c r="S217" s="21">
        <f t="shared" si="68"/>
        <v>0.15413263134246002</v>
      </c>
      <c r="T217" s="8">
        <f t="shared" si="71"/>
        <v>4.2944244972604739E-3</v>
      </c>
      <c r="U217" s="21">
        <f t="shared" si="81"/>
        <v>0.15413263134246002</v>
      </c>
      <c r="V217" s="21">
        <f t="shared" si="82"/>
        <v>0.75594923536692959</v>
      </c>
      <c r="W217" s="21">
        <f t="shared" si="83"/>
        <v>0.15413263134246002</v>
      </c>
      <c r="Y217" s="23">
        <f t="shared" si="72"/>
        <v>4.0348663912121108E-2</v>
      </c>
      <c r="Z217" s="6">
        <f t="shared" si="73"/>
        <v>0.11378396743033892</v>
      </c>
      <c r="AA217" s="6">
        <f t="shared" si="74"/>
        <v>0.84586736865753998</v>
      </c>
      <c r="AB217" s="6">
        <f t="shared" si="75"/>
        <v>1</v>
      </c>
    </row>
    <row r="218" spans="1:28" x14ac:dyDescent="0.35">
      <c r="A218">
        <v>209</v>
      </c>
      <c r="B218" s="17">
        <f t="shared" si="76"/>
        <v>6331</v>
      </c>
      <c r="C218" s="17">
        <f t="shared" si="69"/>
        <v>6361.4375</v>
      </c>
      <c r="D218" s="17">
        <f t="shared" si="77"/>
        <v>6346.21875</v>
      </c>
      <c r="E218" s="17">
        <f t="shared" si="63"/>
        <v>208.5</v>
      </c>
      <c r="F218" s="17">
        <f t="shared" si="64"/>
        <v>77.375</v>
      </c>
      <c r="G218" s="21">
        <f>INDEX('Life Tables'!$F$8:$F$123,MATCH(Engine!F218,'Life Tables'!$B$8:$B$123,1))</f>
        <v>2.8844908891774157E-3</v>
      </c>
      <c r="H218" s="8">
        <f t="shared" si="65"/>
        <v>0.55720377943457733</v>
      </c>
      <c r="I218">
        <f t="shared" si="66"/>
        <v>1</v>
      </c>
      <c r="K218" s="22" t="e">
        <f>$I218*IF($E218&gt;_xlfn.AGGREGATE(4,6,'KM Data'!$B$6:$B$310),NA(),INDEX('KM Data'!$C$6:$C$310,MATCH($E218,'KM Data'!$B$6:$B$310,1)))</f>
        <v>#N/A</v>
      </c>
      <c r="L218" s="21">
        <f t="shared" si="67"/>
        <v>4.0073933377904325E-2</v>
      </c>
      <c r="M218" s="20">
        <f t="shared" si="70"/>
        <v>6.7850858781739465E-3</v>
      </c>
      <c r="N218" s="21">
        <f t="shared" si="78"/>
        <v>4.0073933377904325E-2</v>
      </c>
      <c r="O218" s="21">
        <f t="shared" si="79"/>
        <v>0.75376870668483309</v>
      </c>
      <c r="P218" s="21">
        <f t="shared" si="80"/>
        <v>4.0073933377904325E-2</v>
      </c>
      <c r="R218" s="22" t="e">
        <f>$I218*IF($E218&gt;_xlfn.AGGREGATE(4,6,'KM Data'!$E$6:$E$205),NA(),INDEX('KM Data'!$F$6:$F$205,MATCH($E218,'KM Data'!$E$6:$E$205,1)))</f>
        <v>#N/A</v>
      </c>
      <c r="S218" s="21">
        <f t="shared" si="68"/>
        <v>0.15347072039459575</v>
      </c>
      <c r="T218" s="8">
        <f t="shared" si="71"/>
        <v>4.2801125993918721E-3</v>
      </c>
      <c r="U218" s="21">
        <f t="shared" si="81"/>
        <v>0.15347072039459575</v>
      </c>
      <c r="V218" s="21">
        <f t="shared" si="82"/>
        <v>0.75376870668483309</v>
      </c>
      <c r="W218" s="21">
        <f t="shared" si="83"/>
        <v>0.15347072039459575</v>
      </c>
      <c r="Y218" s="23">
        <f t="shared" si="72"/>
        <v>4.0073933377904325E-2</v>
      </c>
      <c r="Z218" s="6">
        <f t="shared" si="73"/>
        <v>0.11339678701669142</v>
      </c>
      <c r="AA218" s="6">
        <f t="shared" si="74"/>
        <v>0.84652927960540425</v>
      </c>
      <c r="AB218" s="6">
        <f t="shared" si="75"/>
        <v>1</v>
      </c>
    </row>
    <row r="219" spans="1:28" x14ac:dyDescent="0.35">
      <c r="A219">
        <v>210</v>
      </c>
      <c r="B219" s="17">
        <f t="shared" si="76"/>
        <v>6361.4375</v>
      </c>
      <c r="C219" s="17">
        <f t="shared" si="69"/>
        <v>6391.875</v>
      </c>
      <c r="D219" s="17">
        <f t="shared" si="77"/>
        <v>6376.65625</v>
      </c>
      <c r="E219" s="17">
        <f t="shared" si="63"/>
        <v>209.5</v>
      </c>
      <c r="F219" s="17">
        <f t="shared" si="64"/>
        <v>77.458333333333329</v>
      </c>
      <c r="G219" s="21">
        <f>INDEX('Life Tables'!$F$8:$F$123,MATCH(Engine!F219,'Life Tables'!$B$8:$B$123,1))</f>
        <v>2.8844908891774157E-3</v>
      </c>
      <c r="H219" s="8">
        <f t="shared" si="65"/>
        <v>0.55720377943457733</v>
      </c>
      <c r="I219">
        <f t="shared" si="66"/>
        <v>1</v>
      </c>
      <c r="K219" s="22" t="e">
        <f>$I219*IF($E219&gt;_xlfn.AGGREGATE(4,6,'KM Data'!$B$6:$B$310),NA(),INDEX('KM Data'!$C$6:$C$310,MATCH($E219,'KM Data'!$B$6:$B$310,1)))</f>
        <v>#N/A</v>
      </c>
      <c r="L219" s="21">
        <f t="shared" si="67"/>
        <v>3.9802028298459025E-2</v>
      </c>
      <c r="M219" s="20">
        <f t="shared" si="70"/>
        <v>6.7614464452683265E-3</v>
      </c>
      <c r="N219" s="21">
        <f t="shared" si="78"/>
        <v>3.9802028298459025E-2</v>
      </c>
      <c r="O219" s="21">
        <f t="shared" si="79"/>
        <v>0.75159446771785365</v>
      </c>
      <c r="P219" s="21">
        <f t="shared" si="80"/>
        <v>3.9802028298459025E-2</v>
      </c>
      <c r="R219" s="22" t="e">
        <f>$I219*IF($E219&gt;_xlfn.AGGREGATE(4,6,'KM Data'!$E$6:$E$205),NA(),INDEX('KM Data'!$F$6:$F$205,MATCH($E219,'KM Data'!$E$6:$E$205,1)))</f>
        <v>#N/A</v>
      </c>
      <c r="S219" s="21">
        <f t="shared" si="68"/>
        <v>0.15281384843059709</v>
      </c>
      <c r="T219" s="8">
        <f t="shared" si="71"/>
        <v>4.2659098306249144E-3</v>
      </c>
      <c r="U219" s="21">
        <f t="shared" si="81"/>
        <v>0.15281384843059709</v>
      </c>
      <c r="V219" s="21">
        <f t="shared" si="82"/>
        <v>0.75159446771785365</v>
      </c>
      <c r="W219" s="21">
        <f t="shared" si="83"/>
        <v>0.15281384843059709</v>
      </c>
      <c r="Y219" s="23">
        <f t="shared" si="72"/>
        <v>3.9802028298459025E-2</v>
      </c>
      <c r="Z219" s="6">
        <f t="shared" si="73"/>
        <v>0.11301182013213806</v>
      </c>
      <c r="AA219" s="6">
        <f t="shared" si="74"/>
        <v>0.84718615156940291</v>
      </c>
      <c r="AB219" s="6">
        <f t="shared" si="75"/>
        <v>1</v>
      </c>
    </row>
    <row r="220" spans="1:28" x14ac:dyDescent="0.35">
      <c r="A220">
        <v>211</v>
      </c>
      <c r="B220" s="17">
        <f t="shared" si="76"/>
        <v>6391.875</v>
      </c>
      <c r="C220" s="17">
        <f t="shared" si="69"/>
        <v>6422.3125</v>
      </c>
      <c r="D220" s="17">
        <f t="shared" si="77"/>
        <v>6407.09375</v>
      </c>
      <c r="E220" s="17">
        <f t="shared" si="63"/>
        <v>210.5</v>
      </c>
      <c r="F220" s="17">
        <f t="shared" si="64"/>
        <v>77.541666666666671</v>
      </c>
      <c r="G220" s="21">
        <f>INDEX('Life Tables'!$F$8:$F$123,MATCH(Engine!F220,'Life Tables'!$B$8:$B$123,1))</f>
        <v>2.8844908891774157E-3</v>
      </c>
      <c r="H220" s="8">
        <f t="shared" si="65"/>
        <v>0.55720377943457733</v>
      </c>
      <c r="I220">
        <f t="shared" si="66"/>
        <v>1</v>
      </c>
      <c r="K220" s="22" t="e">
        <f>$I220*IF($E220&gt;_xlfn.AGGREGATE(4,6,'KM Data'!$B$6:$B$310),NA(),INDEX('KM Data'!$C$6:$C$310,MATCH($E220,'KM Data'!$B$6:$B$310,1)))</f>
        <v>#N/A</v>
      </c>
      <c r="L220" s="21">
        <f t="shared" si="67"/>
        <v>3.9532909015705942E-2</v>
      </c>
      <c r="M220" s="20">
        <f t="shared" si="70"/>
        <v>6.7379921945449617E-3</v>
      </c>
      <c r="N220" s="21">
        <f t="shared" si="78"/>
        <v>3.9532909015705942E-2</v>
      </c>
      <c r="O220" s="21">
        <f t="shared" si="79"/>
        <v>0.74942650032336533</v>
      </c>
      <c r="P220" s="21">
        <f t="shared" si="80"/>
        <v>3.9532909015705942E-2</v>
      </c>
      <c r="R220" s="22" t="e">
        <f>$I220*IF($E220&gt;_xlfn.AGGREGATE(4,6,'KM Data'!$E$6:$E$205),NA(),INDEX('KM Data'!$F$6:$F$205,MATCH($E220,'KM Data'!$E$6:$E$205,1)))</f>
        <v>#N/A</v>
      </c>
      <c r="S220" s="21">
        <f t="shared" si="68"/>
        <v>0.15216195833232138</v>
      </c>
      <c r="T220" s="8">
        <f t="shared" si="71"/>
        <v>4.2518148801031774E-3</v>
      </c>
      <c r="U220" s="21">
        <f t="shared" si="81"/>
        <v>0.15216195833232138</v>
      </c>
      <c r="V220" s="21">
        <f t="shared" si="82"/>
        <v>0.74942650032336533</v>
      </c>
      <c r="W220" s="21">
        <f t="shared" si="83"/>
        <v>0.15216195833232138</v>
      </c>
      <c r="Y220" s="23">
        <f t="shared" si="72"/>
        <v>3.9532909015705942E-2</v>
      </c>
      <c r="Z220" s="6">
        <f t="shared" si="73"/>
        <v>0.11262904931661544</v>
      </c>
      <c r="AA220" s="6">
        <f t="shared" si="74"/>
        <v>0.84783804166767862</v>
      </c>
      <c r="AB220" s="6">
        <f t="shared" si="75"/>
        <v>1</v>
      </c>
    </row>
    <row r="221" spans="1:28" x14ac:dyDescent="0.35">
      <c r="A221">
        <v>212</v>
      </c>
      <c r="B221" s="17">
        <f t="shared" si="76"/>
        <v>6422.3125</v>
      </c>
      <c r="C221" s="17">
        <f t="shared" si="69"/>
        <v>6452.75</v>
      </c>
      <c r="D221" s="17">
        <f t="shared" si="77"/>
        <v>6437.53125</v>
      </c>
      <c r="E221" s="17">
        <f t="shared" si="63"/>
        <v>211.5</v>
      </c>
      <c r="F221" s="17">
        <f t="shared" si="64"/>
        <v>77.625</v>
      </c>
      <c r="G221" s="21">
        <f>INDEX('Life Tables'!$F$8:$F$123,MATCH(Engine!F221,'Life Tables'!$B$8:$B$123,1))</f>
        <v>2.8844908891774157E-3</v>
      </c>
      <c r="H221" s="8">
        <f t="shared" si="65"/>
        <v>0.55720377943457733</v>
      </c>
      <c r="I221">
        <f t="shared" si="66"/>
        <v>1</v>
      </c>
      <c r="K221" s="22" t="e">
        <f>$I221*IF($E221&gt;_xlfn.AGGREGATE(4,6,'KM Data'!$B$6:$B$310),NA(),INDEX('KM Data'!$C$6:$C$310,MATCH($E221,'KM Data'!$B$6:$B$310,1)))</f>
        <v>#N/A</v>
      </c>
      <c r="L221" s="21">
        <f t="shared" si="67"/>
        <v>3.9266536583330458E-2</v>
      </c>
      <c r="M221" s="20">
        <f t="shared" si="70"/>
        <v>6.7147208568670846E-3</v>
      </c>
      <c r="N221" s="21">
        <f t="shared" si="78"/>
        <v>3.9266536583330458E-2</v>
      </c>
      <c r="O221" s="21">
        <f t="shared" si="79"/>
        <v>0.74726478641107452</v>
      </c>
      <c r="P221" s="21">
        <f t="shared" si="80"/>
        <v>3.9266536583330458E-2</v>
      </c>
      <c r="R221" s="22" t="e">
        <f>$I221*IF($E221&gt;_xlfn.AGGREGATE(4,6,'KM Data'!$E$6:$E$205),NA(),INDEX('KM Data'!$F$6:$F$205,MATCH($E221,'KM Data'!$E$6:$E$205,1)))</f>
        <v>#N/A</v>
      </c>
      <c r="S221" s="21">
        <f t="shared" si="68"/>
        <v>0.15151499385369838</v>
      </c>
      <c r="T221" s="8">
        <f t="shared" si="71"/>
        <v>4.2378264584881364E-3</v>
      </c>
      <c r="U221" s="21">
        <f t="shared" si="81"/>
        <v>0.15151499385369838</v>
      </c>
      <c r="V221" s="21">
        <f t="shared" si="82"/>
        <v>0.74726478641107452</v>
      </c>
      <c r="W221" s="21">
        <f t="shared" si="83"/>
        <v>0.15151499385369838</v>
      </c>
      <c r="Y221" s="23">
        <f t="shared" si="72"/>
        <v>3.9266536583330458E-2</v>
      </c>
      <c r="Z221" s="6">
        <f t="shared" si="73"/>
        <v>0.11224845727036792</v>
      </c>
      <c r="AA221" s="6">
        <f t="shared" si="74"/>
        <v>0.84848500614630162</v>
      </c>
      <c r="AB221" s="6">
        <f t="shared" si="75"/>
        <v>1</v>
      </c>
    </row>
    <row r="222" spans="1:28" x14ac:dyDescent="0.35">
      <c r="A222">
        <v>213</v>
      </c>
      <c r="B222" s="17">
        <f t="shared" si="76"/>
        <v>6452.75</v>
      </c>
      <c r="C222" s="17">
        <f t="shared" si="69"/>
        <v>6483.1875</v>
      </c>
      <c r="D222" s="17">
        <f t="shared" si="77"/>
        <v>6467.96875</v>
      </c>
      <c r="E222" s="17">
        <f t="shared" si="63"/>
        <v>212.5</v>
      </c>
      <c r="F222" s="17">
        <f t="shared" si="64"/>
        <v>77.708333333333329</v>
      </c>
      <c r="G222" s="21">
        <f>INDEX('Life Tables'!$F$8:$F$123,MATCH(Engine!F222,'Life Tables'!$B$8:$B$123,1))</f>
        <v>2.8844908891774157E-3</v>
      </c>
      <c r="H222" s="8">
        <f t="shared" si="65"/>
        <v>0.55720377943457733</v>
      </c>
      <c r="I222">
        <f t="shared" si="66"/>
        <v>1</v>
      </c>
      <c r="K222" s="22" t="e">
        <f>$I222*IF($E222&gt;_xlfn.AGGREGATE(4,6,'KM Data'!$B$6:$B$310),NA(),INDEX('KM Data'!$C$6:$C$310,MATCH($E222,'KM Data'!$B$6:$B$310,1)))</f>
        <v>#N/A</v>
      </c>
      <c r="L222" s="21">
        <f t="shared" si="67"/>
        <v>3.9002872751157436E-2</v>
      </c>
      <c r="M222" s="20">
        <f t="shared" si="70"/>
        <v>6.6916302009537576E-3</v>
      </c>
      <c r="N222" s="21">
        <f t="shared" si="78"/>
        <v>3.9002872751157436E-2</v>
      </c>
      <c r="O222" s="21">
        <f t="shared" si="79"/>
        <v>0.74510930794286867</v>
      </c>
      <c r="P222" s="21">
        <f t="shared" si="80"/>
        <v>3.9002872751157436E-2</v>
      </c>
      <c r="R222" s="22" t="e">
        <f>$I222*IF($E222&gt;_xlfn.AGGREGATE(4,6,'KM Data'!$E$6:$E$205),NA(),INDEX('KM Data'!$F$6:$F$205,MATCH($E222,'KM Data'!$E$6:$E$205,1)))</f>
        <v>#N/A</v>
      </c>
      <c r="S222" s="21">
        <f t="shared" si="68"/>
        <v>0.1508728996038875</v>
      </c>
      <c r="T222" s="8">
        <f t="shared" si="71"/>
        <v>4.2239432975128555E-3</v>
      </c>
      <c r="U222" s="21">
        <f t="shared" si="81"/>
        <v>0.1508728996038875</v>
      </c>
      <c r="V222" s="21">
        <f t="shared" si="82"/>
        <v>0.74510930794286867</v>
      </c>
      <c r="W222" s="21">
        <f t="shared" si="83"/>
        <v>0.1508728996038875</v>
      </c>
      <c r="Y222" s="23">
        <f t="shared" si="72"/>
        <v>3.9002872751157436E-2</v>
      </c>
      <c r="Z222" s="6">
        <f t="shared" si="73"/>
        <v>0.11187002685273006</v>
      </c>
      <c r="AA222" s="6">
        <f t="shared" si="74"/>
        <v>0.8491271003961125</v>
      </c>
      <c r="AB222" s="6">
        <f t="shared" si="75"/>
        <v>1</v>
      </c>
    </row>
    <row r="223" spans="1:28" x14ac:dyDescent="0.35">
      <c r="A223">
        <v>214</v>
      </c>
      <c r="B223" s="17">
        <f t="shared" si="76"/>
        <v>6483.1875</v>
      </c>
      <c r="C223" s="17">
        <f t="shared" si="69"/>
        <v>6513.625</v>
      </c>
      <c r="D223" s="17">
        <f t="shared" si="77"/>
        <v>6498.40625</v>
      </c>
      <c r="E223" s="17">
        <f t="shared" si="63"/>
        <v>213.5</v>
      </c>
      <c r="F223" s="17">
        <f t="shared" si="64"/>
        <v>77.791666666666671</v>
      </c>
      <c r="G223" s="21">
        <f>INDEX('Life Tables'!$F$8:$F$123,MATCH(Engine!F223,'Life Tables'!$B$8:$B$123,1))</f>
        <v>2.8844908891774157E-3</v>
      </c>
      <c r="H223" s="8">
        <f t="shared" si="65"/>
        <v>0.55720377943457733</v>
      </c>
      <c r="I223">
        <f t="shared" si="66"/>
        <v>1</v>
      </c>
      <c r="K223" s="22" t="e">
        <f>$I223*IF($E223&gt;_xlfn.AGGREGATE(4,6,'KM Data'!$B$6:$B$310),NA(),INDEX('KM Data'!$C$6:$C$310,MATCH($E223,'KM Data'!$B$6:$B$310,1)))</f>
        <v>#N/A</v>
      </c>
      <c r="L223" s="21">
        <f t="shared" si="67"/>
        <v>3.8741879949931834E-2</v>
      </c>
      <c r="M223" s="20">
        <f t="shared" si="70"/>
        <v>6.6687180325655238E-3</v>
      </c>
      <c r="N223" s="21">
        <f t="shared" si="78"/>
        <v>3.8741879949931834E-2</v>
      </c>
      <c r="O223" s="21">
        <f t="shared" si="79"/>
        <v>0.74296004693266615</v>
      </c>
      <c r="P223" s="21">
        <f t="shared" si="80"/>
        <v>3.8741879949931834E-2</v>
      </c>
      <c r="R223" s="22" t="e">
        <f>$I223*IF($E223&gt;_xlfn.AGGREGATE(4,6,'KM Data'!$E$6:$E$205),NA(),INDEX('KM Data'!$F$6:$F$205,MATCH($E223,'KM Data'!$E$6:$E$205,1)))</f>
        <v>#N/A</v>
      </c>
      <c r="S223" s="21">
        <f t="shared" si="68"/>
        <v>0.15023562103082932</v>
      </c>
      <c r="T223" s="8">
        <f t="shared" si="71"/>
        <v>4.2101641495408959E-3</v>
      </c>
      <c r="U223" s="21">
        <f t="shared" si="81"/>
        <v>0.15023562103082932</v>
      </c>
      <c r="V223" s="21">
        <f t="shared" si="82"/>
        <v>0.74296004693266615</v>
      </c>
      <c r="W223" s="21">
        <f t="shared" si="83"/>
        <v>0.15023562103082932</v>
      </c>
      <c r="Y223" s="23">
        <f t="shared" si="72"/>
        <v>3.8741879949931834E-2</v>
      </c>
      <c r="Z223" s="6">
        <f t="shared" si="73"/>
        <v>0.11149374108089749</v>
      </c>
      <c r="AA223" s="6">
        <f t="shared" si="74"/>
        <v>0.84976437896917068</v>
      </c>
      <c r="AB223" s="6">
        <f t="shared" si="75"/>
        <v>1</v>
      </c>
    </row>
    <row r="224" spans="1:28" x14ac:dyDescent="0.35">
      <c r="A224">
        <v>215</v>
      </c>
      <c r="B224" s="17">
        <f t="shared" si="76"/>
        <v>6513.625</v>
      </c>
      <c r="C224" s="17">
        <f t="shared" si="69"/>
        <v>6544.0625</v>
      </c>
      <c r="D224" s="17">
        <f t="shared" si="77"/>
        <v>6528.84375</v>
      </c>
      <c r="E224" s="17">
        <f t="shared" si="63"/>
        <v>214.5</v>
      </c>
      <c r="F224" s="17">
        <f t="shared" si="64"/>
        <v>77.875</v>
      </c>
      <c r="G224" s="21">
        <f>INDEX('Life Tables'!$F$8:$F$123,MATCH(Engine!F224,'Life Tables'!$B$8:$B$123,1))</f>
        <v>2.8844908891774157E-3</v>
      </c>
      <c r="H224" s="8">
        <f t="shared" si="65"/>
        <v>0.55720377943457733</v>
      </c>
      <c r="I224">
        <f t="shared" si="66"/>
        <v>1</v>
      </c>
      <c r="K224" s="22" t="e">
        <f>$I224*IF($E224&gt;_xlfn.AGGREGATE(4,6,'KM Data'!$B$6:$B$310),NA(),INDEX('KM Data'!$C$6:$C$310,MATCH($E224,'KM Data'!$B$6:$B$310,1)))</f>
        <v>#N/A</v>
      </c>
      <c r="L224" s="21">
        <f t="shared" si="67"/>
        <v>3.8483521276494237E-2</v>
      </c>
      <c r="M224" s="20">
        <f t="shared" si="70"/>
        <v>6.6459821937386865E-3</v>
      </c>
      <c r="N224" s="21">
        <f t="shared" si="78"/>
        <v>3.8483521276494237E-2</v>
      </c>
      <c r="O224" s="21">
        <f t="shared" si="79"/>
        <v>0.74081698544626606</v>
      </c>
      <c r="P224" s="21">
        <f t="shared" si="80"/>
        <v>3.8483521276494237E-2</v>
      </c>
      <c r="R224" s="22" t="e">
        <f>$I224*IF($E224&gt;_xlfn.AGGREGATE(4,6,'KM Data'!$E$6:$E$205),NA(),INDEX('KM Data'!$F$6:$F$205,MATCH($E224,'KM Data'!$E$6:$E$205,1)))</f>
        <v>#N/A</v>
      </c>
      <c r="S224" s="21">
        <f t="shared" si="68"/>
        <v>0.14960310440518132</v>
      </c>
      <c r="T224" s="8">
        <f t="shared" si="71"/>
        <v>4.1964877871430994E-3</v>
      </c>
      <c r="U224" s="21">
        <f t="shared" si="81"/>
        <v>0.14960310440518132</v>
      </c>
      <c r="V224" s="21">
        <f t="shared" si="82"/>
        <v>0.74081698544626606</v>
      </c>
      <c r="W224" s="21">
        <f t="shared" si="83"/>
        <v>0.14960310440518132</v>
      </c>
      <c r="Y224" s="23">
        <f t="shared" si="72"/>
        <v>3.8483521276494237E-2</v>
      </c>
      <c r="Z224" s="6">
        <f t="shared" si="73"/>
        <v>0.11111958312868708</v>
      </c>
      <c r="AA224" s="6">
        <f t="shared" si="74"/>
        <v>0.85039689559481868</v>
      </c>
      <c r="AB224" s="6">
        <f t="shared" si="75"/>
        <v>1</v>
      </c>
    </row>
    <row r="225" spans="1:28" x14ac:dyDescent="0.35">
      <c r="A225">
        <v>216</v>
      </c>
      <c r="B225" s="17">
        <f t="shared" si="76"/>
        <v>6544.0625</v>
      </c>
      <c r="C225" s="17">
        <f t="shared" si="69"/>
        <v>6574.5</v>
      </c>
      <c r="D225" s="17">
        <f t="shared" si="77"/>
        <v>6559.28125</v>
      </c>
      <c r="E225" s="17">
        <f t="shared" si="63"/>
        <v>215.5</v>
      </c>
      <c r="F225" s="17">
        <f t="shared" si="64"/>
        <v>77.958333333333329</v>
      </c>
      <c r="G225" s="21">
        <f>INDEX('Life Tables'!$F$8:$F$123,MATCH(Engine!F225,'Life Tables'!$B$8:$B$123,1))</f>
        <v>2.8844908891774157E-3</v>
      </c>
      <c r="H225" s="8">
        <f t="shared" si="65"/>
        <v>0.53836113955031628</v>
      </c>
      <c r="I225">
        <f t="shared" si="66"/>
        <v>1</v>
      </c>
      <c r="K225" s="22" t="e">
        <f>$I225*IF($E225&gt;_xlfn.AGGREGATE(4,6,'KM Data'!$B$6:$B$310),NA(),INDEX('KM Data'!$C$6:$C$310,MATCH($E225,'KM Data'!$B$6:$B$310,1)))</f>
        <v>#N/A</v>
      </c>
      <c r="L225" s="21">
        <f t="shared" si="67"/>
        <v>3.8227760479338291E-2</v>
      </c>
      <c r="M225" s="20">
        <f t="shared" si="70"/>
        <v>6.6234205620099296E-3</v>
      </c>
      <c r="N225" s="21">
        <f t="shared" si="78"/>
        <v>3.8227760479338291E-2</v>
      </c>
      <c r="O225" s="21">
        <f t="shared" si="79"/>
        <v>0.73868010560119846</v>
      </c>
      <c r="P225" s="21">
        <f t="shared" si="80"/>
        <v>3.8227760479338291E-2</v>
      </c>
      <c r="R225" s="22" t="e">
        <f>$I225*IF($E225&gt;_xlfn.AGGREGATE(4,6,'KM Data'!$E$6:$E$205),NA(),INDEX('KM Data'!$F$6:$F$205,MATCH($E225,'KM Data'!$E$6:$E$205,1)))</f>
        <v>#N/A</v>
      </c>
      <c r="S225" s="21">
        <f t="shared" si="68"/>
        <v>0.14897529680462629</v>
      </c>
      <c r="T225" s="8">
        <f t="shared" si="71"/>
        <v>4.1829130026809214E-3</v>
      </c>
      <c r="U225" s="21">
        <f t="shared" si="81"/>
        <v>0.14897529680462629</v>
      </c>
      <c r="V225" s="21">
        <f t="shared" si="82"/>
        <v>0.73868010560119846</v>
      </c>
      <c r="W225" s="21">
        <f t="shared" si="83"/>
        <v>0.14897529680462629</v>
      </c>
      <c r="Y225" s="23">
        <f t="shared" si="72"/>
        <v>3.8227760479338291E-2</v>
      </c>
      <c r="Z225" s="6">
        <f t="shared" si="73"/>
        <v>0.110747536325288</v>
      </c>
      <c r="AA225" s="6">
        <f t="shared" si="74"/>
        <v>0.85102470319537371</v>
      </c>
      <c r="AB225" s="6">
        <f t="shared" si="75"/>
        <v>1</v>
      </c>
    </row>
    <row r="226" spans="1:28" x14ac:dyDescent="0.35">
      <c r="A226">
        <v>217</v>
      </c>
      <c r="B226" s="17">
        <f t="shared" si="76"/>
        <v>6574.5</v>
      </c>
      <c r="C226" s="17">
        <f t="shared" si="69"/>
        <v>6604.9375</v>
      </c>
      <c r="D226" s="17">
        <f t="shared" si="77"/>
        <v>6589.71875</v>
      </c>
      <c r="E226" s="17">
        <f t="shared" si="63"/>
        <v>216.5</v>
      </c>
      <c r="F226" s="17">
        <f t="shared" si="64"/>
        <v>78.041666666666671</v>
      </c>
      <c r="G226" s="21">
        <f>INDEX('Life Tables'!$F$8:$F$123,MATCH(Engine!F226,'Life Tables'!$B$8:$B$123,1))</f>
        <v>3.2500293527140123E-3</v>
      </c>
      <c r="H226" s="8">
        <f t="shared" si="65"/>
        <v>0.53836113955031628</v>
      </c>
      <c r="I226">
        <f t="shared" si="66"/>
        <v>1</v>
      </c>
      <c r="K226" s="22" t="e">
        <f>$I226*IF($E226&gt;_xlfn.AGGREGATE(4,6,'KM Data'!$B$6:$B$310),NA(),INDEX('KM Data'!$C$6:$C$310,MATCH($E226,'KM Data'!$B$6:$B$310,1)))</f>
        <v>#N/A</v>
      </c>
      <c r="L226" s="21">
        <f t="shared" si="67"/>
        <v>3.7974561944539853E-2</v>
      </c>
      <c r="M226" s="20">
        <f t="shared" si="70"/>
        <v>6.6010310497118807E-3</v>
      </c>
      <c r="N226" s="21">
        <f t="shared" si="78"/>
        <v>3.7974561944539853E-2</v>
      </c>
      <c r="O226" s="21">
        <f t="shared" si="79"/>
        <v>0.73654938956657523</v>
      </c>
      <c r="P226" s="21">
        <f t="shared" si="80"/>
        <v>3.7974561944539853E-2</v>
      </c>
      <c r="R226" s="22" t="e">
        <f>$I226*IF($E226&gt;_xlfn.AGGREGATE(4,6,'KM Data'!$E$6:$E$205),NA(),INDEX('KM Data'!$F$6:$F$205,MATCH($E226,'KM Data'!$E$6:$E$205,1)))</f>
        <v>#N/A</v>
      </c>
      <c r="S226" s="21">
        <f t="shared" si="68"/>
        <v>0.14835214609854397</v>
      </c>
      <c r="T226" s="8">
        <f t="shared" si="71"/>
        <v>4.1694386079088597E-3</v>
      </c>
      <c r="U226" s="21">
        <f t="shared" si="81"/>
        <v>0.14835214609854397</v>
      </c>
      <c r="V226" s="21">
        <f t="shared" si="82"/>
        <v>0.73654938956657523</v>
      </c>
      <c r="W226" s="21">
        <f t="shared" si="83"/>
        <v>0.14835214609854397</v>
      </c>
      <c r="Y226" s="23">
        <f t="shared" si="72"/>
        <v>3.7974561944539853E-2</v>
      </c>
      <c r="Z226" s="6">
        <f t="shared" si="73"/>
        <v>0.11037758415400412</v>
      </c>
      <c r="AA226" s="6">
        <f t="shared" si="74"/>
        <v>0.85164785390145603</v>
      </c>
      <c r="AB226" s="6">
        <f t="shared" si="75"/>
        <v>1</v>
      </c>
    </row>
    <row r="227" spans="1:28" x14ac:dyDescent="0.35">
      <c r="A227">
        <v>218</v>
      </c>
      <c r="B227" s="17">
        <f t="shared" si="76"/>
        <v>6604.9375</v>
      </c>
      <c r="C227" s="17">
        <f t="shared" si="69"/>
        <v>6635.375</v>
      </c>
      <c r="D227" s="17">
        <f t="shared" si="77"/>
        <v>6620.15625</v>
      </c>
      <c r="E227" s="17">
        <f t="shared" si="63"/>
        <v>217.5</v>
      </c>
      <c r="F227" s="17">
        <f t="shared" si="64"/>
        <v>78.125</v>
      </c>
      <c r="G227" s="21">
        <f>INDEX('Life Tables'!$F$8:$F$123,MATCH(Engine!F227,'Life Tables'!$B$8:$B$123,1))</f>
        <v>3.2500293527140123E-3</v>
      </c>
      <c r="H227" s="8">
        <f t="shared" si="65"/>
        <v>0.53836113955031628</v>
      </c>
      <c r="I227">
        <f t="shared" si="66"/>
        <v>1</v>
      </c>
      <c r="K227" s="22" t="e">
        <f>$I227*IF($E227&gt;_xlfn.AGGREGATE(4,6,'KM Data'!$B$6:$B$310),NA(),INDEX('KM Data'!$C$6:$C$310,MATCH($E227,'KM Data'!$B$6:$B$310,1)))</f>
        <v>#N/A</v>
      </c>
      <c r="L227" s="21">
        <f t="shared" si="67"/>
        <v>3.7723890682044736E-2</v>
      </c>
      <c r="M227" s="20">
        <f t="shared" si="70"/>
        <v>6.5788116031973987E-3</v>
      </c>
      <c r="N227" s="21">
        <f t="shared" si="78"/>
        <v>3.7723890682044736E-2</v>
      </c>
      <c r="O227" s="21">
        <f t="shared" si="79"/>
        <v>0.73415558243076029</v>
      </c>
      <c r="P227" s="21">
        <f t="shared" si="80"/>
        <v>3.7723890682044736E-2</v>
      </c>
      <c r="R227" s="22" t="e">
        <f>$I227*IF($E227&gt;_xlfn.AGGREGATE(4,6,'KM Data'!$E$6:$E$205),NA(),INDEX('KM Data'!$F$6:$F$205,MATCH($E227,'KM Data'!$E$6:$E$205,1)))</f>
        <v>#N/A</v>
      </c>
      <c r="S227" s="21">
        <f t="shared" si="68"/>
        <v>0.14773360093303456</v>
      </c>
      <c r="T227" s="8">
        <f t="shared" si="71"/>
        <v>4.1560634335718882E-3</v>
      </c>
      <c r="U227" s="21">
        <f t="shared" si="81"/>
        <v>0.14773360093303456</v>
      </c>
      <c r="V227" s="21">
        <f t="shared" si="82"/>
        <v>0.73415558243076029</v>
      </c>
      <c r="W227" s="21">
        <f t="shared" si="83"/>
        <v>0.14773360093303456</v>
      </c>
      <c r="Y227" s="23">
        <f t="shared" si="72"/>
        <v>3.7723890682044736E-2</v>
      </c>
      <c r="Z227" s="6">
        <f t="shared" si="73"/>
        <v>0.11000971025098982</v>
      </c>
      <c r="AA227" s="6">
        <f t="shared" si="74"/>
        <v>0.85226639906696544</v>
      </c>
      <c r="AB227" s="6">
        <f t="shared" si="75"/>
        <v>1</v>
      </c>
    </row>
    <row r="228" spans="1:28" x14ac:dyDescent="0.35">
      <c r="A228">
        <v>219</v>
      </c>
      <c r="B228" s="17">
        <f t="shared" si="76"/>
        <v>6635.375</v>
      </c>
      <c r="C228" s="17">
        <f t="shared" si="69"/>
        <v>6665.8125</v>
      </c>
      <c r="D228" s="17">
        <f t="shared" si="77"/>
        <v>6650.59375</v>
      </c>
      <c r="E228" s="17">
        <f t="shared" si="63"/>
        <v>218.5</v>
      </c>
      <c r="F228" s="17">
        <f t="shared" si="64"/>
        <v>78.208333333333329</v>
      </c>
      <c r="G228" s="21">
        <f>INDEX('Life Tables'!$F$8:$F$123,MATCH(Engine!F228,'Life Tables'!$B$8:$B$123,1))</f>
        <v>3.2500293527140123E-3</v>
      </c>
      <c r="H228" s="8">
        <f t="shared" si="65"/>
        <v>0.53836113955031628</v>
      </c>
      <c r="I228">
        <f t="shared" si="66"/>
        <v>1</v>
      </c>
      <c r="K228" s="22" t="e">
        <f>$I228*IF($E228&gt;_xlfn.AGGREGATE(4,6,'KM Data'!$B$6:$B$310),NA(),INDEX('KM Data'!$C$6:$C$310,MATCH($E228,'KM Data'!$B$6:$B$310,1)))</f>
        <v>#N/A</v>
      </c>
      <c r="L228" s="21">
        <f t="shared" si="67"/>
        <v>3.7475712312307952E-2</v>
      </c>
      <c r="M228" s="20">
        <f t="shared" si="70"/>
        <v>6.5567602022044147E-3</v>
      </c>
      <c r="N228" s="21">
        <f t="shared" si="78"/>
        <v>3.7475712312307952E-2</v>
      </c>
      <c r="O228" s="21">
        <f t="shared" si="79"/>
        <v>0.73176955523840148</v>
      </c>
      <c r="P228" s="21">
        <f t="shared" si="80"/>
        <v>3.7475712312307952E-2</v>
      </c>
      <c r="R228" s="22" t="e">
        <f>$I228*IF($E228&gt;_xlfn.AGGREGATE(4,6,'KM Data'!$E$6:$E$205),NA(),INDEX('KM Data'!$F$6:$F$205,MATCH($E228,'KM Data'!$E$6:$E$205,1)))</f>
        <v>#N/A</v>
      </c>
      <c r="S228" s="21">
        <f t="shared" si="68"/>
        <v>0.14711961071628687</v>
      </c>
      <c r="T228" s="8">
        <f t="shared" si="71"/>
        <v>4.1427863290208755E-3</v>
      </c>
      <c r="U228" s="21">
        <f t="shared" si="81"/>
        <v>0.14711961071628687</v>
      </c>
      <c r="V228" s="21">
        <f t="shared" si="82"/>
        <v>0.73176955523840148</v>
      </c>
      <c r="W228" s="21">
        <f t="shared" si="83"/>
        <v>0.14711961071628687</v>
      </c>
      <c r="Y228" s="23">
        <f t="shared" si="72"/>
        <v>3.7475712312307952E-2</v>
      </c>
      <c r="Z228" s="6">
        <f t="shared" si="73"/>
        <v>0.10964389840397892</v>
      </c>
      <c r="AA228" s="6">
        <f t="shared" si="74"/>
        <v>0.85288038928371313</v>
      </c>
      <c r="AB228" s="6">
        <f t="shared" si="75"/>
        <v>1</v>
      </c>
    </row>
    <row r="229" spans="1:28" x14ac:dyDescent="0.35">
      <c r="A229">
        <v>220</v>
      </c>
      <c r="B229" s="17">
        <f t="shared" si="76"/>
        <v>6665.8125</v>
      </c>
      <c r="C229" s="17">
        <f t="shared" si="69"/>
        <v>6696.25</v>
      </c>
      <c r="D229" s="17">
        <f t="shared" si="77"/>
        <v>6681.03125</v>
      </c>
      <c r="E229" s="17">
        <f t="shared" si="63"/>
        <v>219.5</v>
      </c>
      <c r="F229" s="17">
        <f t="shared" si="64"/>
        <v>78.291666666666671</v>
      </c>
      <c r="G229" s="21">
        <f>INDEX('Life Tables'!$F$8:$F$123,MATCH(Engine!F229,'Life Tables'!$B$8:$B$123,1))</f>
        <v>3.2500293527140123E-3</v>
      </c>
      <c r="H229" s="8">
        <f t="shared" si="65"/>
        <v>0.53836113955031628</v>
      </c>
      <c r="I229">
        <f t="shared" si="66"/>
        <v>1</v>
      </c>
      <c r="K229" s="22" t="e">
        <f>$I229*IF($E229&gt;_xlfn.AGGREGATE(4,6,'KM Data'!$B$6:$B$310),NA(),INDEX('KM Data'!$C$6:$C$310,MATCH($E229,'KM Data'!$B$6:$B$310,1)))</f>
        <v>#N/A</v>
      </c>
      <c r="L229" s="21">
        <f t="shared" si="67"/>
        <v>3.722999305326935E-2</v>
      </c>
      <c r="M229" s="20">
        <f t="shared" si="70"/>
        <v>6.5348748591169681E-3</v>
      </c>
      <c r="N229" s="21">
        <f t="shared" si="78"/>
        <v>3.722999305326935E-2</v>
      </c>
      <c r="O229" s="21">
        <f t="shared" si="79"/>
        <v>0.72939128270445419</v>
      </c>
      <c r="P229" s="21">
        <f t="shared" si="80"/>
        <v>3.722999305326935E-2</v>
      </c>
      <c r="R229" s="22" t="e">
        <f>$I229*IF($E229&gt;_xlfn.AGGREGATE(4,6,'KM Data'!$E$6:$E$205),NA(),INDEX('KM Data'!$F$6:$F$205,MATCH($E229,'KM Data'!$E$6:$E$205,1)))</f>
        <v>#N/A</v>
      </c>
      <c r="S229" s="21">
        <f t="shared" si="68"/>
        <v>0.14651012560428056</v>
      </c>
      <c r="T229" s="8">
        <f t="shared" si="71"/>
        <v>4.1296061618416591E-3</v>
      </c>
      <c r="U229" s="21">
        <f t="shared" si="81"/>
        <v>0.14651012560428056</v>
      </c>
      <c r="V229" s="21">
        <f t="shared" si="82"/>
        <v>0.72939128270445419</v>
      </c>
      <c r="W229" s="21">
        <f t="shared" si="83"/>
        <v>0.14651012560428056</v>
      </c>
      <c r="Y229" s="23">
        <f t="shared" si="72"/>
        <v>3.722999305326935E-2</v>
      </c>
      <c r="Z229" s="6">
        <f t="shared" si="73"/>
        <v>0.10928013255101121</v>
      </c>
      <c r="AA229" s="6">
        <f t="shared" si="74"/>
        <v>0.85348987439571944</v>
      </c>
      <c r="AB229" s="6">
        <f t="shared" si="75"/>
        <v>1</v>
      </c>
    </row>
    <row r="230" spans="1:28" x14ac:dyDescent="0.35">
      <c r="A230">
        <v>221</v>
      </c>
      <c r="B230" s="17">
        <f t="shared" si="76"/>
        <v>6696.25</v>
      </c>
      <c r="C230" s="17">
        <f t="shared" si="69"/>
        <v>6726.6875</v>
      </c>
      <c r="D230" s="17">
        <f t="shared" si="77"/>
        <v>6711.46875</v>
      </c>
      <c r="E230" s="17">
        <f t="shared" si="63"/>
        <v>220.5</v>
      </c>
      <c r="F230" s="17">
        <f t="shared" si="64"/>
        <v>78.375</v>
      </c>
      <c r="G230" s="21">
        <f>INDEX('Life Tables'!$F$8:$F$123,MATCH(Engine!F230,'Life Tables'!$B$8:$B$123,1))</f>
        <v>3.2500293527140123E-3</v>
      </c>
      <c r="H230" s="8">
        <f t="shared" si="65"/>
        <v>0.53836113955031628</v>
      </c>
      <c r="I230">
        <f t="shared" si="66"/>
        <v>1</v>
      </c>
      <c r="K230" s="22" t="e">
        <f>$I230*IF($E230&gt;_xlfn.AGGREGATE(4,6,'KM Data'!$B$6:$B$310),NA(),INDEX('KM Data'!$C$6:$C$310,MATCH($E230,'KM Data'!$B$6:$B$310,1)))</f>
        <v>#N/A</v>
      </c>
      <c r="L230" s="21">
        <f t="shared" si="67"/>
        <v>3.6986699707660442E-2</v>
      </c>
      <c r="M230" s="20">
        <f t="shared" si="70"/>
        <v>6.5131536183090644E-3</v>
      </c>
      <c r="N230" s="21">
        <f t="shared" si="78"/>
        <v>3.6986699707660442E-2</v>
      </c>
      <c r="O230" s="21">
        <f t="shared" si="79"/>
        <v>0.72702073962605096</v>
      </c>
      <c r="P230" s="21">
        <f t="shared" si="80"/>
        <v>3.6986699707660442E-2</v>
      </c>
      <c r="R230" s="22" t="e">
        <f>$I230*IF($E230&gt;_xlfn.AGGREGATE(4,6,'KM Data'!$E$6:$E$205),NA(),INDEX('KM Data'!$F$6:$F$205,MATCH($E230,'KM Data'!$E$6:$E$205,1)))</f>
        <v>#N/A</v>
      </c>
      <c r="S230" s="21">
        <f t="shared" si="68"/>
        <v>0.14590509648681294</v>
      </c>
      <c r="T230" s="8">
        <f t="shared" si="71"/>
        <v>4.1165218174904483E-3</v>
      </c>
      <c r="U230" s="21">
        <f t="shared" si="81"/>
        <v>0.14590509648681294</v>
      </c>
      <c r="V230" s="21">
        <f t="shared" si="82"/>
        <v>0.72702073962605096</v>
      </c>
      <c r="W230" s="21">
        <f t="shared" si="83"/>
        <v>0.14590509648681294</v>
      </c>
      <c r="Y230" s="23">
        <f t="shared" si="72"/>
        <v>3.6986699707660442E-2</v>
      </c>
      <c r="Z230" s="6">
        <f t="shared" si="73"/>
        <v>0.10891839677915249</v>
      </c>
      <c r="AA230" s="6">
        <f t="shared" si="74"/>
        <v>0.85409490351318706</v>
      </c>
      <c r="AB230" s="6">
        <f t="shared" si="75"/>
        <v>1</v>
      </c>
    </row>
    <row r="231" spans="1:28" x14ac:dyDescent="0.35">
      <c r="A231">
        <v>222</v>
      </c>
      <c r="B231" s="17">
        <f t="shared" si="76"/>
        <v>6726.6875</v>
      </c>
      <c r="C231" s="17">
        <f t="shared" si="69"/>
        <v>6757.125</v>
      </c>
      <c r="D231" s="17">
        <f t="shared" si="77"/>
        <v>6741.90625</v>
      </c>
      <c r="E231" s="17">
        <f t="shared" si="63"/>
        <v>221.5</v>
      </c>
      <c r="F231" s="17">
        <f t="shared" si="64"/>
        <v>78.458333333333329</v>
      </c>
      <c r="G231" s="21">
        <f>INDEX('Life Tables'!$F$8:$F$123,MATCH(Engine!F231,'Life Tables'!$B$8:$B$123,1))</f>
        <v>3.2500293527140123E-3</v>
      </c>
      <c r="H231" s="8">
        <f t="shared" si="65"/>
        <v>0.53836113955031628</v>
      </c>
      <c r="I231">
        <f t="shared" si="66"/>
        <v>1</v>
      </c>
      <c r="K231" s="22" t="e">
        <f>$I231*IF($E231&gt;_xlfn.AGGREGATE(4,6,'KM Data'!$B$6:$B$310),NA(),INDEX('KM Data'!$C$6:$C$310,MATCH($E231,'KM Data'!$B$6:$B$310,1)))</f>
        <v>#N/A</v>
      </c>
      <c r="L231" s="21">
        <f t="shared" si="67"/>
        <v>3.6745799650630184E-2</v>
      </c>
      <c r="M231" s="20">
        <f t="shared" si="70"/>
        <v>6.491594555530944E-3</v>
      </c>
      <c r="N231" s="21">
        <f t="shared" si="78"/>
        <v>3.6745799650630184E-2</v>
      </c>
      <c r="O231" s="21">
        <f t="shared" si="79"/>
        <v>0.72465790088223447</v>
      </c>
      <c r="P231" s="21">
        <f t="shared" si="80"/>
        <v>3.6745799650630184E-2</v>
      </c>
      <c r="R231" s="22" t="e">
        <f>$I231*IF($E231&gt;_xlfn.AGGREGATE(4,6,'KM Data'!$E$6:$E$205),NA(),INDEX('KM Data'!$F$6:$F$205,MATCH($E231,'KM Data'!$E$6:$E$205,1)))</f>
        <v>#N/A</v>
      </c>
      <c r="S231" s="21">
        <f t="shared" si="68"/>
        <v>0.14530447497384191</v>
      </c>
      <c r="T231" s="8">
        <f t="shared" si="71"/>
        <v>4.1035321989246754E-3</v>
      </c>
      <c r="U231" s="21">
        <f t="shared" si="81"/>
        <v>0.14530447497384191</v>
      </c>
      <c r="V231" s="21">
        <f t="shared" si="82"/>
        <v>0.72465790088223447</v>
      </c>
      <c r="W231" s="21">
        <f t="shared" si="83"/>
        <v>0.14530447497384191</v>
      </c>
      <c r="Y231" s="23">
        <f t="shared" si="72"/>
        <v>3.6745799650630184E-2</v>
      </c>
      <c r="Z231" s="6">
        <f t="shared" si="73"/>
        <v>0.10855867532321173</v>
      </c>
      <c r="AA231" s="6">
        <f t="shared" si="74"/>
        <v>0.85469552502615809</v>
      </c>
      <c r="AB231" s="6">
        <f t="shared" si="75"/>
        <v>1</v>
      </c>
    </row>
    <row r="232" spans="1:28" x14ac:dyDescent="0.35">
      <c r="A232">
        <v>223</v>
      </c>
      <c r="B232" s="17">
        <f t="shared" si="76"/>
        <v>6757.125</v>
      </c>
      <c r="C232" s="17">
        <f t="shared" si="69"/>
        <v>6787.5625</v>
      </c>
      <c r="D232" s="17">
        <f t="shared" si="77"/>
        <v>6772.34375</v>
      </c>
      <c r="E232" s="17">
        <f t="shared" si="63"/>
        <v>222.5</v>
      </c>
      <c r="F232" s="17">
        <f t="shared" si="64"/>
        <v>78.541666666666671</v>
      </c>
      <c r="G232" s="21">
        <f>INDEX('Life Tables'!$F$8:$F$123,MATCH(Engine!F232,'Life Tables'!$B$8:$B$123,1))</f>
        <v>3.2500293527140123E-3</v>
      </c>
      <c r="H232" s="8">
        <f t="shared" si="65"/>
        <v>0.53836113955031628</v>
      </c>
      <c r="I232">
        <f t="shared" si="66"/>
        <v>1</v>
      </c>
      <c r="K232" s="22" t="e">
        <f>$I232*IF($E232&gt;_xlfn.AGGREGATE(4,6,'KM Data'!$B$6:$B$310),NA(),INDEX('KM Data'!$C$6:$C$310,MATCH($E232,'KM Data'!$B$6:$B$310,1)))</f>
        <v>#N/A</v>
      </c>
      <c r="L232" s="21">
        <f t="shared" si="67"/>
        <v>3.6507260817679521E-2</v>
      </c>
      <c r="M232" s="20">
        <f t="shared" si="70"/>
        <v>6.4701957772071994E-3</v>
      </c>
      <c r="N232" s="21">
        <f t="shared" si="78"/>
        <v>3.6507260817679521E-2</v>
      </c>
      <c r="O232" s="21">
        <f t="shared" si="79"/>
        <v>0.72230274143369111</v>
      </c>
      <c r="P232" s="21">
        <f t="shared" si="80"/>
        <v>3.6507260817679521E-2</v>
      </c>
      <c r="R232" s="22" t="e">
        <f>$I232*IF($E232&gt;_xlfn.AGGREGATE(4,6,'KM Data'!$E$6:$E$205),NA(),INDEX('KM Data'!$F$6:$F$205,MATCH($E232,'KM Data'!$E$6:$E$205,1)))</f>
        <v>#N/A</v>
      </c>
      <c r="S232" s="21">
        <f t="shared" si="68"/>
        <v>0.14470821338213891</v>
      </c>
      <c r="T232" s="8">
        <f t="shared" si="71"/>
        <v>4.0906362262728146E-3</v>
      </c>
      <c r="U232" s="21">
        <f t="shared" si="81"/>
        <v>0.14470821338213891</v>
      </c>
      <c r="V232" s="21">
        <f t="shared" si="82"/>
        <v>0.72230274143369111</v>
      </c>
      <c r="W232" s="21">
        <f t="shared" si="83"/>
        <v>0.14470821338213891</v>
      </c>
      <c r="Y232" s="23">
        <f t="shared" si="72"/>
        <v>3.6507260817679521E-2</v>
      </c>
      <c r="Z232" s="6">
        <f t="shared" si="73"/>
        <v>0.10820095256445939</v>
      </c>
      <c r="AA232" s="6">
        <f t="shared" si="74"/>
        <v>0.85529178661786109</v>
      </c>
      <c r="AB232" s="6">
        <f t="shared" si="75"/>
        <v>1</v>
      </c>
    </row>
    <row r="233" spans="1:28" x14ac:dyDescent="0.35">
      <c r="A233">
        <v>224</v>
      </c>
      <c r="B233" s="17">
        <f t="shared" si="76"/>
        <v>6787.5625</v>
      </c>
      <c r="C233" s="17">
        <f t="shared" si="69"/>
        <v>6818</v>
      </c>
      <c r="D233" s="17">
        <f t="shared" si="77"/>
        <v>6802.78125</v>
      </c>
      <c r="E233" s="17">
        <f t="shared" si="63"/>
        <v>223.5</v>
      </c>
      <c r="F233" s="17">
        <f t="shared" si="64"/>
        <v>78.625</v>
      </c>
      <c r="G233" s="21">
        <f>INDEX('Life Tables'!$F$8:$F$123,MATCH(Engine!F233,'Life Tables'!$B$8:$B$123,1))</f>
        <v>3.2500293527140123E-3</v>
      </c>
      <c r="H233" s="8">
        <f t="shared" si="65"/>
        <v>0.53836113955031628</v>
      </c>
      <c r="I233">
        <f t="shared" si="66"/>
        <v>1</v>
      </c>
      <c r="K233" s="22" t="e">
        <f>$I233*IF($E233&gt;_xlfn.AGGREGATE(4,6,'KM Data'!$B$6:$B$310),NA(),INDEX('KM Data'!$C$6:$C$310,MATCH($E233,'KM Data'!$B$6:$B$310,1)))</f>
        <v>#N/A</v>
      </c>
      <c r="L233" s="21">
        <f t="shared" si="67"/>
        <v>3.627105169289957E-2</v>
      </c>
      <c r="M233" s="20">
        <f t="shared" si="70"/>
        <v>6.4489554198857713E-3</v>
      </c>
      <c r="N233" s="21">
        <f t="shared" si="78"/>
        <v>3.627105169289957E-2</v>
      </c>
      <c r="O233" s="21">
        <f t="shared" si="79"/>
        <v>0.71995523632248581</v>
      </c>
      <c r="P233" s="21">
        <f t="shared" si="80"/>
        <v>3.627105169289957E-2</v>
      </c>
      <c r="R233" s="22" t="e">
        <f>$I233*IF($E233&gt;_xlfn.AGGREGATE(4,6,'KM Data'!$E$6:$E$205),NA(),INDEX('KM Data'!$F$6:$F$205,MATCH($E233,'KM Data'!$E$6:$E$205,1)))</f>
        <v>#N/A</v>
      </c>
      <c r="S233" s="21">
        <f t="shared" si="68"/>
        <v>0.14411626472223871</v>
      </c>
      <c r="T233" s="8">
        <f t="shared" si="71"/>
        <v>4.0778328364734495E-3</v>
      </c>
      <c r="U233" s="21">
        <f t="shared" si="81"/>
        <v>0.14411626472223871</v>
      </c>
      <c r="V233" s="21">
        <f t="shared" si="82"/>
        <v>0.71995523632248581</v>
      </c>
      <c r="W233" s="21">
        <f t="shared" si="83"/>
        <v>0.14411626472223871</v>
      </c>
      <c r="Y233" s="23">
        <f t="shared" si="72"/>
        <v>3.627105169289957E-2</v>
      </c>
      <c r="Z233" s="6">
        <f t="shared" si="73"/>
        <v>0.10784521302933914</v>
      </c>
      <c r="AA233" s="6">
        <f t="shared" si="74"/>
        <v>0.85588373527776129</v>
      </c>
      <c r="AB233" s="6">
        <f t="shared" si="75"/>
        <v>1</v>
      </c>
    </row>
    <row r="234" spans="1:28" x14ac:dyDescent="0.35">
      <c r="A234">
        <v>225</v>
      </c>
      <c r="B234" s="17">
        <f t="shared" si="76"/>
        <v>6818</v>
      </c>
      <c r="C234" s="17">
        <f t="shared" si="69"/>
        <v>6848.4375</v>
      </c>
      <c r="D234" s="17">
        <f t="shared" si="77"/>
        <v>6833.21875</v>
      </c>
      <c r="E234" s="17">
        <f t="shared" si="63"/>
        <v>224.5</v>
      </c>
      <c r="F234" s="17">
        <f t="shared" si="64"/>
        <v>78.708333333333329</v>
      </c>
      <c r="G234" s="21">
        <f>INDEX('Life Tables'!$F$8:$F$123,MATCH(Engine!F234,'Life Tables'!$B$8:$B$123,1))</f>
        <v>3.2500293527140123E-3</v>
      </c>
      <c r="H234" s="8">
        <f t="shared" si="65"/>
        <v>0.53836113955031628</v>
      </c>
      <c r="I234">
        <f t="shared" si="66"/>
        <v>1</v>
      </c>
      <c r="K234" s="22" t="e">
        <f>$I234*IF($E234&gt;_xlfn.AGGREGATE(4,6,'KM Data'!$B$6:$B$310),NA(),INDEX('KM Data'!$C$6:$C$310,MATCH($E234,'KM Data'!$B$6:$B$310,1)))</f>
        <v>#N/A</v>
      </c>
      <c r="L234" s="21">
        <f t="shared" si="67"/>
        <v>3.6037141297499686E-2</v>
      </c>
      <c r="M234" s="20">
        <f t="shared" si="70"/>
        <v>6.427871649578476E-3</v>
      </c>
      <c r="N234" s="21">
        <f t="shared" si="78"/>
        <v>3.6037141297499686E-2</v>
      </c>
      <c r="O234" s="21">
        <f t="shared" si="79"/>
        <v>0.71761536067179754</v>
      </c>
      <c r="P234" s="21">
        <f t="shared" si="80"/>
        <v>3.6037141297499686E-2</v>
      </c>
      <c r="R234" s="22" t="e">
        <f>$I234*IF($E234&gt;_xlfn.AGGREGATE(4,6,'KM Data'!$E$6:$E$205),NA(),INDEX('KM Data'!$F$6:$F$205,MATCH($E234,'KM Data'!$E$6:$E$205,1)))</f>
        <v>#N/A</v>
      </c>
      <c r="S234" s="21">
        <f t="shared" si="68"/>
        <v>0.14352858268568447</v>
      </c>
      <c r="T234" s="8">
        <f t="shared" si="71"/>
        <v>4.0651209829601909E-3</v>
      </c>
      <c r="U234" s="21">
        <f t="shared" si="81"/>
        <v>0.14352858268568447</v>
      </c>
      <c r="V234" s="21">
        <f t="shared" si="82"/>
        <v>0.71761536067179754</v>
      </c>
      <c r="W234" s="21">
        <f t="shared" si="83"/>
        <v>0.14352858268568447</v>
      </c>
      <c r="Y234" s="23">
        <f t="shared" si="72"/>
        <v>3.6037141297499686E-2</v>
      </c>
      <c r="Z234" s="6">
        <f t="shared" si="73"/>
        <v>0.10749144138818478</v>
      </c>
      <c r="AA234" s="6">
        <f t="shared" si="74"/>
        <v>0.85647141731431553</v>
      </c>
      <c r="AB234" s="6">
        <f t="shared" si="75"/>
        <v>1</v>
      </c>
    </row>
    <row r="235" spans="1:28" x14ac:dyDescent="0.35">
      <c r="A235">
        <v>226</v>
      </c>
      <c r="B235" s="17">
        <f t="shared" si="76"/>
        <v>6848.4375</v>
      </c>
      <c r="C235" s="17">
        <f t="shared" si="69"/>
        <v>6878.875</v>
      </c>
      <c r="D235" s="17">
        <f t="shared" si="77"/>
        <v>6863.65625</v>
      </c>
      <c r="E235" s="17">
        <f t="shared" si="63"/>
        <v>225.5</v>
      </c>
      <c r="F235" s="17">
        <f t="shared" si="64"/>
        <v>78.791666666666671</v>
      </c>
      <c r="G235" s="21">
        <f>INDEX('Life Tables'!$F$8:$F$123,MATCH(Engine!F235,'Life Tables'!$B$8:$B$123,1))</f>
        <v>3.2500293527140123E-3</v>
      </c>
      <c r="H235" s="8">
        <f t="shared" si="65"/>
        <v>0.53836113955031628</v>
      </c>
      <c r="I235">
        <f t="shared" si="66"/>
        <v>1</v>
      </c>
      <c r="K235" s="22" t="e">
        <f>$I235*IF($E235&gt;_xlfn.AGGREGATE(4,6,'KM Data'!$B$6:$B$310),NA(),INDEX('KM Data'!$C$6:$C$310,MATCH($E235,'KM Data'!$B$6:$B$310,1)))</f>
        <v>#N/A</v>
      </c>
      <c r="L235" s="21">
        <f t="shared" si="67"/>
        <v>3.5805499178621636E-2</v>
      </c>
      <c r="M235" s="20">
        <f t="shared" si="70"/>
        <v>6.4069426612129998E-3</v>
      </c>
      <c r="N235" s="21">
        <f t="shared" si="78"/>
        <v>3.5805499178621636E-2</v>
      </c>
      <c r="O235" s="21">
        <f t="shared" si="79"/>
        <v>0.71528308968565579</v>
      </c>
      <c r="P235" s="21">
        <f t="shared" si="80"/>
        <v>3.5805499178621636E-2</v>
      </c>
      <c r="R235" s="22" t="e">
        <f>$I235*IF($E235&gt;_xlfn.AGGREGATE(4,6,'KM Data'!$E$6:$E$205),NA(),INDEX('KM Data'!$F$6:$F$205,MATCH($E235,'KM Data'!$E$6:$E$205,1)))</f>
        <v>#N/A</v>
      </c>
      <c r="S235" s="21">
        <f t="shared" si="68"/>
        <v>0.14294512163255435</v>
      </c>
      <c r="T235" s="8">
        <f t="shared" si="71"/>
        <v>4.0524996353297205E-3</v>
      </c>
      <c r="U235" s="21">
        <f t="shared" si="81"/>
        <v>0.14294512163255435</v>
      </c>
      <c r="V235" s="21">
        <f t="shared" si="82"/>
        <v>0.71528308968565579</v>
      </c>
      <c r="W235" s="21">
        <f t="shared" si="83"/>
        <v>0.14294512163255435</v>
      </c>
      <c r="Y235" s="23">
        <f t="shared" si="72"/>
        <v>3.5805499178621636E-2</v>
      </c>
      <c r="Z235" s="6">
        <f t="shared" si="73"/>
        <v>0.10713962245393271</v>
      </c>
      <c r="AA235" s="6">
        <f t="shared" si="74"/>
        <v>0.85705487836744565</v>
      </c>
      <c r="AB235" s="6">
        <f t="shared" si="75"/>
        <v>1</v>
      </c>
    </row>
    <row r="236" spans="1:28" x14ac:dyDescent="0.35">
      <c r="A236">
        <v>227</v>
      </c>
      <c r="B236" s="17">
        <f t="shared" si="76"/>
        <v>6878.875</v>
      </c>
      <c r="C236" s="17">
        <f t="shared" si="69"/>
        <v>6909.3125</v>
      </c>
      <c r="D236" s="17">
        <f t="shared" si="77"/>
        <v>6894.09375</v>
      </c>
      <c r="E236" s="17">
        <f t="shared" si="63"/>
        <v>226.5</v>
      </c>
      <c r="F236" s="17">
        <f t="shared" si="64"/>
        <v>78.875</v>
      </c>
      <c r="G236" s="21">
        <f>INDEX('Life Tables'!$F$8:$F$123,MATCH(Engine!F236,'Life Tables'!$B$8:$B$123,1))</f>
        <v>3.2500293527140123E-3</v>
      </c>
      <c r="H236" s="8">
        <f t="shared" si="65"/>
        <v>0.53836113955031628</v>
      </c>
      <c r="I236">
        <f t="shared" si="66"/>
        <v>1</v>
      </c>
      <c r="K236" s="22" t="e">
        <f>$I236*IF($E236&gt;_xlfn.AGGREGATE(4,6,'KM Data'!$B$6:$B$310),NA(),INDEX('KM Data'!$C$6:$C$310,MATCH($E236,'KM Data'!$B$6:$B$310,1)))</f>
        <v>#N/A</v>
      </c>
      <c r="L236" s="21">
        <f t="shared" si="67"/>
        <v>3.5576095398428098E-2</v>
      </c>
      <c r="M236" s="20">
        <f t="shared" si="70"/>
        <v>6.38616667801295E-3</v>
      </c>
      <c r="N236" s="21">
        <f t="shared" si="78"/>
        <v>3.5576095398428098E-2</v>
      </c>
      <c r="O236" s="21">
        <f t="shared" si="79"/>
        <v>0.71295839864867749</v>
      </c>
      <c r="P236" s="21">
        <f t="shared" si="80"/>
        <v>3.5576095398428098E-2</v>
      </c>
      <c r="R236" s="22" t="e">
        <f>$I236*IF($E236&gt;_xlfn.AGGREGATE(4,6,'KM Data'!$E$6:$E$205),NA(),INDEX('KM Data'!$F$6:$F$205,MATCH($E236,'KM Data'!$E$6:$E$205,1)))</f>
        <v>#N/A</v>
      </c>
      <c r="S236" s="21">
        <f t="shared" si="68"/>
        <v>0.14236583657926627</v>
      </c>
      <c r="T236" s="8">
        <f t="shared" si="71"/>
        <v>4.0399677790226018E-3</v>
      </c>
      <c r="U236" s="21">
        <f t="shared" si="81"/>
        <v>0.14236583657926627</v>
      </c>
      <c r="V236" s="21">
        <f t="shared" si="82"/>
        <v>0.71295839864867749</v>
      </c>
      <c r="W236" s="21">
        <f t="shared" si="83"/>
        <v>0.14236583657926627</v>
      </c>
      <c r="Y236" s="23">
        <f t="shared" si="72"/>
        <v>3.5576095398428098E-2</v>
      </c>
      <c r="Z236" s="6">
        <f t="shared" si="73"/>
        <v>0.10678974118083817</v>
      </c>
      <c r="AA236" s="6">
        <f t="shared" si="74"/>
        <v>0.85763416342073373</v>
      </c>
      <c r="AB236" s="6">
        <f t="shared" si="75"/>
        <v>1</v>
      </c>
    </row>
    <row r="237" spans="1:28" x14ac:dyDescent="0.35">
      <c r="A237">
        <v>228</v>
      </c>
      <c r="B237" s="17">
        <f t="shared" si="76"/>
        <v>6909.3125</v>
      </c>
      <c r="C237" s="17">
        <f t="shared" si="69"/>
        <v>6939.75</v>
      </c>
      <c r="D237" s="17">
        <f t="shared" si="77"/>
        <v>6924.53125</v>
      </c>
      <c r="E237" s="17">
        <f t="shared" si="63"/>
        <v>227.5</v>
      </c>
      <c r="F237" s="17">
        <f t="shared" si="64"/>
        <v>78.958333333333329</v>
      </c>
      <c r="G237" s="21">
        <f>INDEX('Life Tables'!$F$8:$F$123,MATCH(Engine!F237,'Life Tables'!$B$8:$B$123,1))</f>
        <v>3.2500293527140123E-3</v>
      </c>
      <c r="H237" s="8">
        <f t="shared" si="65"/>
        <v>0.52015569038677911</v>
      </c>
      <c r="I237">
        <f t="shared" si="66"/>
        <v>1</v>
      </c>
      <c r="K237" s="22" t="e">
        <f>$I237*IF($E237&gt;_xlfn.AGGREGATE(4,6,'KM Data'!$B$6:$B$310),NA(),INDEX('KM Data'!$C$6:$C$310,MATCH($E237,'KM Data'!$B$6:$B$310,1)))</f>
        <v>#N/A</v>
      </c>
      <c r="L237" s="21">
        <f t="shared" si="67"/>
        <v>3.5348900523460847E-2</v>
      </c>
      <c r="M237" s="20">
        <f t="shared" si="70"/>
        <v>6.3655419509961453E-3</v>
      </c>
      <c r="N237" s="21">
        <f t="shared" si="78"/>
        <v>3.5348900523460847E-2</v>
      </c>
      <c r="O237" s="21">
        <f t="shared" si="79"/>
        <v>0.71064126292580532</v>
      </c>
      <c r="P237" s="21">
        <f t="shared" si="80"/>
        <v>3.5348900523460847E-2</v>
      </c>
      <c r="R237" s="22" t="e">
        <f>$I237*IF($E237&gt;_xlfn.AGGREGATE(4,6,'KM Data'!$E$6:$E$205),NA(),INDEX('KM Data'!$F$6:$F$205,MATCH($E237,'KM Data'!$E$6:$E$205,1)))</f>
        <v>#N/A</v>
      </c>
      <c r="S237" s="21">
        <f t="shared" si="68"/>
        <v>0.14179068318665244</v>
      </c>
      <c r="T237" s="8">
        <f t="shared" si="71"/>
        <v>4.0275244150255185E-3</v>
      </c>
      <c r="U237" s="21">
        <f t="shared" si="81"/>
        <v>0.14179068318665244</v>
      </c>
      <c r="V237" s="21">
        <f t="shared" si="82"/>
        <v>0.71064126292580532</v>
      </c>
      <c r="W237" s="21">
        <f t="shared" si="83"/>
        <v>0.14179068318665244</v>
      </c>
      <c r="Y237" s="23">
        <f t="shared" si="72"/>
        <v>3.5348900523460847E-2</v>
      </c>
      <c r="Z237" s="6">
        <f t="shared" si="73"/>
        <v>0.1064417826631916</v>
      </c>
      <c r="AA237" s="6">
        <f t="shared" si="74"/>
        <v>0.85820931681334756</v>
      </c>
      <c r="AB237" s="6">
        <f t="shared" si="75"/>
        <v>1</v>
      </c>
    </row>
    <row r="238" spans="1:28" x14ac:dyDescent="0.35">
      <c r="A238">
        <v>229</v>
      </c>
      <c r="B238" s="17">
        <f t="shared" si="76"/>
        <v>6939.75</v>
      </c>
      <c r="C238" s="17">
        <f t="shared" si="69"/>
        <v>6970.1875</v>
      </c>
      <c r="D238" s="17">
        <f t="shared" si="77"/>
        <v>6954.96875</v>
      </c>
      <c r="E238" s="17">
        <f t="shared" si="63"/>
        <v>228.5</v>
      </c>
      <c r="F238" s="17">
        <f t="shared" si="64"/>
        <v>79.041666666666671</v>
      </c>
      <c r="G238" s="21">
        <f>INDEX('Life Tables'!$F$8:$F$123,MATCH(Engine!F238,'Life Tables'!$B$8:$B$123,1))</f>
        <v>3.6192902521909875E-3</v>
      </c>
      <c r="H238" s="8">
        <f t="shared" si="65"/>
        <v>0.52015569038677911</v>
      </c>
      <c r="I238">
        <f t="shared" si="66"/>
        <v>1</v>
      </c>
      <c r="K238" s="22" t="e">
        <f>$I238*IF($E238&gt;_xlfn.AGGREGATE(4,6,'KM Data'!$B$6:$B$310),NA(),INDEX('KM Data'!$C$6:$C$310,MATCH($E238,'KM Data'!$B$6:$B$310,1)))</f>
        <v>#N/A</v>
      </c>
      <c r="L238" s="21">
        <f t="shared" si="67"/>
        <v>3.5123885614257166E-2</v>
      </c>
      <c r="M238" s="20">
        <f t="shared" si="70"/>
        <v>6.3450667583528908E-3</v>
      </c>
      <c r="N238" s="21">
        <f t="shared" si="78"/>
        <v>3.5123885614257166E-2</v>
      </c>
      <c r="O238" s="21">
        <f t="shared" si="79"/>
        <v>0.70833165796204667</v>
      </c>
      <c r="P238" s="21">
        <f t="shared" si="80"/>
        <v>3.5123885614257166E-2</v>
      </c>
      <c r="R238" s="22" t="e">
        <f>$I238*IF($E238&gt;_xlfn.AGGREGATE(4,6,'KM Data'!$E$6:$E$205),NA(),INDEX('KM Data'!$F$6:$F$205,MATCH($E238,'KM Data'!$E$6:$E$205,1)))</f>
        <v>#N/A</v>
      </c>
      <c r="S238" s="21">
        <f t="shared" si="68"/>
        <v>0.14121961774829506</v>
      </c>
      <c r="T238" s="8">
        <f t="shared" si="71"/>
        <v>4.0151685595511966E-3</v>
      </c>
      <c r="U238" s="21">
        <f t="shared" si="81"/>
        <v>0.14121961774829506</v>
      </c>
      <c r="V238" s="21">
        <f t="shared" si="82"/>
        <v>0.70833165796204667</v>
      </c>
      <c r="W238" s="21">
        <f t="shared" si="83"/>
        <v>0.14121961774829506</v>
      </c>
      <c r="Y238" s="23">
        <f t="shared" si="72"/>
        <v>3.5123885614257166E-2</v>
      </c>
      <c r="Z238" s="6">
        <f t="shared" si="73"/>
        <v>0.10609573213403789</v>
      </c>
      <c r="AA238" s="6">
        <f t="shared" si="74"/>
        <v>0.85878038225170494</v>
      </c>
      <c r="AB238" s="6">
        <f t="shared" si="75"/>
        <v>1</v>
      </c>
    </row>
    <row r="239" spans="1:28" x14ac:dyDescent="0.35">
      <c r="A239">
        <v>230</v>
      </c>
      <c r="B239" s="17">
        <f t="shared" si="76"/>
        <v>6970.1875</v>
      </c>
      <c r="C239" s="17">
        <f t="shared" si="69"/>
        <v>7000.625</v>
      </c>
      <c r="D239" s="17">
        <f t="shared" si="77"/>
        <v>6985.40625</v>
      </c>
      <c r="E239" s="17">
        <f t="shared" si="63"/>
        <v>229.5</v>
      </c>
      <c r="F239" s="17">
        <f t="shared" si="64"/>
        <v>79.125</v>
      </c>
      <c r="G239" s="21">
        <f>INDEX('Life Tables'!$F$8:$F$123,MATCH(Engine!F239,'Life Tables'!$B$8:$B$123,1))</f>
        <v>3.6192902521909875E-3</v>
      </c>
      <c r="H239" s="8">
        <f t="shared" si="65"/>
        <v>0.52015569038677911</v>
      </c>
      <c r="I239">
        <f t="shared" si="66"/>
        <v>1</v>
      </c>
      <c r="K239" s="22" t="e">
        <f>$I239*IF($E239&gt;_xlfn.AGGREGATE(4,6,'KM Data'!$B$6:$B$310),NA(),INDEX('KM Data'!$C$6:$C$310,MATCH($E239,'KM Data'!$B$6:$B$310,1)))</f>
        <v>#N/A</v>
      </c>
      <c r="L239" s="21">
        <f t="shared" si="67"/>
        <v>3.4901022215221955E-2</v>
      </c>
      <c r="M239" s="20">
        <f t="shared" si="70"/>
        <v>6.3247394049725791E-3</v>
      </c>
      <c r="N239" s="21">
        <f t="shared" si="78"/>
        <v>3.4901022215221955E-2</v>
      </c>
      <c r="O239" s="21">
        <f t="shared" si="79"/>
        <v>0.70576800009706631</v>
      </c>
      <c r="P239" s="21">
        <f t="shared" si="80"/>
        <v>3.4901022215221955E-2</v>
      </c>
      <c r="R239" s="22" t="e">
        <f>$I239*IF($E239&gt;_xlfn.AGGREGATE(4,6,'KM Data'!$E$6:$E$205),NA(),INDEX('KM Data'!$F$6:$F$205,MATCH($E239,'KM Data'!$E$6:$E$205,1)))</f>
        <v>#N/A</v>
      </c>
      <c r="S239" s="21">
        <f t="shared" si="68"/>
        <v>0.14065259717912026</v>
      </c>
      <c r="T239" s="8">
        <f t="shared" si="71"/>
        <v>4.0028992437676214E-3</v>
      </c>
      <c r="U239" s="21">
        <f t="shared" si="81"/>
        <v>0.14065259717912026</v>
      </c>
      <c r="V239" s="21">
        <f t="shared" si="82"/>
        <v>0.70576800009706631</v>
      </c>
      <c r="W239" s="21">
        <f t="shared" si="83"/>
        <v>0.14065259717912026</v>
      </c>
      <c r="Y239" s="23">
        <f t="shared" si="72"/>
        <v>3.4901022215221955E-2</v>
      </c>
      <c r="Z239" s="6">
        <f t="shared" si="73"/>
        <v>0.10575157496389831</v>
      </c>
      <c r="AA239" s="6">
        <f t="shared" si="74"/>
        <v>0.85934740282087974</v>
      </c>
      <c r="AB239" s="6">
        <f t="shared" si="75"/>
        <v>1</v>
      </c>
    </row>
    <row r="240" spans="1:28" x14ac:dyDescent="0.35">
      <c r="A240">
        <v>231</v>
      </c>
      <c r="B240" s="17">
        <f t="shared" si="76"/>
        <v>7000.625</v>
      </c>
      <c r="C240" s="17">
        <f t="shared" si="69"/>
        <v>7031.0625</v>
      </c>
      <c r="D240" s="17">
        <f t="shared" si="77"/>
        <v>7015.84375</v>
      </c>
      <c r="E240" s="17">
        <f t="shared" si="63"/>
        <v>230.5</v>
      </c>
      <c r="F240" s="17">
        <f t="shared" si="64"/>
        <v>79.208333333333329</v>
      </c>
      <c r="G240" s="21">
        <f>INDEX('Life Tables'!$F$8:$F$123,MATCH(Engine!F240,'Life Tables'!$B$8:$B$123,1))</f>
        <v>3.6192902521909875E-3</v>
      </c>
      <c r="H240" s="8">
        <f t="shared" si="65"/>
        <v>0.52015569038677911</v>
      </c>
      <c r="I240">
        <f t="shared" si="66"/>
        <v>1</v>
      </c>
      <c r="K240" s="22" t="e">
        <f>$I240*IF($E240&gt;_xlfn.AGGREGATE(4,6,'KM Data'!$B$6:$B$310),NA(),INDEX('KM Data'!$C$6:$C$310,MATCH($E240,'KM Data'!$B$6:$B$310,1)))</f>
        <v>#N/A</v>
      </c>
      <c r="L240" s="21">
        <f t="shared" si="67"/>
        <v>3.4680282344743518E-2</v>
      </c>
      <c r="M240" s="20">
        <f t="shared" si="70"/>
        <v>6.3045582218962393E-3</v>
      </c>
      <c r="N240" s="21">
        <f t="shared" si="78"/>
        <v>3.4680282344743518E-2</v>
      </c>
      <c r="O240" s="21">
        <f t="shared" si="79"/>
        <v>0.70321362085400663</v>
      </c>
      <c r="P240" s="21">
        <f t="shared" si="80"/>
        <v>3.4680282344743518E-2</v>
      </c>
      <c r="R240" s="22" t="e">
        <f>$I240*IF($E240&gt;_xlfn.AGGREGATE(4,6,'KM Data'!$E$6:$E$205),NA(),INDEX('KM Data'!$F$6:$F$205,MATCH($E240,'KM Data'!$E$6:$E$205,1)))</f>
        <v>#N/A</v>
      </c>
      <c r="S240" s="21">
        <f t="shared" si="68"/>
        <v>0.14008957900423802</v>
      </c>
      <c r="T240" s="8">
        <f t="shared" si="71"/>
        <v>3.9907155134849548E-3</v>
      </c>
      <c r="U240" s="21">
        <f t="shared" si="81"/>
        <v>0.14008957900423802</v>
      </c>
      <c r="V240" s="21">
        <f t="shared" si="82"/>
        <v>0.70321362085400663</v>
      </c>
      <c r="W240" s="21">
        <f t="shared" si="83"/>
        <v>0.14008957900423802</v>
      </c>
      <c r="Y240" s="23">
        <f t="shared" si="72"/>
        <v>3.4680282344743518E-2</v>
      </c>
      <c r="Z240" s="6">
        <f t="shared" si="73"/>
        <v>0.1054092966594945</v>
      </c>
      <c r="AA240" s="6">
        <f t="shared" si="74"/>
        <v>0.85991042099576198</v>
      </c>
      <c r="AB240" s="6">
        <f t="shared" si="75"/>
        <v>1</v>
      </c>
    </row>
    <row r="241" spans="1:28" x14ac:dyDescent="0.35">
      <c r="A241">
        <v>232</v>
      </c>
      <c r="B241" s="17">
        <f t="shared" si="76"/>
        <v>7031.0625</v>
      </c>
      <c r="C241" s="17">
        <f t="shared" si="69"/>
        <v>7061.5</v>
      </c>
      <c r="D241" s="17">
        <f t="shared" si="77"/>
        <v>7046.28125</v>
      </c>
      <c r="E241" s="17">
        <f t="shared" si="63"/>
        <v>231.5</v>
      </c>
      <c r="F241" s="17">
        <f t="shared" si="64"/>
        <v>79.291666666666671</v>
      </c>
      <c r="G241" s="21">
        <f>INDEX('Life Tables'!$F$8:$F$123,MATCH(Engine!F241,'Life Tables'!$B$8:$B$123,1))</f>
        <v>3.6192902521909875E-3</v>
      </c>
      <c r="H241" s="8">
        <f t="shared" si="65"/>
        <v>0.52015569038677911</v>
      </c>
      <c r="I241">
        <f t="shared" si="66"/>
        <v>1</v>
      </c>
      <c r="K241" s="22" t="e">
        <f>$I241*IF($E241&gt;_xlfn.AGGREGATE(4,6,'KM Data'!$B$6:$B$310),NA(),INDEX('KM Data'!$C$6:$C$310,MATCH($E241,'KM Data'!$B$6:$B$310,1)))</f>
        <v>#N/A</v>
      </c>
      <c r="L241" s="21">
        <f t="shared" si="67"/>
        <v>3.4461638485549284E-2</v>
      </c>
      <c r="M241" s="20">
        <f t="shared" si="70"/>
        <v>6.2845215658013931E-3</v>
      </c>
      <c r="N241" s="21">
        <f t="shared" si="78"/>
        <v>3.4461638485549284E-2</v>
      </c>
      <c r="O241" s="21">
        <f t="shared" si="79"/>
        <v>0.7006684866508418</v>
      </c>
      <c r="P241" s="21">
        <f t="shared" si="80"/>
        <v>3.4461638485549284E-2</v>
      </c>
      <c r="R241" s="22" t="e">
        <f>$I241*IF($E241&gt;_xlfn.AGGREGATE(4,6,'KM Data'!$E$6:$E$205),NA(),INDEX('KM Data'!$F$6:$F$205,MATCH($E241,'KM Data'!$E$6:$E$205,1)))</f>
        <v>#N/A</v>
      </c>
      <c r="S241" s="21">
        <f t="shared" si="68"/>
        <v>0.13953052134802824</v>
      </c>
      <c r="T241" s="8">
        <f t="shared" si="71"/>
        <v>3.9786164288982961E-3</v>
      </c>
      <c r="U241" s="21">
        <f t="shared" si="81"/>
        <v>0.13953052134802824</v>
      </c>
      <c r="V241" s="21">
        <f t="shared" si="82"/>
        <v>0.7006684866508418</v>
      </c>
      <c r="W241" s="21">
        <f t="shared" si="83"/>
        <v>0.13953052134802824</v>
      </c>
      <c r="Y241" s="23">
        <f t="shared" si="72"/>
        <v>3.4461638485549284E-2</v>
      </c>
      <c r="Z241" s="6">
        <f t="shared" si="73"/>
        <v>0.10506888286247895</v>
      </c>
      <c r="AA241" s="6">
        <f t="shared" si="74"/>
        <v>0.86046947865197176</v>
      </c>
      <c r="AB241" s="6">
        <f t="shared" si="75"/>
        <v>1</v>
      </c>
    </row>
    <row r="242" spans="1:28" x14ac:dyDescent="0.35">
      <c r="A242">
        <v>233</v>
      </c>
      <c r="B242" s="17">
        <f t="shared" si="76"/>
        <v>7061.5</v>
      </c>
      <c r="C242" s="17">
        <f t="shared" si="69"/>
        <v>7091.9375</v>
      </c>
      <c r="D242" s="17">
        <f t="shared" si="77"/>
        <v>7076.71875</v>
      </c>
      <c r="E242" s="17">
        <f t="shared" si="63"/>
        <v>232.5</v>
      </c>
      <c r="F242" s="17">
        <f t="shared" si="64"/>
        <v>79.375</v>
      </c>
      <c r="G242" s="21">
        <f>INDEX('Life Tables'!$F$8:$F$123,MATCH(Engine!F242,'Life Tables'!$B$8:$B$123,1))</f>
        <v>3.6192902521909875E-3</v>
      </c>
      <c r="H242" s="8">
        <f t="shared" si="65"/>
        <v>0.52015569038677911</v>
      </c>
      <c r="I242">
        <f t="shared" si="66"/>
        <v>1</v>
      </c>
      <c r="K242" s="22" t="e">
        <f>$I242*IF($E242&gt;_xlfn.AGGREGATE(4,6,'KM Data'!$B$6:$B$310),NA(),INDEX('KM Data'!$C$6:$C$310,MATCH($E242,'KM Data'!$B$6:$B$310,1)))</f>
        <v>#N/A</v>
      </c>
      <c r="L242" s="21">
        <f t="shared" si="67"/>
        <v>3.4245063575293999E-2</v>
      </c>
      <c r="M242" s="20">
        <f t="shared" si="70"/>
        <v>6.2646278185081172E-3</v>
      </c>
      <c r="N242" s="21">
        <f t="shared" si="78"/>
        <v>3.4245063575293999E-2</v>
      </c>
      <c r="O242" s="21">
        <f t="shared" si="79"/>
        <v>0.69813256402708901</v>
      </c>
      <c r="P242" s="21">
        <f t="shared" si="80"/>
        <v>3.4245063575293999E-2</v>
      </c>
      <c r="R242" s="22" t="e">
        <f>$I242*IF($E242&gt;_xlfn.AGGREGATE(4,6,'KM Data'!$E$6:$E$205),NA(),INDEX('KM Data'!$F$6:$F$205,MATCH($E242,'KM Data'!$E$6:$E$205,1)))</f>
        <v>#N/A</v>
      </c>
      <c r="S242" s="21">
        <f t="shared" si="68"/>
        <v>0.13897538292346023</v>
      </c>
      <c r="T242" s="8">
        <f t="shared" si="71"/>
        <v>3.9666010642904759E-3</v>
      </c>
      <c r="U242" s="21">
        <f t="shared" si="81"/>
        <v>0.13897538292346023</v>
      </c>
      <c r="V242" s="21">
        <f t="shared" si="82"/>
        <v>0.69813256402708901</v>
      </c>
      <c r="W242" s="21">
        <f t="shared" si="83"/>
        <v>0.13897538292346023</v>
      </c>
      <c r="Y242" s="23">
        <f t="shared" si="72"/>
        <v>3.4245063575293999E-2</v>
      </c>
      <c r="Z242" s="6">
        <f t="shared" si="73"/>
        <v>0.10473031934816623</v>
      </c>
      <c r="AA242" s="6">
        <f t="shared" si="74"/>
        <v>0.86102461707653977</v>
      </c>
      <c r="AB242" s="6">
        <f t="shared" si="75"/>
        <v>1</v>
      </c>
    </row>
    <row r="243" spans="1:28" x14ac:dyDescent="0.35">
      <c r="A243">
        <v>234</v>
      </c>
      <c r="B243" s="17">
        <f t="shared" si="76"/>
        <v>7091.9375</v>
      </c>
      <c r="C243" s="17">
        <f t="shared" si="69"/>
        <v>7122.375</v>
      </c>
      <c r="D243" s="17">
        <f t="shared" si="77"/>
        <v>7107.15625</v>
      </c>
      <c r="E243" s="17">
        <f t="shared" si="63"/>
        <v>233.5</v>
      </c>
      <c r="F243" s="17">
        <f t="shared" si="64"/>
        <v>79.458333333333329</v>
      </c>
      <c r="G243" s="21">
        <f>INDEX('Life Tables'!$F$8:$F$123,MATCH(Engine!F243,'Life Tables'!$B$8:$B$123,1))</f>
        <v>3.6192902521909875E-3</v>
      </c>
      <c r="H243" s="8">
        <f t="shared" si="65"/>
        <v>0.52015569038677911</v>
      </c>
      <c r="I243">
        <f t="shared" si="66"/>
        <v>1</v>
      </c>
      <c r="K243" s="22" t="e">
        <f>$I243*IF($E243&gt;_xlfn.AGGREGATE(4,6,'KM Data'!$B$6:$B$310),NA(),INDEX('KM Data'!$C$6:$C$310,MATCH($E243,'KM Data'!$B$6:$B$310,1)))</f>
        <v>#N/A</v>
      </c>
      <c r="L243" s="21">
        <f t="shared" si="67"/>
        <v>3.4030530997373631E-2</v>
      </c>
      <c r="M243" s="20">
        <f t="shared" si="70"/>
        <v>6.2448753864953188E-3</v>
      </c>
      <c r="N243" s="21">
        <f t="shared" si="78"/>
        <v>3.4030530997373631E-2</v>
      </c>
      <c r="O243" s="21">
        <f t="shared" si="79"/>
        <v>0.69560581964336865</v>
      </c>
      <c r="P243" s="21">
        <f t="shared" si="80"/>
        <v>3.4030530997373631E-2</v>
      </c>
      <c r="R243" s="22" t="e">
        <f>$I243*IF($E243&gt;_xlfn.AGGREGATE(4,6,'KM Data'!$E$6:$E$205),NA(),INDEX('KM Data'!$F$6:$F$205,MATCH($E243,'KM Data'!$E$6:$E$205,1)))</f>
        <v>#N/A</v>
      </c>
      <c r="S243" s="21">
        <f t="shared" si="68"/>
        <v>0.13842412302164586</v>
      </c>
      <c r="T243" s="8">
        <f t="shared" si="71"/>
        <v>3.9546685077885835E-3</v>
      </c>
      <c r="U243" s="21">
        <f t="shared" si="81"/>
        <v>0.13842412302164586</v>
      </c>
      <c r="V243" s="21">
        <f t="shared" si="82"/>
        <v>0.69560581964336865</v>
      </c>
      <c r="W243" s="21">
        <f t="shared" si="83"/>
        <v>0.13842412302164586</v>
      </c>
      <c r="Y243" s="23">
        <f t="shared" si="72"/>
        <v>3.4030530997373631E-2</v>
      </c>
      <c r="Z243" s="6">
        <f t="shared" si="73"/>
        <v>0.10439359202427223</v>
      </c>
      <c r="AA243" s="6">
        <f t="shared" si="74"/>
        <v>0.86157587697835414</v>
      </c>
      <c r="AB243" s="6">
        <f t="shared" si="75"/>
        <v>1</v>
      </c>
    </row>
    <row r="244" spans="1:28" x14ac:dyDescent="0.35">
      <c r="A244">
        <v>235</v>
      </c>
      <c r="B244" s="17">
        <f t="shared" si="76"/>
        <v>7122.375</v>
      </c>
      <c r="C244" s="17">
        <f t="shared" si="69"/>
        <v>7152.8125</v>
      </c>
      <c r="D244" s="17">
        <f t="shared" si="77"/>
        <v>7137.59375</v>
      </c>
      <c r="E244" s="17">
        <f t="shared" si="63"/>
        <v>234.5</v>
      </c>
      <c r="F244" s="17">
        <f t="shared" si="64"/>
        <v>79.541666666666671</v>
      </c>
      <c r="G244" s="21">
        <f>INDEX('Life Tables'!$F$8:$F$123,MATCH(Engine!F244,'Life Tables'!$B$8:$B$123,1))</f>
        <v>3.6192902521909875E-3</v>
      </c>
      <c r="H244" s="8">
        <f t="shared" si="65"/>
        <v>0.52015569038677911</v>
      </c>
      <c r="I244">
        <f t="shared" si="66"/>
        <v>1</v>
      </c>
      <c r="K244" s="22" t="e">
        <f>$I244*IF($E244&gt;_xlfn.AGGREGATE(4,6,'KM Data'!$B$6:$B$310),NA(),INDEX('KM Data'!$C$6:$C$310,MATCH($E244,'KM Data'!$B$6:$B$310,1)))</f>
        <v>#N/A</v>
      </c>
      <c r="L244" s="21">
        <f t="shared" si="67"/>
        <v>3.3818014571958765E-2</v>
      </c>
      <c r="M244" s="20">
        <f t="shared" si="70"/>
        <v>6.2252627004422134E-3</v>
      </c>
      <c r="N244" s="21">
        <f t="shared" si="78"/>
        <v>3.3818014571958765E-2</v>
      </c>
      <c r="O244" s="21">
        <f t="shared" si="79"/>
        <v>0.69308822028096606</v>
      </c>
      <c r="P244" s="21">
        <f t="shared" si="80"/>
        <v>3.3818014571958765E-2</v>
      </c>
      <c r="R244" s="22" t="e">
        <f>$I244*IF($E244&gt;_xlfn.AGGREGATE(4,6,'KM Data'!$E$6:$E$205),NA(),INDEX('KM Data'!$F$6:$F$205,MATCH($E244,'KM Data'!$E$6:$E$205,1)))</f>
        <v>#N/A</v>
      </c>
      <c r="S244" s="21">
        <f t="shared" si="68"/>
        <v>0.13787670150161391</v>
      </c>
      <c r="T244" s="8">
        <f t="shared" si="71"/>
        <v>3.9428178610760867E-3</v>
      </c>
      <c r="U244" s="21">
        <f t="shared" si="81"/>
        <v>0.13787670150161391</v>
      </c>
      <c r="V244" s="21">
        <f t="shared" si="82"/>
        <v>0.69308822028096606</v>
      </c>
      <c r="W244" s="21">
        <f t="shared" si="83"/>
        <v>0.13787670150161391</v>
      </c>
      <c r="Y244" s="23">
        <f t="shared" si="72"/>
        <v>3.3818014571958765E-2</v>
      </c>
      <c r="Z244" s="6">
        <f t="shared" si="73"/>
        <v>0.10405868692965514</v>
      </c>
      <c r="AA244" s="6">
        <f t="shared" si="74"/>
        <v>0.86212329849838609</v>
      </c>
      <c r="AB244" s="6">
        <f t="shared" si="75"/>
        <v>1</v>
      </c>
    </row>
    <row r="245" spans="1:28" x14ac:dyDescent="0.35">
      <c r="A245">
        <v>236</v>
      </c>
      <c r="B245" s="17">
        <f t="shared" si="76"/>
        <v>7152.8125</v>
      </c>
      <c r="C245" s="17">
        <f t="shared" si="69"/>
        <v>7183.25</v>
      </c>
      <c r="D245" s="17">
        <f t="shared" si="77"/>
        <v>7168.03125</v>
      </c>
      <c r="E245" s="17">
        <f t="shared" si="63"/>
        <v>235.5</v>
      </c>
      <c r="F245" s="17">
        <f t="shared" si="64"/>
        <v>79.625</v>
      </c>
      <c r="G245" s="21">
        <f>INDEX('Life Tables'!$F$8:$F$123,MATCH(Engine!F245,'Life Tables'!$B$8:$B$123,1))</f>
        <v>3.6192902521909875E-3</v>
      </c>
      <c r="H245" s="8">
        <f t="shared" si="65"/>
        <v>0.52015569038677911</v>
      </c>
      <c r="I245">
        <f t="shared" si="66"/>
        <v>1</v>
      </c>
      <c r="K245" s="22" t="e">
        <f>$I245*IF($E245&gt;_xlfn.AGGREGATE(4,6,'KM Data'!$B$6:$B$310),NA(),INDEX('KM Data'!$C$6:$C$310,MATCH($E245,'KM Data'!$B$6:$B$310,1)))</f>
        <v>#N/A</v>
      </c>
      <c r="L245" s="21">
        <f t="shared" si="67"/>
        <v>3.3607488547240938E-2</v>
      </c>
      <c r="M245" s="20">
        <f t="shared" si="70"/>
        <v>6.2057882147131815E-3</v>
      </c>
      <c r="N245" s="21">
        <f t="shared" si="78"/>
        <v>3.3607488547240938E-2</v>
      </c>
      <c r="O245" s="21">
        <f t="shared" si="79"/>
        <v>0.69057973284139473</v>
      </c>
      <c r="P245" s="21">
        <f t="shared" si="80"/>
        <v>3.3607488547240938E-2</v>
      </c>
      <c r="R245" s="22" t="e">
        <f>$I245*IF($E245&gt;_xlfn.AGGREGATE(4,6,'KM Data'!$E$6:$E$205),NA(),INDEX('KM Data'!$F$6:$F$205,MATCH($E245,'KM Data'!$E$6:$E$205,1)))</f>
        <v>#N/A</v>
      </c>
      <c r="S245" s="21">
        <f t="shared" si="68"/>
        <v>0.13733307878030709</v>
      </c>
      <c r="T245" s="8">
        <f t="shared" si="71"/>
        <v>3.9310482391582413E-3</v>
      </c>
      <c r="U245" s="21">
        <f t="shared" si="81"/>
        <v>0.13733307878030709</v>
      </c>
      <c r="V245" s="21">
        <f t="shared" si="82"/>
        <v>0.69057973284139473</v>
      </c>
      <c r="W245" s="21">
        <f t="shared" si="83"/>
        <v>0.13733307878030709</v>
      </c>
      <c r="Y245" s="23">
        <f t="shared" si="72"/>
        <v>3.3607488547240938E-2</v>
      </c>
      <c r="Z245" s="6">
        <f t="shared" si="73"/>
        <v>0.10372559023306616</v>
      </c>
      <c r="AA245" s="6">
        <f t="shared" si="74"/>
        <v>0.86266692121969291</v>
      </c>
      <c r="AB245" s="6">
        <f t="shared" si="75"/>
        <v>1</v>
      </c>
    </row>
    <row r="246" spans="1:28" x14ac:dyDescent="0.35">
      <c r="A246">
        <v>237</v>
      </c>
      <c r="B246" s="17">
        <f t="shared" si="76"/>
        <v>7183.25</v>
      </c>
      <c r="C246" s="17">
        <f t="shared" si="69"/>
        <v>7213.6875</v>
      </c>
      <c r="D246" s="17">
        <f t="shared" si="77"/>
        <v>7198.46875</v>
      </c>
      <c r="E246" s="17">
        <f t="shared" si="63"/>
        <v>236.5</v>
      </c>
      <c r="F246" s="17">
        <f t="shared" si="64"/>
        <v>79.708333333333329</v>
      </c>
      <c r="G246" s="21">
        <f>INDEX('Life Tables'!$F$8:$F$123,MATCH(Engine!F246,'Life Tables'!$B$8:$B$123,1))</f>
        <v>3.6192902521909875E-3</v>
      </c>
      <c r="H246" s="8">
        <f t="shared" si="65"/>
        <v>0.52015569038677911</v>
      </c>
      <c r="I246">
        <f t="shared" si="66"/>
        <v>1</v>
      </c>
      <c r="K246" s="22" t="e">
        <f>$I246*IF($E246&gt;_xlfn.AGGREGATE(4,6,'KM Data'!$B$6:$B$310),NA(),INDEX('KM Data'!$C$6:$C$310,MATCH($E246,'KM Data'!$B$6:$B$310,1)))</f>
        <v>#N/A</v>
      </c>
      <c r="L246" s="21">
        <f t="shared" si="67"/>
        <v>3.3398927590888361E-2</v>
      </c>
      <c r="M246" s="20">
        <f t="shared" si="70"/>
        <v>6.1864504069625292E-3</v>
      </c>
      <c r="N246" s="21">
        <f t="shared" si="78"/>
        <v>3.3398927590888361E-2</v>
      </c>
      <c r="O246" s="21">
        <f t="shared" si="79"/>
        <v>0.68808032434596123</v>
      </c>
      <c r="P246" s="21">
        <f t="shared" si="80"/>
        <v>3.3398927590888361E-2</v>
      </c>
      <c r="R246" s="22" t="e">
        <f>$I246*IF($E246&gt;_xlfn.AGGREGATE(4,6,'KM Data'!$E$6:$E$205),NA(),INDEX('KM Data'!$F$6:$F$205,MATCH($E246,'KM Data'!$E$6:$E$205,1)))</f>
        <v>#N/A</v>
      </c>
      <c r="S246" s="21">
        <f t="shared" si="68"/>
        <v>0.13679321582278958</v>
      </c>
      <c r="T246" s="8">
        <f t="shared" si="71"/>
        <v>3.9193587700979693E-3</v>
      </c>
      <c r="U246" s="21">
        <f t="shared" si="81"/>
        <v>0.13679321582278958</v>
      </c>
      <c r="V246" s="21">
        <f t="shared" si="82"/>
        <v>0.68808032434596123</v>
      </c>
      <c r="W246" s="21">
        <f t="shared" si="83"/>
        <v>0.13679321582278958</v>
      </c>
      <c r="Y246" s="23">
        <f t="shared" si="72"/>
        <v>3.3398927590888361E-2</v>
      </c>
      <c r="Z246" s="6">
        <f t="shared" si="73"/>
        <v>0.10339428823190122</v>
      </c>
      <c r="AA246" s="6">
        <f t="shared" si="74"/>
        <v>0.86320678417721042</v>
      </c>
      <c r="AB246" s="6">
        <f t="shared" si="75"/>
        <v>1</v>
      </c>
    </row>
    <row r="247" spans="1:28" x14ac:dyDescent="0.35">
      <c r="A247">
        <v>238</v>
      </c>
      <c r="B247" s="17">
        <f t="shared" si="76"/>
        <v>7213.6875</v>
      </c>
      <c r="C247" s="17">
        <f t="shared" si="69"/>
        <v>7244.125</v>
      </c>
      <c r="D247" s="17">
        <f t="shared" si="77"/>
        <v>7228.90625</v>
      </c>
      <c r="E247" s="17">
        <f t="shared" si="63"/>
        <v>237.5</v>
      </c>
      <c r="F247" s="17">
        <f t="shared" si="64"/>
        <v>79.791666666666671</v>
      </c>
      <c r="G247" s="21">
        <f>INDEX('Life Tables'!$F$8:$F$123,MATCH(Engine!F247,'Life Tables'!$B$8:$B$123,1))</f>
        <v>3.6192902521909875E-3</v>
      </c>
      <c r="H247" s="8">
        <f t="shared" si="65"/>
        <v>0.52015569038677911</v>
      </c>
      <c r="I247">
        <f t="shared" si="66"/>
        <v>1</v>
      </c>
      <c r="K247" s="22" t="e">
        <f>$I247*IF($E247&gt;_xlfn.AGGREGATE(4,6,'KM Data'!$B$6:$B$310),NA(),INDEX('KM Data'!$C$6:$C$310,MATCH($E247,'KM Data'!$B$6:$B$310,1)))</f>
        <v>#N/A</v>
      </c>
      <c r="L247" s="21">
        <f t="shared" si="67"/>
        <v>3.3192306781701597E-2</v>
      </c>
      <c r="M247" s="20">
        <f t="shared" si="70"/>
        <v>6.1672477776665291E-3</v>
      </c>
      <c r="N247" s="21">
        <f t="shared" si="78"/>
        <v>3.3192306781701597E-2</v>
      </c>
      <c r="O247" s="21">
        <f t="shared" si="79"/>
        <v>0.6855899619353315</v>
      </c>
      <c r="P247" s="21">
        <f t="shared" si="80"/>
        <v>3.3192306781701597E-2</v>
      </c>
      <c r="R247" s="22" t="e">
        <f>$I247*IF($E247&gt;_xlfn.AGGREGATE(4,6,'KM Data'!$E$6:$E$205),NA(),INDEX('KM Data'!$F$6:$F$205,MATCH($E247,'KM Data'!$E$6:$E$205,1)))</f>
        <v>#N/A</v>
      </c>
      <c r="S247" s="21">
        <f t="shared" si="68"/>
        <v>0.13625707413266464</v>
      </c>
      <c r="T247" s="8">
        <f t="shared" si="71"/>
        <v>3.9077485947831558E-3</v>
      </c>
      <c r="U247" s="21">
        <f t="shared" si="81"/>
        <v>0.13625707413266464</v>
      </c>
      <c r="V247" s="21">
        <f t="shared" si="82"/>
        <v>0.6855899619353315</v>
      </c>
      <c r="W247" s="21">
        <f t="shared" si="83"/>
        <v>0.13625707413266464</v>
      </c>
      <c r="Y247" s="23">
        <f t="shared" si="72"/>
        <v>3.3192306781701597E-2</v>
      </c>
      <c r="Z247" s="6">
        <f t="shared" si="73"/>
        <v>0.10306476735096304</v>
      </c>
      <c r="AA247" s="6">
        <f t="shared" si="74"/>
        <v>0.86374292586733536</v>
      </c>
      <c r="AB247" s="6">
        <f t="shared" si="75"/>
        <v>1</v>
      </c>
    </row>
    <row r="248" spans="1:28" x14ac:dyDescent="0.35">
      <c r="A248">
        <v>239</v>
      </c>
      <c r="B248" s="17">
        <f t="shared" si="76"/>
        <v>7244.125</v>
      </c>
      <c r="C248" s="17">
        <f t="shared" si="69"/>
        <v>7274.5625</v>
      </c>
      <c r="D248" s="17">
        <f t="shared" si="77"/>
        <v>7259.34375</v>
      </c>
      <c r="E248" s="17">
        <f t="shared" si="63"/>
        <v>238.5</v>
      </c>
      <c r="F248" s="17">
        <f t="shared" si="64"/>
        <v>79.875</v>
      </c>
      <c r="G248" s="21">
        <f>INDEX('Life Tables'!$F$8:$F$123,MATCH(Engine!F248,'Life Tables'!$B$8:$B$123,1))</f>
        <v>3.6192902521909875E-3</v>
      </c>
      <c r="H248" s="8">
        <f t="shared" si="65"/>
        <v>0.52015569038677911</v>
      </c>
      <c r="I248">
        <f t="shared" si="66"/>
        <v>1</v>
      </c>
      <c r="K248" s="22" t="e">
        <f>$I248*IF($E248&gt;_xlfn.AGGREGATE(4,6,'KM Data'!$B$6:$B$310),NA(),INDEX('KM Data'!$C$6:$C$310,MATCH($E248,'KM Data'!$B$6:$B$310,1)))</f>
        <v>#N/A</v>
      </c>
      <c r="L248" s="21">
        <f t="shared" si="67"/>
        <v>3.2987601601466521E-2</v>
      </c>
      <c r="M248" s="20">
        <f t="shared" si="70"/>
        <v>6.1481788496809964E-3</v>
      </c>
      <c r="N248" s="21">
        <f t="shared" si="78"/>
        <v>3.2987601601466521E-2</v>
      </c>
      <c r="O248" s="21">
        <f t="shared" si="79"/>
        <v>0.68310861286909896</v>
      </c>
      <c r="P248" s="21">
        <f t="shared" si="80"/>
        <v>3.2987601601466521E-2</v>
      </c>
      <c r="R248" s="22" t="e">
        <f>$I248*IF($E248&gt;_xlfn.AGGREGATE(4,6,'KM Data'!$E$6:$E$205),NA(),INDEX('KM Data'!$F$6:$F$205,MATCH($E248,'KM Data'!$E$6:$E$205,1)))</f>
        <v>#N/A</v>
      </c>
      <c r="S248" s="21">
        <f t="shared" si="68"/>
        <v>0.13572461574269346</v>
      </c>
      <c r="T248" s="8">
        <f t="shared" si="71"/>
        <v>3.8962168666719643E-3</v>
      </c>
      <c r="U248" s="21">
        <f t="shared" si="81"/>
        <v>0.13572461574269346</v>
      </c>
      <c r="V248" s="21">
        <f t="shared" si="82"/>
        <v>0.68310861286909896</v>
      </c>
      <c r="W248" s="21">
        <f t="shared" si="83"/>
        <v>0.13572461574269346</v>
      </c>
      <c r="Y248" s="23">
        <f t="shared" si="72"/>
        <v>3.2987601601466521E-2</v>
      </c>
      <c r="Z248" s="6">
        <f t="shared" si="73"/>
        <v>0.10273701414122693</v>
      </c>
      <c r="AA248" s="6">
        <f t="shared" si="74"/>
        <v>0.86427538425730654</v>
      </c>
      <c r="AB248" s="6">
        <f t="shared" si="75"/>
        <v>1</v>
      </c>
    </row>
    <row r="249" spans="1:28" x14ac:dyDescent="0.35">
      <c r="A249">
        <v>240</v>
      </c>
      <c r="B249" s="17">
        <f t="shared" si="76"/>
        <v>7274.5625</v>
      </c>
      <c r="C249" s="17">
        <f t="shared" si="69"/>
        <v>7305</v>
      </c>
      <c r="D249" s="17">
        <f t="shared" si="77"/>
        <v>7289.78125</v>
      </c>
      <c r="E249" s="17">
        <f t="shared" si="63"/>
        <v>239.5</v>
      </c>
      <c r="F249" s="17">
        <f t="shared" si="64"/>
        <v>79.958333333333329</v>
      </c>
      <c r="G249" s="21">
        <f>INDEX('Life Tables'!$F$8:$F$123,MATCH(Engine!F249,'Life Tables'!$B$8:$B$123,1))</f>
        <v>3.6192902521909875E-3</v>
      </c>
      <c r="H249" s="8">
        <f t="shared" si="65"/>
        <v>0.50256588443167061</v>
      </c>
      <c r="I249">
        <f t="shared" si="66"/>
        <v>1</v>
      </c>
      <c r="K249" s="22" t="e">
        <f>$I249*IF($E249&gt;_xlfn.AGGREGATE(4,6,'KM Data'!$B$6:$B$310),NA(),INDEX('KM Data'!$C$6:$C$310,MATCH($E249,'KM Data'!$B$6:$B$310,1)))</f>
        <v>#N/A</v>
      </c>
      <c r="L249" s="21">
        <f t="shared" si="67"/>
        <v>3.2784787926998682E-2</v>
      </c>
      <c r="M249" s="20">
        <f t="shared" si="70"/>
        <v>6.1292421678358355E-3</v>
      </c>
      <c r="N249" s="21">
        <f t="shared" si="78"/>
        <v>3.2784787926998682E-2</v>
      </c>
      <c r="O249" s="21">
        <f t="shared" si="79"/>
        <v>0.68063624452535409</v>
      </c>
      <c r="P249" s="21">
        <f t="shared" si="80"/>
        <v>3.2784787926998682E-2</v>
      </c>
      <c r="R249" s="22" t="e">
        <f>$I249*IF($E249&gt;_xlfn.AGGREGATE(4,6,'KM Data'!$E$6:$E$205),NA(),INDEX('KM Data'!$F$6:$F$205,MATCH($E249,'KM Data'!$E$6:$E$205,1)))</f>
        <v>#N/A</v>
      </c>
      <c r="S249" s="21">
        <f t="shared" si="68"/>
        <v>0.1351958032056142</v>
      </c>
      <c r="T249" s="8">
        <f t="shared" si="71"/>
        <v>3.8847627515795624E-3</v>
      </c>
      <c r="U249" s="21">
        <f t="shared" si="81"/>
        <v>0.1351958032056142</v>
      </c>
      <c r="V249" s="21">
        <f t="shared" si="82"/>
        <v>0.68063624452535409</v>
      </c>
      <c r="W249" s="21">
        <f t="shared" si="83"/>
        <v>0.1351958032056142</v>
      </c>
      <c r="Y249" s="23">
        <f t="shared" si="72"/>
        <v>3.2784787926998682E-2</v>
      </c>
      <c r="Z249" s="6">
        <f t="shared" si="73"/>
        <v>0.10241101527861551</v>
      </c>
      <c r="AA249" s="6">
        <f t="shared" si="74"/>
        <v>0.8648041967943858</v>
      </c>
      <c r="AB249" s="6">
        <f t="shared" si="75"/>
        <v>1</v>
      </c>
    </row>
    <row r="250" spans="1:28" x14ac:dyDescent="0.35">
      <c r="A250">
        <v>241</v>
      </c>
      <c r="B250" s="17">
        <f t="shared" si="76"/>
        <v>7305</v>
      </c>
      <c r="C250" s="17">
        <f t="shared" si="69"/>
        <v>7335.4375</v>
      </c>
      <c r="D250" s="17">
        <f t="shared" si="77"/>
        <v>7320.21875</v>
      </c>
      <c r="E250" s="17">
        <f t="shared" si="63"/>
        <v>240.5</v>
      </c>
      <c r="F250" s="17">
        <f t="shared" si="64"/>
        <v>80.041666666666671</v>
      </c>
      <c r="G250" s="21">
        <f>INDEX('Life Tables'!$F$8:$F$123,MATCH(Engine!F250,'Life Tables'!$B$8:$B$123,1))</f>
        <v>4.1659145220621641E-3</v>
      </c>
      <c r="H250" s="8">
        <f t="shared" si="65"/>
        <v>0.50256588443167061</v>
      </c>
      <c r="I250">
        <f t="shared" si="66"/>
        <v>1</v>
      </c>
      <c r="K250" s="22" t="e">
        <f>$I250*IF($E250&gt;_xlfn.AGGREGATE(4,6,'KM Data'!$B$6:$B$310),NA(),INDEX('KM Data'!$C$6:$C$310,MATCH($E250,'KM Data'!$B$6:$B$310,1)))</f>
        <v>#N/A</v>
      </c>
      <c r="L250" s="21">
        <f t="shared" si="67"/>
        <v>3.2583842022372966E-2</v>
      </c>
      <c r="M250" s="20">
        <f t="shared" si="70"/>
        <v>6.1104362985062721E-3</v>
      </c>
      <c r="N250" s="21">
        <f t="shared" si="78"/>
        <v>3.2583842022372966E-2</v>
      </c>
      <c r="O250" s="21">
        <f t="shared" si="79"/>
        <v>0.67817282440025561</v>
      </c>
      <c r="P250" s="21">
        <f t="shared" si="80"/>
        <v>3.2583842022372966E-2</v>
      </c>
      <c r="R250" s="22" t="e">
        <f>$I250*IF($E250&gt;_xlfn.AGGREGATE(4,6,'KM Data'!$E$6:$E$205),NA(),INDEX('KM Data'!$F$6:$F$205,MATCH($E250,'KM Data'!$E$6:$E$205,1)))</f>
        <v>#N/A</v>
      </c>
      <c r="S250" s="21">
        <f t="shared" si="68"/>
        <v>0.13467059958515115</v>
      </c>
      <c r="T250" s="8">
        <f t="shared" si="71"/>
        <v>3.8733854274314305E-3</v>
      </c>
      <c r="U250" s="21">
        <f t="shared" si="81"/>
        <v>0.13467059958515115</v>
      </c>
      <c r="V250" s="21">
        <f t="shared" si="82"/>
        <v>0.67817282440025561</v>
      </c>
      <c r="W250" s="21">
        <f t="shared" si="83"/>
        <v>0.13467059958515115</v>
      </c>
      <c r="Y250" s="23">
        <f t="shared" si="72"/>
        <v>3.2583842022372966E-2</v>
      </c>
      <c r="Z250" s="6">
        <f t="shared" si="73"/>
        <v>0.10208675756277819</v>
      </c>
      <c r="AA250" s="6">
        <f t="shared" si="74"/>
        <v>0.86532940041484885</v>
      </c>
      <c r="AB250" s="6">
        <f t="shared" si="75"/>
        <v>1</v>
      </c>
    </row>
    <row r="251" spans="1:28" x14ac:dyDescent="0.35">
      <c r="A251">
        <v>242</v>
      </c>
      <c r="B251" s="17">
        <f t="shared" si="76"/>
        <v>7335.4375</v>
      </c>
      <c r="C251" s="17">
        <f t="shared" si="69"/>
        <v>7365.875</v>
      </c>
      <c r="D251" s="17">
        <f t="shared" si="77"/>
        <v>7350.65625</v>
      </c>
      <c r="E251" s="17">
        <f t="shared" si="63"/>
        <v>241.5</v>
      </c>
      <c r="F251" s="17">
        <f t="shared" si="64"/>
        <v>80.125</v>
      </c>
      <c r="G251" s="21">
        <f>INDEX('Life Tables'!$F$8:$F$123,MATCH(Engine!F251,'Life Tables'!$B$8:$B$123,1))</f>
        <v>4.1659145220621641E-3</v>
      </c>
      <c r="H251" s="8">
        <f t="shared" si="65"/>
        <v>0.50256588443167061</v>
      </c>
      <c r="I251">
        <f t="shared" si="66"/>
        <v>1</v>
      </c>
      <c r="K251" s="22" t="e">
        <f>$I251*IF($E251&gt;_xlfn.AGGREGATE(4,6,'KM Data'!$B$6:$B$310),NA(),INDEX('KM Data'!$C$6:$C$310,MATCH($E251,'KM Data'!$B$6:$B$310,1)))</f>
        <v>#N/A</v>
      </c>
      <c r="L251" s="21">
        <f t="shared" si="67"/>
        <v>3.2384740531334666E-2</v>
      </c>
      <c r="M251" s="20">
        <f t="shared" si="70"/>
        <v>6.0917598292297148E-3</v>
      </c>
      <c r="N251" s="21">
        <f t="shared" si="78"/>
        <v>3.2384740531334666E-2</v>
      </c>
      <c r="O251" s="21">
        <f t="shared" si="79"/>
        <v>0.6753476143826187</v>
      </c>
      <c r="P251" s="21">
        <f t="shared" si="80"/>
        <v>3.2384740531334666E-2</v>
      </c>
      <c r="R251" s="22" t="e">
        <f>$I251*IF($E251&gt;_xlfn.AGGREGATE(4,6,'KM Data'!$E$6:$E$205),NA(),INDEX('KM Data'!$F$6:$F$205,MATCH($E251,'KM Data'!$E$6:$E$205,1)))</f>
        <v>#N/A</v>
      </c>
      <c r="S251" s="21">
        <f t="shared" si="68"/>
        <v>0.13414896844721458</v>
      </c>
      <c r="T251" s="8">
        <f t="shared" si="71"/>
        <v>3.862084084049644E-3</v>
      </c>
      <c r="U251" s="21">
        <f t="shared" si="81"/>
        <v>0.13410957337864454</v>
      </c>
      <c r="V251" s="21">
        <f t="shared" si="82"/>
        <v>0.6753476143826187</v>
      </c>
      <c r="W251" s="21">
        <f t="shared" si="83"/>
        <v>0.13410957337864454</v>
      </c>
      <c r="Y251" s="23">
        <f t="shared" si="72"/>
        <v>3.2384740531334666E-2</v>
      </c>
      <c r="Z251" s="6">
        <f t="shared" si="73"/>
        <v>0.10172483284730988</v>
      </c>
      <c r="AA251" s="6">
        <f t="shared" si="74"/>
        <v>0.8658904266213554</v>
      </c>
      <c r="AB251" s="6">
        <f t="shared" si="75"/>
        <v>1</v>
      </c>
    </row>
    <row r="252" spans="1:28" x14ac:dyDescent="0.35">
      <c r="A252">
        <v>243</v>
      </c>
      <c r="B252" s="17">
        <f t="shared" si="76"/>
        <v>7365.875</v>
      </c>
      <c r="C252" s="17">
        <f t="shared" si="69"/>
        <v>7396.3125</v>
      </c>
      <c r="D252" s="17">
        <f t="shared" si="77"/>
        <v>7381.09375</v>
      </c>
      <c r="E252" s="17">
        <f t="shared" si="63"/>
        <v>242.5</v>
      </c>
      <c r="F252" s="17">
        <f t="shared" si="64"/>
        <v>80.208333333333329</v>
      </c>
      <c r="G252" s="21">
        <f>INDEX('Life Tables'!$F$8:$F$123,MATCH(Engine!F252,'Life Tables'!$B$8:$B$123,1))</f>
        <v>4.1659145220621641E-3</v>
      </c>
      <c r="H252" s="8">
        <f t="shared" si="65"/>
        <v>0.50256588443167061</v>
      </c>
      <c r="I252">
        <f t="shared" si="66"/>
        <v>1</v>
      </c>
      <c r="K252" s="22" t="e">
        <f>$I252*IF($E252&gt;_xlfn.AGGREGATE(4,6,'KM Data'!$B$6:$B$310),NA(),INDEX('KM Data'!$C$6:$C$310,MATCH($E252,'KM Data'!$B$6:$B$310,1)))</f>
        <v>#N/A</v>
      </c>
      <c r="L252" s="21">
        <f t="shared" si="67"/>
        <v>3.2187460469885854E-2</v>
      </c>
      <c r="M252" s="20">
        <f t="shared" si="70"/>
        <v>6.0732113682943067E-3</v>
      </c>
      <c r="N252" s="21">
        <f t="shared" si="78"/>
        <v>3.2187460469885854E-2</v>
      </c>
      <c r="O252" s="21">
        <f t="shared" si="79"/>
        <v>0.67253417394842208</v>
      </c>
      <c r="P252" s="21">
        <f t="shared" si="80"/>
        <v>3.2187460469885854E-2</v>
      </c>
      <c r="R252" s="22" t="e">
        <f>$I252*IF($E252&gt;_xlfn.AGGREGATE(4,6,'KM Data'!$E$6:$E$205),NA(),INDEX('KM Data'!$F$6:$F$205,MATCH($E252,'KM Data'!$E$6:$E$205,1)))</f>
        <v>#N/A</v>
      </c>
      <c r="S252" s="21">
        <f t="shared" si="68"/>
        <v>0.13363087385128292</v>
      </c>
      <c r="T252" s="8">
        <f t="shared" si="71"/>
        <v>3.850857922934936E-3</v>
      </c>
      <c r="U252" s="21">
        <f t="shared" si="81"/>
        <v>0.13355088435935888</v>
      </c>
      <c r="V252" s="21">
        <f t="shared" si="82"/>
        <v>0.67253417394842208</v>
      </c>
      <c r="W252" s="21">
        <f t="shared" si="83"/>
        <v>0.13355088435935888</v>
      </c>
      <c r="Y252" s="23">
        <f t="shared" si="72"/>
        <v>3.2187460469885854E-2</v>
      </c>
      <c r="Z252" s="6">
        <f t="shared" si="73"/>
        <v>0.10136342388947303</v>
      </c>
      <c r="AA252" s="6">
        <f t="shared" si="74"/>
        <v>0.86644911564064109</v>
      </c>
      <c r="AB252" s="6">
        <f t="shared" si="75"/>
        <v>1</v>
      </c>
    </row>
    <row r="253" spans="1:28" x14ac:dyDescent="0.35">
      <c r="A253">
        <v>244</v>
      </c>
      <c r="B253" s="17">
        <f t="shared" si="76"/>
        <v>7396.3125</v>
      </c>
      <c r="C253" s="17">
        <f t="shared" si="69"/>
        <v>7426.75</v>
      </c>
      <c r="D253" s="17">
        <f t="shared" si="77"/>
        <v>7411.53125</v>
      </c>
      <c r="E253" s="17">
        <f t="shared" si="63"/>
        <v>243.5</v>
      </c>
      <c r="F253" s="17">
        <f t="shared" si="64"/>
        <v>80.291666666666671</v>
      </c>
      <c r="G253" s="21">
        <f>INDEX('Life Tables'!$F$8:$F$123,MATCH(Engine!F253,'Life Tables'!$B$8:$B$123,1))</f>
        <v>4.1659145220621641E-3</v>
      </c>
      <c r="H253" s="8">
        <f t="shared" si="65"/>
        <v>0.50256588443167061</v>
      </c>
      <c r="I253">
        <f t="shared" si="66"/>
        <v>1</v>
      </c>
      <c r="K253" s="22" t="e">
        <f>$I253*IF($E253&gt;_xlfn.AGGREGATE(4,6,'KM Data'!$B$6:$B$310),NA(),INDEX('KM Data'!$C$6:$C$310,MATCH($E253,'KM Data'!$B$6:$B$310,1)))</f>
        <v>#N/A</v>
      </c>
      <c r="L253" s="21">
        <f t="shared" si="67"/>
        <v>3.199197921904362E-2</v>
      </c>
      <c r="M253" s="20">
        <f t="shared" si="70"/>
        <v>6.0547895443611166E-3</v>
      </c>
      <c r="N253" s="21">
        <f t="shared" si="78"/>
        <v>3.199197921904362E-2</v>
      </c>
      <c r="O253" s="21">
        <f t="shared" si="79"/>
        <v>0.66973245406658721</v>
      </c>
      <c r="P253" s="21">
        <f t="shared" si="80"/>
        <v>3.199197921904362E-2</v>
      </c>
      <c r="R253" s="22" t="e">
        <f>$I253*IF($E253&gt;_xlfn.AGGREGATE(4,6,'KM Data'!$E$6:$E$205),NA(),INDEX('KM Data'!$F$6:$F$205,MATCH($E253,'KM Data'!$E$6:$E$205,1)))</f>
        <v>#N/A</v>
      </c>
      <c r="S253" s="21">
        <f t="shared" si="68"/>
        <v>0.13311628034196399</v>
      </c>
      <c r="T253" s="8">
        <f t="shared" si="71"/>
        <v>3.8397061570497604E-3</v>
      </c>
      <c r="U253" s="21">
        <f t="shared" si="81"/>
        <v>0.13299452279077198</v>
      </c>
      <c r="V253" s="21">
        <f t="shared" si="82"/>
        <v>0.66973245406658721</v>
      </c>
      <c r="W253" s="21">
        <f t="shared" si="83"/>
        <v>0.13299452279077198</v>
      </c>
      <c r="Y253" s="23">
        <f t="shared" si="72"/>
        <v>3.199197921904362E-2</v>
      </c>
      <c r="Z253" s="6">
        <f t="shared" si="73"/>
        <v>0.10100254357172836</v>
      </c>
      <c r="AA253" s="6">
        <f t="shared" si="74"/>
        <v>0.86700547720922805</v>
      </c>
      <c r="AB253" s="6">
        <f t="shared" si="75"/>
        <v>1</v>
      </c>
    </row>
    <row r="254" spans="1:28" x14ac:dyDescent="0.35">
      <c r="A254">
        <v>245</v>
      </c>
      <c r="B254" s="17">
        <f t="shared" si="76"/>
        <v>7426.75</v>
      </c>
      <c r="C254" s="17">
        <f t="shared" si="69"/>
        <v>7457.1875</v>
      </c>
      <c r="D254" s="17">
        <f t="shared" si="77"/>
        <v>7441.96875</v>
      </c>
      <c r="E254" s="17">
        <f t="shared" si="63"/>
        <v>244.5</v>
      </c>
      <c r="F254" s="17">
        <f t="shared" si="64"/>
        <v>80.375</v>
      </c>
      <c r="G254" s="21">
        <f>INDEX('Life Tables'!$F$8:$F$123,MATCH(Engine!F254,'Life Tables'!$B$8:$B$123,1))</f>
        <v>4.1659145220621641E-3</v>
      </c>
      <c r="H254" s="8">
        <f t="shared" si="65"/>
        <v>0.50256588443167061</v>
      </c>
      <c r="I254">
        <f t="shared" si="66"/>
        <v>1</v>
      </c>
      <c r="K254" s="22" t="e">
        <f>$I254*IF($E254&gt;_xlfn.AGGREGATE(4,6,'KM Data'!$B$6:$B$310),NA(),INDEX('KM Data'!$C$6:$C$310,MATCH($E254,'KM Data'!$B$6:$B$310,1)))</f>
        <v>#N/A</v>
      </c>
      <c r="L254" s="21">
        <f t="shared" si="67"/>
        <v>3.1798274517764735E-2</v>
      </c>
      <c r="M254" s="20">
        <f t="shared" si="70"/>
        <v>6.0364930060659017E-3</v>
      </c>
      <c r="N254" s="21">
        <f t="shared" si="78"/>
        <v>3.1798274517764735E-2</v>
      </c>
      <c r="O254" s="21">
        <f t="shared" si="79"/>
        <v>0.66694240591029486</v>
      </c>
      <c r="P254" s="21">
        <f t="shared" si="80"/>
        <v>3.1798274517764735E-2</v>
      </c>
      <c r="R254" s="22" t="e">
        <f>$I254*IF($E254&gt;_xlfn.AGGREGATE(4,6,'KM Data'!$E$6:$E$205),NA(),INDEX('KM Data'!$F$6:$F$205,MATCH($E254,'KM Data'!$E$6:$E$205,1)))</f>
        <v>#N/A</v>
      </c>
      <c r="S254" s="21">
        <f t="shared" si="68"/>
        <v>0.13260515294073139</v>
      </c>
      <c r="T254" s="8">
        <f t="shared" si="71"/>
        <v>3.8286280106100135E-3</v>
      </c>
      <c r="U254" s="21">
        <f t="shared" si="81"/>
        <v>0.13244047897692318</v>
      </c>
      <c r="V254" s="21">
        <f t="shared" si="82"/>
        <v>0.66694240591029486</v>
      </c>
      <c r="W254" s="21">
        <f t="shared" si="83"/>
        <v>0.13244047897692318</v>
      </c>
      <c r="Y254" s="23">
        <f t="shared" si="72"/>
        <v>3.1798274517764735E-2</v>
      </c>
      <c r="Z254" s="6">
        <f t="shared" si="73"/>
        <v>0.10064220445915845</v>
      </c>
      <c r="AA254" s="6">
        <f t="shared" si="74"/>
        <v>0.86755952102307687</v>
      </c>
      <c r="AB254" s="6">
        <f t="shared" si="75"/>
        <v>1</v>
      </c>
    </row>
    <row r="255" spans="1:28" x14ac:dyDescent="0.35">
      <c r="A255">
        <v>246</v>
      </c>
      <c r="B255" s="17">
        <f t="shared" si="76"/>
        <v>7457.1875</v>
      </c>
      <c r="C255" s="17">
        <f t="shared" si="69"/>
        <v>7487.625</v>
      </c>
      <c r="D255" s="17">
        <f t="shared" si="77"/>
        <v>7472.40625</v>
      </c>
      <c r="E255" s="17">
        <f t="shared" si="63"/>
        <v>245.5</v>
      </c>
      <c r="F255" s="17">
        <f t="shared" si="64"/>
        <v>80.458333333333329</v>
      </c>
      <c r="G255" s="21">
        <f>INDEX('Life Tables'!$F$8:$F$123,MATCH(Engine!F255,'Life Tables'!$B$8:$B$123,1))</f>
        <v>4.1659145220621641E-3</v>
      </c>
      <c r="H255" s="8">
        <f t="shared" si="65"/>
        <v>0.50256588443167061</v>
      </c>
      <c r="I255">
        <f t="shared" si="66"/>
        <v>1</v>
      </c>
      <c r="K255" s="22" t="e">
        <f>$I255*IF($E255&gt;_xlfn.AGGREGATE(4,6,'KM Data'!$B$6:$B$310),NA(),INDEX('KM Data'!$C$6:$C$310,MATCH($E255,'KM Data'!$B$6:$B$310,1)))</f>
        <v>#N/A</v>
      </c>
      <c r="L255" s="21">
        <f t="shared" si="67"/>
        <v>3.1606324456033286E-2</v>
      </c>
      <c r="M255" s="20">
        <f t="shared" si="70"/>
        <v>6.0183204217043595E-3</v>
      </c>
      <c r="N255" s="21">
        <f t="shared" si="78"/>
        <v>3.1606324456033286E-2</v>
      </c>
      <c r="O255" s="21">
        <f t="shared" si="79"/>
        <v>0.66416398085613404</v>
      </c>
      <c r="P255" s="21">
        <f t="shared" si="80"/>
        <v>3.1606324456033286E-2</v>
      </c>
      <c r="R255" s="22" t="e">
        <f>$I255*IF($E255&gt;_xlfn.AGGREGATE(4,6,'KM Data'!$E$6:$E$205),NA(),INDEX('KM Data'!$F$6:$F$205,MATCH($E255,'KM Data'!$E$6:$E$205,1)))</f>
        <v>#N/A</v>
      </c>
      <c r="S255" s="21">
        <f t="shared" si="68"/>
        <v>0.13209745713783128</v>
      </c>
      <c r="T255" s="8">
        <f t="shared" si="71"/>
        <v>3.8176227188866374E-3</v>
      </c>
      <c r="U255" s="21">
        <f t="shared" si="81"/>
        <v>0.13188874326224434</v>
      </c>
      <c r="V255" s="21">
        <f t="shared" si="82"/>
        <v>0.66416398085613404</v>
      </c>
      <c r="W255" s="21">
        <f t="shared" si="83"/>
        <v>0.13188874326224434</v>
      </c>
      <c r="Y255" s="23">
        <f t="shared" si="72"/>
        <v>3.1606324456033286E-2</v>
      </c>
      <c r="Z255" s="6">
        <f t="shared" si="73"/>
        <v>0.10028241880621105</v>
      </c>
      <c r="AA255" s="6">
        <f t="shared" si="74"/>
        <v>0.86811125673775569</v>
      </c>
      <c r="AB255" s="6">
        <f t="shared" si="75"/>
        <v>1</v>
      </c>
    </row>
    <row r="256" spans="1:28" x14ac:dyDescent="0.35">
      <c r="A256">
        <v>247</v>
      </c>
      <c r="B256" s="17">
        <f t="shared" si="76"/>
        <v>7487.625</v>
      </c>
      <c r="C256" s="17">
        <f t="shared" si="69"/>
        <v>7518.0625</v>
      </c>
      <c r="D256" s="17">
        <f t="shared" si="77"/>
        <v>7502.84375</v>
      </c>
      <c r="E256" s="17">
        <f t="shared" si="63"/>
        <v>246.5</v>
      </c>
      <c r="F256" s="17">
        <f t="shared" si="64"/>
        <v>80.541666666666671</v>
      </c>
      <c r="G256" s="21">
        <f>INDEX('Life Tables'!$F$8:$F$123,MATCH(Engine!F256,'Life Tables'!$B$8:$B$123,1))</f>
        <v>4.1659145220621641E-3</v>
      </c>
      <c r="H256" s="8">
        <f t="shared" si="65"/>
        <v>0.50256588443167061</v>
      </c>
      <c r="I256">
        <f t="shared" si="66"/>
        <v>1</v>
      </c>
      <c r="K256" s="22" t="e">
        <f>$I256*IF($E256&gt;_xlfn.AGGREGATE(4,6,'KM Data'!$B$6:$B$310),NA(),INDEX('KM Data'!$C$6:$C$310,MATCH($E256,'KM Data'!$B$6:$B$310,1)))</f>
        <v>#N/A</v>
      </c>
      <c r="L256" s="21">
        <f t="shared" si="67"/>
        <v>3.1416107468104526E-2</v>
      </c>
      <c r="M256" s="20">
        <f t="shared" si="70"/>
        <v>6.0002704788008066E-3</v>
      </c>
      <c r="N256" s="21">
        <f t="shared" si="78"/>
        <v>3.1416107468104526E-2</v>
      </c>
      <c r="O256" s="21">
        <f t="shared" si="79"/>
        <v>0.66139713048325488</v>
      </c>
      <c r="P256" s="21">
        <f t="shared" si="80"/>
        <v>3.1416107468104526E-2</v>
      </c>
      <c r="R256" s="22" t="e">
        <f>$I256*IF($E256&gt;_xlfn.AGGREGATE(4,6,'KM Data'!$E$6:$E$205),NA(),INDEX('KM Data'!$F$6:$F$205,MATCH($E256,'KM Data'!$E$6:$E$205,1)))</f>
        <v>#N/A</v>
      </c>
      <c r="S256" s="21">
        <f t="shared" si="68"/>
        <v>0.13159315888435474</v>
      </c>
      <c r="T256" s="8">
        <f t="shared" si="71"/>
        <v>3.806689527995788E-3</v>
      </c>
      <c r="U256" s="21">
        <f t="shared" si="81"/>
        <v>0.13133930603139163</v>
      </c>
      <c r="V256" s="21">
        <f t="shared" si="82"/>
        <v>0.66139713048325488</v>
      </c>
      <c r="W256" s="21">
        <f t="shared" si="83"/>
        <v>0.13133930603139163</v>
      </c>
      <c r="Y256" s="23">
        <f t="shared" si="72"/>
        <v>3.1416107468104526E-2</v>
      </c>
      <c r="Z256" s="6">
        <f t="shared" si="73"/>
        <v>9.9923198563287102E-2</v>
      </c>
      <c r="AA256" s="6">
        <f t="shared" si="74"/>
        <v>0.86866069396860834</v>
      </c>
      <c r="AB256" s="6">
        <f t="shared" si="75"/>
        <v>1</v>
      </c>
    </row>
    <row r="257" spans="1:28" x14ac:dyDescent="0.35">
      <c r="A257">
        <v>248</v>
      </c>
      <c r="B257" s="17">
        <f t="shared" si="76"/>
        <v>7518.0625</v>
      </c>
      <c r="C257" s="17">
        <f t="shared" si="69"/>
        <v>7548.5</v>
      </c>
      <c r="D257" s="17">
        <f t="shared" si="77"/>
        <v>7533.28125</v>
      </c>
      <c r="E257" s="17">
        <f t="shared" si="63"/>
        <v>247.5</v>
      </c>
      <c r="F257" s="17">
        <f t="shared" si="64"/>
        <v>80.625</v>
      </c>
      <c r="G257" s="21">
        <f>INDEX('Life Tables'!$F$8:$F$123,MATCH(Engine!F257,'Life Tables'!$B$8:$B$123,1))</f>
        <v>4.1659145220621641E-3</v>
      </c>
      <c r="H257" s="8">
        <f t="shared" si="65"/>
        <v>0.50256588443167061</v>
      </c>
      <c r="I257">
        <f t="shared" si="66"/>
        <v>1</v>
      </c>
      <c r="K257" s="22" t="e">
        <f>$I257*IF($E257&gt;_xlfn.AGGREGATE(4,6,'KM Data'!$B$6:$B$310),NA(),INDEX('KM Data'!$C$6:$C$310,MATCH($E257,'KM Data'!$B$6:$B$310,1)))</f>
        <v>#N/A</v>
      </c>
      <c r="L257" s="21">
        <f t="shared" si="67"/>
        <v>3.1227602325904824E-2</v>
      </c>
      <c r="M257" s="20">
        <f t="shared" si="70"/>
        <v>5.9823418838136355E-3</v>
      </c>
      <c r="N257" s="21">
        <f t="shared" si="78"/>
        <v>3.1227602325904824E-2</v>
      </c>
      <c r="O257" s="21">
        <f t="shared" si="79"/>
        <v>0.65864180657252447</v>
      </c>
      <c r="P257" s="21">
        <f t="shared" si="80"/>
        <v>3.1227602325904824E-2</v>
      </c>
      <c r="R257" s="22" t="e">
        <f>$I257*IF($E257&gt;_xlfn.AGGREGATE(4,6,'KM Data'!$E$6:$E$205),NA(),INDEX('KM Data'!$F$6:$F$205,MATCH($E257,'KM Data'!$E$6:$E$205,1)))</f>
        <v>#N/A</v>
      </c>
      <c r="S257" s="21">
        <f t="shared" si="68"/>
        <v>0.13109222458447378</v>
      </c>
      <c r="T257" s="8">
        <f t="shared" si="71"/>
        <v>3.7958276947156477E-3</v>
      </c>
      <c r="U257" s="21">
        <f t="shared" si="81"/>
        <v>0.1307921577090779</v>
      </c>
      <c r="V257" s="21">
        <f t="shared" si="82"/>
        <v>0.65864180657252447</v>
      </c>
      <c r="W257" s="21">
        <f t="shared" si="83"/>
        <v>0.1307921577090779</v>
      </c>
      <c r="Y257" s="23">
        <f t="shared" si="72"/>
        <v>3.1227602325904824E-2</v>
      </c>
      <c r="Z257" s="6">
        <f t="shared" si="73"/>
        <v>9.9564555383173076E-2</v>
      </c>
      <c r="AA257" s="6">
        <f t="shared" si="74"/>
        <v>0.86920784229092207</v>
      </c>
      <c r="AB257" s="6">
        <f t="shared" si="75"/>
        <v>1</v>
      </c>
    </row>
    <row r="258" spans="1:28" x14ac:dyDescent="0.35">
      <c r="A258">
        <v>249</v>
      </c>
      <c r="B258" s="17">
        <f t="shared" si="76"/>
        <v>7548.5</v>
      </c>
      <c r="C258" s="17">
        <f t="shared" si="69"/>
        <v>7578.9375</v>
      </c>
      <c r="D258" s="17">
        <f t="shared" si="77"/>
        <v>7563.71875</v>
      </c>
      <c r="E258" s="17">
        <f t="shared" si="63"/>
        <v>248.5</v>
      </c>
      <c r="F258" s="17">
        <f t="shared" si="64"/>
        <v>80.708333333333329</v>
      </c>
      <c r="G258" s="21">
        <f>INDEX('Life Tables'!$F$8:$F$123,MATCH(Engine!F258,'Life Tables'!$B$8:$B$123,1))</f>
        <v>4.1659145220621641E-3</v>
      </c>
      <c r="H258" s="8">
        <f t="shared" si="65"/>
        <v>0.50256588443167061</v>
      </c>
      <c r="I258">
        <f t="shared" si="66"/>
        <v>1</v>
      </c>
      <c r="K258" s="22" t="e">
        <f>$I258*IF($E258&gt;_xlfn.AGGREGATE(4,6,'KM Data'!$B$6:$B$310),NA(),INDEX('KM Data'!$C$6:$C$310,MATCH($E258,'KM Data'!$B$6:$B$310,1)))</f>
        <v>#N/A</v>
      </c>
      <c r="L258" s="21">
        <f t="shared" si="67"/>
        <v>3.1040788132579489E-2</v>
      </c>
      <c r="M258" s="20">
        <f t="shared" si="70"/>
        <v>5.9645333617536211E-3</v>
      </c>
      <c r="N258" s="21">
        <f t="shared" si="78"/>
        <v>3.1040788132579489E-2</v>
      </c>
      <c r="O258" s="21">
        <f t="shared" si="79"/>
        <v>0.65589796110568677</v>
      </c>
      <c r="P258" s="21">
        <f t="shared" si="80"/>
        <v>3.1040788132579489E-2</v>
      </c>
      <c r="R258" s="22" t="e">
        <f>$I258*IF($E258&gt;_xlfn.AGGREGATE(4,6,'KM Data'!$E$6:$E$205),NA(),INDEX('KM Data'!$F$6:$F$205,MATCH($E258,'KM Data'!$E$6:$E$205,1)))</f>
        <v>#N/A</v>
      </c>
      <c r="S258" s="21">
        <f t="shared" si="68"/>
        <v>0.13059462108783415</v>
      </c>
      <c r="T258" s="8">
        <f t="shared" si="71"/>
        <v>3.7850364862834773E-3</v>
      </c>
      <c r="U258" s="21">
        <f t="shared" si="81"/>
        <v>0.13024728875990579</v>
      </c>
      <c r="V258" s="21">
        <f t="shared" si="82"/>
        <v>0.65589796110568677</v>
      </c>
      <c r="W258" s="21">
        <f t="shared" si="83"/>
        <v>0.13024728875990579</v>
      </c>
      <c r="Y258" s="23">
        <f t="shared" si="72"/>
        <v>3.1040788132579489E-2</v>
      </c>
      <c r="Z258" s="6">
        <f t="shared" si="73"/>
        <v>9.9206500627326305E-2</v>
      </c>
      <c r="AA258" s="6">
        <f t="shared" si="74"/>
        <v>0.86975271124009423</v>
      </c>
      <c r="AB258" s="6">
        <f t="shared" si="75"/>
        <v>1</v>
      </c>
    </row>
    <row r="259" spans="1:28" x14ac:dyDescent="0.35">
      <c r="A259">
        <v>250</v>
      </c>
      <c r="B259" s="17">
        <f t="shared" si="76"/>
        <v>7578.9375</v>
      </c>
      <c r="C259" s="17">
        <f t="shared" si="69"/>
        <v>7609.375</v>
      </c>
      <c r="D259" s="17">
        <f t="shared" si="77"/>
        <v>7594.15625</v>
      </c>
      <c r="E259" s="17">
        <f t="shared" si="63"/>
        <v>249.5</v>
      </c>
      <c r="F259" s="17">
        <f t="shared" si="64"/>
        <v>80.791666666666671</v>
      </c>
      <c r="G259" s="21">
        <f>INDEX('Life Tables'!$F$8:$F$123,MATCH(Engine!F259,'Life Tables'!$B$8:$B$123,1))</f>
        <v>4.1659145220621641E-3</v>
      </c>
      <c r="H259" s="8">
        <f t="shared" si="65"/>
        <v>0.50256588443167061</v>
      </c>
      <c r="I259">
        <f t="shared" si="66"/>
        <v>1</v>
      </c>
      <c r="K259" s="22" t="e">
        <f>$I259*IF($E259&gt;_xlfn.AGGREGATE(4,6,'KM Data'!$B$6:$B$310),NA(),INDEX('KM Data'!$C$6:$C$310,MATCH($E259,'KM Data'!$B$6:$B$310,1)))</f>
        <v>#N/A</v>
      </c>
      <c r="L259" s="21">
        <f t="shared" si="67"/>
        <v>3.0855644316187592E-2</v>
      </c>
      <c r="M259" s="20">
        <f t="shared" si="70"/>
        <v>5.9468436558762772E-3</v>
      </c>
      <c r="N259" s="21">
        <f t="shared" si="78"/>
        <v>3.0855644316187592E-2</v>
      </c>
      <c r="O259" s="21">
        <f t="shared" si="79"/>
        <v>0.65316554626452561</v>
      </c>
      <c r="P259" s="21">
        <f t="shared" si="80"/>
        <v>3.0855644316187592E-2</v>
      </c>
      <c r="R259" s="22" t="e">
        <f>$I259*IF($E259&gt;_xlfn.AGGREGATE(4,6,'KM Data'!$E$6:$E$205),NA(),INDEX('KM Data'!$F$6:$F$205,MATCH($E259,'KM Data'!$E$6:$E$205,1)))</f>
        <v>#N/A</v>
      </c>
      <c r="S259" s="21">
        <f t="shared" si="68"/>
        <v>0.13010031568210434</v>
      </c>
      <c r="T259" s="8">
        <f t="shared" si="71"/>
        <v>3.7743151802208663E-3</v>
      </c>
      <c r="U259" s="21">
        <f t="shared" si="81"/>
        <v>0.12970468968820167</v>
      </c>
      <c r="V259" s="21">
        <f t="shared" si="82"/>
        <v>0.65316554626452561</v>
      </c>
      <c r="W259" s="21">
        <f t="shared" si="83"/>
        <v>0.12970468968820167</v>
      </c>
      <c r="Y259" s="23">
        <f t="shared" si="72"/>
        <v>3.0855644316187592E-2</v>
      </c>
      <c r="Z259" s="6">
        <f t="shared" si="73"/>
        <v>9.8849045372014083E-2</v>
      </c>
      <c r="AA259" s="6">
        <f t="shared" si="74"/>
        <v>0.8702953103117983</v>
      </c>
      <c r="AB259" s="6">
        <f t="shared" si="75"/>
        <v>1</v>
      </c>
    </row>
    <row r="260" spans="1:28" x14ac:dyDescent="0.35">
      <c r="A260">
        <v>251</v>
      </c>
      <c r="B260" s="17">
        <f t="shared" si="76"/>
        <v>7609.375</v>
      </c>
      <c r="C260" s="17">
        <f t="shared" si="69"/>
        <v>7639.8125</v>
      </c>
      <c r="D260" s="17">
        <f t="shared" si="77"/>
        <v>7624.59375</v>
      </c>
      <c r="E260" s="17">
        <f t="shared" si="63"/>
        <v>250.5</v>
      </c>
      <c r="F260" s="17">
        <f t="shared" si="64"/>
        <v>80.875</v>
      </c>
      <c r="G260" s="21">
        <f>INDEX('Life Tables'!$F$8:$F$123,MATCH(Engine!F260,'Life Tables'!$B$8:$B$123,1))</f>
        <v>4.1659145220621641E-3</v>
      </c>
      <c r="H260" s="8">
        <f t="shared" si="65"/>
        <v>0.50256588443167061</v>
      </c>
      <c r="I260">
        <f t="shared" si="66"/>
        <v>1</v>
      </c>
      <c r="K260" s="22" t="e">
        <f>$I260*IF($E260&gt;_xlfn.AGGREGATE(4,6,'KM Data'!$B$6:$B$310),NA(),INDEX('KM Data'!$C$6:$C$310,MATCH($E260,'KM Data'!$B$6:$B$310,1)))</f>
        <v>#N/A</v>
      </c>
      <c r="L260" s="21">
        <f t="shared" si="67"/>
        <v>3.0672150623537897E-2</v>
      </c>
      <c r="M260" s="20">
        <f t="shared" si="70"/>
        <v>5.9292715273294716E-3</v>
      </c>
      <c r="N260" s="21">
        <f t="shared" si="78"/>
        <v>3.0672150623537897E-2</v>
      </c>
      <c r="O260" s="21">
        <f t="shared" si="79"/>
        <v>0.6504445144300316</v>
      </c>
      <c r="P260" s="21">
        <f t="shared" si="80"/>
        <v>3.0672150623537897E-2</v>
      </c>
      <c r="R260" s="22" t="e">
        <f>$I260*IF($E260&gt;_xlfn.AGGREGATE(4,6,'KM Data'!$E$6:$E$205),NA(),INDEX('KM Data'!$F$6:$F$205,MATCH($E260,'KM Data'!$E$6:$E$205,1)))</f>
        <v>#N/A</v>
      </c>
      <c r="S260" s="21">
        <f t="shared" si="68"/>
        <v>0.12960927608567385</v>
      </c>
      <c r="T260" s="8">
        <f t="shared" si="71"/>
        <v>3.7636630641392221E-3</v>
      </c>
      <c r="U260" s="21">
        <f t="shared" si="81"/>
        <v>0.12916435103785004</v>
      </c>
      <c r="V260" s="21">
        <f t="shared" si="82"/>
        <v>0.6504445144300316</v>
      </c>
      <c r="W260" s="21">
        <f t="shared" si="83"/>
        <v>0.12916435103785004</v>
      </c>
      <c r="Y260" s="23">
        <f t="shared" si="72"/>
        <v>3.0672150623537897E-2</v>
      </c>
      <c r="Z260" s="6">
        <f t="shared" si="73"/>
        <v>9.8492200414312142E-2</v>
      </c>
      <c r="AA260" s="6">
        <f t="shared" si="74"/>
        <v>0.87083564896214993</v>
      </c>
      <c r="AB260" s="6">
        <f t="shared" si="75"/>
        <v>1</v>
      </c>
    </row>
    <row r="261" spans="1:28" x14ac:dyDescent="0.35">
      <c r="A261">
        <v>252</v>
      </c>
      <c r="B261" s="17">
        <f t="shared" si="76"/>
        <v>7639.8125</v>
      </c>
      <c r="C261" s="17">
        <f t="shared" si="69"/>
        <v>7670.25</v>
      </c>
      <c r="D261" s="17">
        <f t="shared" si="77"/>
        <v>7655.03125</v>
      </c>
      <c r="E261" s="17">
        <f t="shared" si="63"/>
        <v>251.5</v>
      </c>
      <c r="F261" s="17">
        <f t="shared" si="64"/>
        <v>80.958333333333329</v>
      </c>
      <c r="G261" s="21">
        <f>INDEX('Life Tables'!$F$8:$F$123,MATCH(Engine!F261,'Life Tables'!$B$8:$B$123,1))</f>
        <v>4.1659145220621641E-3</v>
      </c>
      <c r="H261" s="8">
        <f t="shared" si="65"/>
        <v>0.48557090283253213</v>
      </c>
      <c r="I261">
        <f t="shared" si="66"/>
        <v>1</v>
      </c>
      <c r="K261" s="22" t="e">
        <f>$I261*IF($E261&gt;_xlfn.AGGREGATE(4,6,'KM Data'!$B$6:$B$310),NA(),INDEX('KM Data'!$C$6:$C$310,MATCH($E261,'KM Data'!$B$6:$B$310,1)))</f>
        <v>#N/A</v>
      </c>
      <c r="L261" s="21">
        <f t="shared" si="67"/>
        <v>3.0490287114163794E-2</v>
      </c>
      <c r="M261" s="20">
        <f t="shared" si="70"/>
        <v>5.9118157548294636E-3</v>
      </c>
      <c r="N261" s="21">
        <f t="shared" si="78"/>
        <v>3.0490287114163794E-2</v>
      </c>
      <c r="O261" s="21">
        <f t="shared" si="79"/>
        <v>0.64773481818157186</v>
      </c>
      <c r="P261" s="21">
        <f t="shared" si="80"/>
        <v>3.0490287114163794E-2</v>
      </c>
      <c r="R261" s="22" t="e">
        <f>$I261*IF($E261&gt;_xlfn.AGGREGATE(4,6,'KM Data'!$E$6:$E$205),NA(),INDEX('KM Data'!$F$6:$F$205,MATCH($E261,'KM Data'!$E$6:$E$205,1)))</f>
        <v>#N/A</v>
      </c>
      <c r="S261" s="21">
        <f t="shared" si="68"/>
        <v>0.12912147044050037</v>
      </c>
      <c r="T261" s="8">
        <f t="shared" si="71"/>
        <v>3.7530794355706831E-3</v>
      </c>
      <c r="U261" s="21">
        <f t="shared" si="81"/>
        <v>0.12862626339212874</v>
      </c>
      <c r="V261" s="21">
        <f t="shared" si="82"/>
        <v>0.64773481818157186</v>
      </c>
      <c r="W261" s="21">
        <f t="shared" si="83"/>
        <v>0.12862626339212874</v>
      </c>
      <c r="Y261" s="23">
        <f t="shared" si="72"/>
        <v>3.0490287114163794E-2</v>
      </c>
      <c r="Z261" s="6">
        <f t="shared" si="73"/>
        <v>9.8135976277964942E-2</v>
      </c>
      <c r="AA261" s="6">
        <f t="shared" si="74"/>
        <v>0.87137373660787132</v>
      </c>
      <c r="AB261" s="6">
        <f t="shared" si="75"/>
        <v>1</v>
      </c>
    </row>
    <row r="262" spans="1:28" x14ac:dyDescent="0.35">
      <c r="A262">
        <v>253</v>
      </c>
      <c r="B262" s="17">
        <f t="shared" si="76"/>
        <v>7670.25</v>
      </c>
      <c r="C262" s="17">
        <f t="shared" si="69"/>
        <v>7700.6875</v>
      </c>
      <c r="D262" s="17">
        <f t="shared" si="77"/>
        <v>7685.46875</v>
      </c>
      <c r="E262" s="17">
        <f t="shared" si="63"/>
        <v>252.5</v>
      </c>
      <c r="F262" s="17">
        <f t="shared" si="64"/>
        <v>81.041666666666671</v>
      </c>
      <c r="G262" s="21">
        <f>INDEX('Life Tables'!$F$8:$F$123,MATCH(Engine!F262,'Life Tables'!$B$8:$B$123,1))</f>
        <v>4.6651815038590838E-3</v>
      </c>
      <c r="H262" s="8">
        <f t="shared" si="65"/>
        <v>0.48557090283253213</v>
      </c>
      <c r="I262">
        <f t="shared" si="66"/>
        <v>1</v>
      </c>
      <c r="K262" s="22" t="e">
        <f>$I262*IF($E262&gt;_xlfn.AGGREGATE(4,6,'KM Data'!$B$6:$B$310),NA(),INDEX('KM Data'!$C$6:$C$310,MATCH($E262,'KM Data'!$B$6:$B$310,1)))</f>
        <v>#N/A</v>
      </c>
      <c r="L262" s="21">
        <f t="shared" si="67"/>
        <v>3.0310034154433008E-2</v>
      </c>
      <c r="M262" s="20">
        <f t="shared" si="70"/>
        <v>5.894475134378574E-3</v>
      </c>
      <c r="N262" s="21">
        <f t="shared" si="78"/>
        <v>3.0310034154433008E-2</v>
      </c>
      <c r="O262" s="21">
        <f t="shared" si="79"/>
        <v>0.64503641029606396</v>
      </c>
      <c r="P262" s="21">
        <f t="shared" si="80"/>
        <v>3.0310034154433008E-2</v>
      </c>
      <c r="R262" s="22" t="e">
        <f>$I262*IF($E262&gt;_xlfn.AGGREGATE(4,6,'KM Data'!$E$6:$E$205),NA(),INDEX('KM Data'!$F$6:$F$205,MATCH($E262,'KM Data'!$E$6:$E$205,1)))</f>
        <v>#N/A</v>
      </c>
      <c r="S262" s="21">
        <f t="shared" si="68"/>
        <v>0.12863686730509949</v>
      </c>
      <c r="T262" s="8">
        <f t="shared" si="71"/>
        <v>3.7425636017879294E-3</v>
      </c>
      <c r="U262" s="21">
        <f t="shared" si="81"/>
        <v>0.12809041737354487</v>
      </c>
      <c r="V262" s="21">
        <f t="shared" si="82"/>
        <v>0.64503641029606396</v>
      </c>
      <c r="W262" s="21">
        <f t="shared" si="83"/>
        <v>0.12809041737354487</v>
      </c>
      <c r="Y262" s="23">
        <f t="shared" si="72"/>
        <v>3.0310034154433008E-2</v>
      </c>
      <c r="Z262" s="6">
        <f t="shared" si="73"/>
        <v>9.7780383219111866E-2</v>
      </c>
      <c r="AA262" s="6">
        <f t="shared" si="74"/>
        <v>0.87190958262645513</v>
      </c>
      <c r="AB262" s="6">
        <f t="shared" si="75"/>
        <v>1</v>
      </c>
    </row>
    <row r="263" spans="1:28" x14ac:dyDescent="0.35">
      <c r="A263">
        <v>254</v>
      </c>
      <c r="B263" s="17">
        <f t="shared" si="76"/>
        <v>7700.6875</v>
      </c>
      <c r="C263" s="17">
        <f t="shared" si="69"/>
        <v>7731.125</v>
      </c>
      <c r="D263" s="17">
        <f t="shared" si="77"/>
        <v>7715.90625</v>
      </c>
      <c r="E263" s="17">
        <f t="shared" si="63"/>
        <v>253.5</v>
      </c>
      <c r="F263" s="17">
        <f t="shared" si="64"/>
        <v>81.125</v>
      </c>
      <c r="G263" s="21">
        <f>INDEX('Life Tables'!$F$8:$F$123,MATCH(Engine!F263,'Life Tables'!$B$8:$B$123,1))</f>
        <v>4.6651815038590838E-3</v>
      </c>
      <c r="H263" s="8">
        <f t="shared" si="65"/>
        <v>0.48557090283253213</v>
      </c>
      <c r="I263">
        <f t="shared" si="66"/>
        <v>1</v>
      </c>
      <c r="K263" s="22" t="e">
        <f>$I263*IF($E263&gt;_xlfn.AGGREGATE(4,6,'KM Data'!$B$6:$B$310),NA(),INDEX('KM Data'!$C$6:$C$310,MATCH($E263,'KM Data'!$B$6:$B$310,1)))</f>
        <v>#N/A</v>
      </c>
      <c r="L263" s="21">
        <f t="shared" si="67"/>
        <v>3.0131372411787538E-2</v>
      </c>
      <c r="M263" s="20">
        <f t="shared" si="70"/>
        <v>5.8772484789154644E-3</v>
      </c>
      <c r="N263" s="21">
        <f t="shared" si="78"/>
        <v>3.0131372411787538E-2</v>
      </c>
      <c r="O263" s="21">
        <f t="shared" si="79"/>
        <v>0.64202719836543509</v>
      </c>
      <c r="P263" s="21">
        <f t="shared" si="80"/>
        <v>3.0131372411787538E-2</v>
      </c>
      <c r="R263" s="22" t="e">
        <f>$I263*IF($E263&gt;_xlfn.AGGREGATE(4,6,'KM Data'!$E$6:$E$205),NA(),INDEX('KM Data'!$F$6:$F$205,MATCH($E263,'KM Data'!$E$6:$E$205,1)))</f>
        <v>#N/A</v>
      </c>
      <c r="S263" s="21">
        <f t="shared" si="68"/>
        <v>0.1281554356476754</v>
      </c>
      <c r="T263" s="8">
        <f t="shared" si="71"/>
        <v>3.7321148796313208E-3</v>
      </c>
      <c r="U263" s="21">
        <f t="shared" si="81"/>
        <v>0.12749285232759222</v>
      </c>
      <c r="V263" s="21">
        <f t="shared" si="82"/>
        <v>0.64202719836543509</v>
      </c>
      <c r="W263" s="21">
        <f t="shared" si="83"/>
        <v>0.12749285232759222</v>
      </c>
      <c r="Y263" s="23">
        <f t="shared" si="72"/>
        <v>3.0131372411787538E-2</v>
      </c>
      <c r="Z263" s="6">
        <f t="shared" si="73"/>
        <v>9.7361479915804683E-2</v>
      </c>
      <c r="AA263" s="6">
        <f t="shared" si="74"/>
        <v>0.87250714767240778</v>
      </c>
      <c r="AB263" s="6">
        <f t="shared" si="75"/>
        <v>1</v>
      </c>
    </row>
    <row r="264" spans="1:28" x14ac:dyDescent="0.35">
      <c r="A264">
        <v>255</v>
      </c>
      <c r="B264" s="17">
        <f t="shared" si="76"/>
        <v>7731.125</v>
      </c>
      <c r="C264" s="17">
        <f t="shared" si="69"/>
        <v>7761.5625</v>
      </c>
      <c r="D264" s="17">
        <f t="shared" si="77"/>
        <v>7746.34375</v>
      </c>
      <c r="E264" s="17">
        <f t="shared" si="63"/>
        <v>254.5</v>
      </c>
      <c r="F264" s="17">
        <f t="shared" si="64"/>
        <v>81.208333333333329</v>
      </c>
      <c r="G264" s="21">
        <f>INDEX('Life Tables'!$F$8:$F$123,MATCH(Engine!F264,'Life Tables'!$B$8:$B$123,1))</f>
        <v>4.6651815038590838E-3</v>
      </c>
      <c r="H264" s="8">
        <f t="shared" si="65"/>
        <v>0.48557090283253213</v>
      </c>
      <c r="I264">
        <f t="shared" si="66"/>
        <v>1</v>
      </c>
      <c r="K264" s="22" t="e">
        <f>$I264*IF($E264&gt;_xlfn.AGGREGATE(4,6,'KM Data'!$B$6:$B$310),NA(),INDEX('KM Data'!$C$6:$C$310,MATCH($E264,'KM Data'!$B$6:$B$310,1)))</f>
        <v>#N/A</v>
      </c>
      <c r="L264" s="21">
        <f t="shared" si="67"/>
        <v>2.9954282849112723E-2</v>
      </c>
      <c r="M264" s="20">
        <f t="shared" si="70"/>
        <v>5.8601346180284786E-3</v>
      </c>
      <c r="N264" s="21">
        <f t="shared" si="78"/>
        <v>2.9954282849112723E-2</v>
      </c>
      <c r="O264" s="21">
        <f t="shared" si="79"/>
        <v>0.63903202495464617</v>
      </c>
      <c r="P264" s="21">
        <f t="shared" si="80"/>
        <v>2.9954282849112723E-2</v>
      </c>
      <c r="R264" s="22" t="e">
        <f>$I264*IF($E264&gt;_xlfn.AGGREGATE(4,6,'KM Data'!$E$6:$E$205),NA(),INDEX('KM Data'!$F$6:$F$205,MATCH($E264,'KM Data'!$E$6:$E$205,1)))</f>
        <v>#N/A</v>
      </c>
      <c r="S264" s="21">
        <f t="shared" si="68"/>
        <v>0.12767714483938908</v>
      </c>
      <c r="T264" s="8">
        <f t="shared" si="71"/>
        <v>3.7217325953498026E-3</v>
      </c>
      <c r="U264" s="21">
        <f t="shared" si="81"/>
        <v>0.12689807503103931</v>
      </c>
      <c r="V264" s="21">
        <f t="shared" si="82"/>
        <v>0.63903202495464617</v>
      </c>
      <c r="W264" s="21">
        <f t="shared" si="83"/>
        <v>0.12689807503103931</v>
      </c>
      <c r="Y264" s="23">
        <f t="shared" si="72"/>
        <v>2.9954282849112723E-2</v>
      </c>
      <c r="Z264" s="6">
        <f t="shared" si="73"/>
        <v>9.6943792181926586E-2</v>
      </c>
      <c r="AA264" s="6">
        <f t="shared" si="74"/>
        <v>0.87310192496896066</v>
      </c>
      <c r="AB264" s="6">
        <f t="shared" si="75"/>
        <v>1</v>
      </c>
    </row>
    <row r="265" spans="1:28" x14ac:dyDescent="0.35">
      <c r="A265">
        <v>256</v>
      </c>
      <c r="B265" s="17">
        <f t="shared" si="76"/>
        <v>7761.5625</v>
      </c>
      <c r="C265" s="17">
        <f t="shared" si="69"/>
        <v>7792</v>
      </c>
      <c r="D265" s="17">
        <f t="shared" si="77"/>
        <v>7776.78125</v>
      </c>
      <c r="E265" s="17">
        <f t="shared" ref="E265:E328" si="84">D265/Days_per_Month</f>
        <v>255.5</v>
      </c>
      <c r="F265" s="17">
        <f t="shared" ref="F265:F328" si="85">Patient_Baseline_Age+(D265/365.25)</f>
        <v>81.291666666666671</v>
      </c>
      <c r="G265" s="21">
        <f>INDEX('Life Tables'!$F$8:$F$123,MATCH(Engine!F265,'Life Tables'!$B$8:$B$123,1))</f>
        <v>4.6651815038590838E-3</v>
      </c>
      <c r="H265" s="8">
        <f t="shared" ref="H265:H328" si="86">1/(1+Discount_Rate)^ROUNDDOWN(A265/12,0)</f>
        <v>0.48557090283253213</v>
      </c>
      <c r="I265">
        <f t="shared" ref="I265:I328" si="87">IF(E265&lt;Min_Time_Horizon__5_Years___60_Months,1,IF(C265/Days_per_Year&lt;Max_Time_Horizon__in_Years,1,NA()))</f>
        <v>1</v>
      </c>
      <c r="K265" s="22" t="e">
        <f>$I265*IF($E265&gt;_xlfn.AGGREGATE(4,6,'KM Data'!$B$6:$B$310),NA(),INDEX('KM Data'!$C$6:$C$310,MATCH($E265,'KM Data'!$B$6:$B$310,1)))</f>
        <v>#N/A</v>
      </c>
      <c r="L265" s="21">
        <f t="shared" ref="L265:L328" si="88">$I265*CHOOSE(MATCH(K$4,label_curves,0),
    EXP(-$E265*EXP(L$5)),
    1-((EXP(GAMMALN(EXP(L$5)))*_xlfn.GAMMA.DIST(EXP(L$6)*$E265,EXP(L$5),1,TRUE))/_xlfn.GAMMA(EXP(L$5))),
    IF($E265=0,1, IF(L$7&gt;0,1,0) + IF(L$7&gt;0,-1,1) * IFERROR(_xlfn.GAMMA.DIST((L$7^-2)*EXP(L$7*((LN($E265)-(L$5))/EXP(L$6))),L$7^-2,1,TRUE),0)),
    EXP(-(EXP(L$5)/L$6)*(EXP(L$6*$E265)-1)),
    1/(1+($E265/EXP(L$5))^EXP(L$6)),
    1-IFERROR(_xlfn.LOGNORM.DIST($E265,L$5,EXP(L$6),TRUE),0),
    EXP(-(($E265/EXP(L$5))^EXP(L$6)))
)</f>
        <v>2.977874671923042E-2</v>
      </c>
      <c r="M265" s="20">
        <f t="shared" si="70"/>
        <v>5.8431323976799732E-3</v>
      </c>
      <c r="N265" s="21">
        <f t="shared" si="78"/>
        <v>2.977874671923042E-2</v>
      </c>
      <c r="O265" s="21">
        <f t="shared" si="79"/>
        <v>0.63605082457145412</v>
      </c>
      <c r="P265" s="21">
        <f t="shared" si="80"/>
        <v>2.977874671923042E-2</v>
      </c>
      <c r="R265" s="22" t="e">
        <f>$I265*IF($E265&gt;_xlfn.AGGREGATE(4,6,'KM Data'!$E$6:$E$205),NA(),INDEX('KM Data'!$F$6:$F$205,MATCH($E265,'KM Data'!$E$6:$E$205,1)))</f>
        <v>#N/A</v>
      </c>
      <c r="S265" s="21">
        <f t="shared" ref="S265:S328" si="89">$I265*CHOOSE(MATCH(R$4,label_curves,0),
    EXP(-$E265*EXP(S$5)),
    1-((EXP(GAMMALN(EXP(S$5)))*_xlfn.GAMMA.DIST(EXP(S$6)*$E265,EXP(S$5),1,TRUE))/_xlfn.GAMMA(EXP(S$5))),
    IF($E265=0,1, IF(S$7&gt;0,1,0) + IF(S$7&gt;0,-1,1) * IFERROR(_xlfn.GAMMA.DIST((S$7^-2)*EXP(S$7*((LN($E265)-(S$5))/EXP(S$6))),S$7^-2,1,TRUE),0)),
    EXP(-(EXP(S$5)/S$6)*(EXP(S$6*$E265)-1)),
    1/(1+($E265/EXP(S$5))^EXP(S$6)),
    1-IFERROR(_xlfn.LOGNORM.DIST($E265,S$5,EXP(S$6),TRUE),0),
    EXP(-(($E265/EXP(S$5))^EXP(S$6)))
)</f>
        <v>0.12720196464775912</v>
      </c>
      <c r="T265" s="8">
        <f t="shared" si="71"/>
        <v>3.7114160844271549E-3</v>
      </c>
      <c r="U265" s="21">
        <f t="shared" si="81"/>
        <v>0.12630607247852918</v>
      </c>
      <c r="V265" s="21">
        <f t="shared" si="82"/>
        <v>0.63605082457145412</v>
      </c>
      <c r="W265" s="21">
        <f t="shared" si="83"/>
        <v>0.12630607247852918</v>
      </c>
      <c r="Y265" s="23">
        <f t="shared" si="72"/>
        <v>2.977874671923042E-2</v>
      </c>
      <c r="Z265" s="6">
        <f t="shared" si="73"/>
        <v>9.652732575929876E-2</v>
      </c>
      <c r="AA265" s="6">
        <f t="shared" si="74"/>
        <v>0.87369392752147079</v>
      </c>
      <c r="AB265" s="6">
        <f t="shared" si="75"/>
        <v>1</v>
      </c>
    </row>
    <row r="266" spans="1:28" x14ac:dyDescent="0.35">
      <c r="A266">
        <v>257</v>
      </c>
      <c r="B266" s="17">
        <f t="shared" si="76"/>
        <v>7792</v>
      </c>
      <c r="C266" s="17">
        <f t="shared" ref="C266:C329" si="90">B266+Days_per_Month</f>
        <v>7822.4375</v>
      </c>
      <c r="D266" s="17">
        <f t="shared" si="77"/>
        <v>7807.21875</v>
      </c>
      <c r="E266" s="17">
        <f t="shared" si="84"/>
        <v>256.5</v>
      </c>
      <c r="F266" s="17">
        <f t="shared" si="85"/>
        <v>81.375</v>
      </c>
      <c r="G266" s="21">
        <f>INDEX('Life Tables'!$F$8:$F$123,MATCH(Engine!F266,'Life Tables'!$B$8:$B$123,1))</f>
        <v>4.6651815038590838E-3</v>
      </c>
      <c r="H266" s="8">
        <f t="shared" si="86"/>
        <v>0.48557090283253213</v>
      </c>
      <c r="I266">
        <f t="shared" si="87"/>
        <v>1</v>
      </c>
      <c r="K266" s="22" t="e">
        <f>$I266*IF($E266&gt;_xlfn.AGGREGATE(4,6,'KM Data'!$B$6:$B$310),NA(),INDEX('KM Data'!$C$6:$C$310,MATCH($E266,'KM Data'!$B$6:$B$310,1)))</f>
        <v>#N/A</v>
      </c>
      <c r="L266" s="21">
        <f t="shared" si="88"/>
        <v>2.9604745559512979E-2</v>
      </c>
      <c r="M266" s="20">
        <f t="shared" ref="M266:M329" si="91">1-(L267/L266)</f>
        <v>5.826240679886352E-3</v>
      </c>
      <c r="N266" s="21">
        <f t="shared" si="78"/>
        <v>2.9604745559512979E-2</v>
      </c>
      <c r="O266" s="21">
        <f t="shared" si="79"/>
        <v>0.63308353202914902</v>
      </c>
      <c r="P266" s="21">
        <f t="shared" si="80"/>
        <v>2.9604745559512979E-2</v>
      </c>
      <c r="R266" s="22" t="e">
        <f>$I266*IF($E266&gt;_xlfn.AGGREGATE(4,6,'KM Data'!$E$6:$E$205),NA(),INDEX('KM Data'!$F$6:$F$205,MATCH($E266,'KM Data'!$E$6:$E$205,1)))</f>
        <v>#N/A</v>
      </c>
      <c r="S266" s="21">
        <f t="shared" si="89"/>
        <v>0.12672986523019469</v>
      </c>
      <c r="T266" s="8">
        <f t="shared" ref="T266:T329" si="92">1-(S267/S266)</f>
        <v>3.7011646914237861E-3</v>
      </c>
      <c r="U266" s="21">
        <f t="shared" si="81"/>
        <v>0.12571683172537726</v>
      </c>
      <c r="V266" s="21">
        <f t="shared" si="82"/>
        <v>0.63308353202914902</v>
      </c>
      <c r="W266" s="21">
        <f t="shared" si="83"/>
        <v>0.12571683172537726</v>
      </c>
      <c r="Y266" s="23">
        <f t="shared" ref="Y266:Y329" si="93">N266</f>
        <v>2.9604745559512979E-2</v>
      </c>
      <c r="Z266" s="6">
        <f t="shared" ref="Z266:Z329" si="94">U266-N266</f>
        <v>9.611208616586428E-2</v>
      </c>
      <c r="AA266" s="6">
        <f t="shared" ref="AA266:AA329" si="95">1-U266</f>
        <v>0.87428316827462271</v>
      </c>
      <c r="AB266" s="6">
        <f t="shared" ref="AB266:AB329" si="96">SUM(Y266:AA266)</f>
        <v>1</v>
      </c>
    </row>
    <row r="267" spans="1:28" x14ac:dyDescent="0.35">
      <c r="A267">
        <v>258</v>
      </c>
      <c r="B267" s="17">
        <f t="shared" ref="B267:B330" si="97">C266</f>
        <v>7822.4375</v>
      </c>
      <c r="C267" s="17">
        <f t="shared" si="90"/>
        <v>7852.875</v>
      </c>
      <c r="D267" s="17">
        <f t="shared" ref="D267:D330" si="98">AVERAGE(B267:C267)</f>
        <v>7837.65625</v>
      </c>
      <c r="E267" s="17">
        <f t="shared" si="84"/>
        <v>257.5</v>
      </c>
      <c r="F267" s="17">
        <f t="shared" si="85"/>
        <v>81.458333333333329</v>
      </c>
      <c r="G267" s="21">
        <f>INDEX('Life Tables'!$F$8:$F$123,MATCH(Engine!F267,'Life Tables'!$B$8:$B$123,1))</f>
        <v>4.6651815038590838E-3</v>
      </c>
      <c r="H267" s="8">
        <f t="shared" si="86"/>
        <v>0.48557090283253213</v>
      </c>
      <c r="I267">
        <f t="shared" si="87"/>
        <v>1</v>
      </c>
      <c r="K267" s="22" t="e">
        <f>$I267*IF($E267&gt;_xlfn.AGGREGATE(4,6,'KM Data'!$B$6:$B$310),NA(),INDEX('KM Data'!$C$6:$C$310,MATCH($E267,'KM Data'!$B$6:$B$310,1)))</f>
        <v>#N/A</v>
      </c>
      <c r="L267" s="21">
        <f t="shared" si="88"/>
        <v>2.943226118661646E-2</v>
      </c>
      <c r="M267" s="20">
        <f t="shared" si="91"/>
        <v>5.8094583424485036E-3</v>
      </c>
      <c r="N267" s="21">
        <f t="shared" ref="N267:N330" si="99">$I267*MIN(N266,U267,P267)</f>
        <v>2.943226118661646E-2</v>
      </c>
      <c r="O267" s="21">
        <f t="shared" ref="O267:O330" si="100">I267*O266*(1-G266)</f>
        <v>0.6301300824451288</v>
      </c>
      <c r="P267" s="21">
        <f t="shared" ref="P267:P330" si="101">$I267*P266*(1-MAX($G266,M266))</f>
        <v>2.943226118661646E-2</v>
      </c>
      <c r="R267" s="22" t="e">
        <f>$I267*IF($E267&gt;_xlfn.AGGREGATE(4,6,'KM Data'!$E$6:$E$205),NA(),INDEX('KM Data'!$F$6:$F$205,MATCH($E267,'KM Data'!$E$6:$E$205,1)))</f>
        <v>#N/A</v>
      </c>
      <c r="S267" s="21">
        <f t="shared" si="89"/>
        <v>0.1262608171276558</v>
      </c>
      <c r="T267" s="8">
        <f t="shared" si="92"/>
        <v>3.6909777698246327E-3</v>
      </c>
      <c r="U267" s="21">
        <f t="shared" ref="U267:U330" si="102">$I267*MIN(U266,W267)</f>
        <v>0.12513033988728828</v>
      </c>
      <c r="V267" s="21">
        <f t="shared" ref="V267:V330" si="103">I267*V266*(1-G266)</f>
        <v>0.6301300824451288</v>
      </c>
      <c r="W267" s="21">
        <f t="shared" ref="W267:W330" si="104">$I267*W266*(1-MAX($G266,T266))</f>
        <v>0.12513033988728828</v>
      </c>
      <c r="Y267" s="23">
        <f t="shared" si="93"/>
        <v>2.943226118661646E-2</v>
      </c>
      <c r="Z267" s="6">
        <f t="shared" si="94"/>
        <v>9.5698078700671818E-2</v>
      </c>
      <c r="AA267" s="6">
        <f t="shared" si="95"/>
        <v>0.87486966011271172</v>
      </c>
      <c r="AB267" s="6">
        <f t="shared" si="96"/>
        <v>1</v>
      </c>
    </row>
    <row r="268" spans="1:28" x14ac:dyDescent="0.35">
      <c r="A268">
        <v>259</v>
      </c>
      <c r="B268" s="17">
        <f t="shared" si="97"/>
        <v>7852.875</v>
      </c>
      <c r="C268" s="17">
        <f t="shared" si="90"/>
        <v>7883.3125</v>
      </c>
      <c r="D268" s="17">
        <f t="shared" si="98"/>
        <v>7868.09375</v>
      </c>
      <c r="E268" s="17">
        <f t="shared" si="84"/>
        <v>258.5</v>
      </c>
      <c r="F268" s="17">
        <f t="shared" si="85"/>
        <v>81.541666666666671</v>
      </c>
      <c r="G268" s="21">
        <f>INDEX('Life Tables'!$F$8:$F$123,MATCH(Engine!F268,'Life Tables'!$B$8:$B$123,1))</f>
        <v>4.6651815038590838E-3</v>
      </c>
      <c r="H268" s="8">
        <f t="shared" si="86"/>
        <v>0.48557090283253213</v>
      </c>
      <c r="I268">
        <f t="shared" si="87"/>
        <v>1</v>
      </c>
      <c r="K268" s="22" t="e">
        <f>$I268*IF($E268&gt;_xlfn.AGGREGATE(4,6,'KM Data'!$B$6:$B$310),NA(),INDEX('KM Data'!$C$6:$C$310,MATCH($E268,'KM Data'!$B$6:$B$310,1)))</f>
        <v>#N/A</v>
      </c>
      <c r="L268" s="21">
        <f t="shared" si="88"/>
        <v>2.9261275691328748E-2</v>
      </c>
      <c r="M268" s="20">
        <f t="shared" si="91"/>
        <v>5.7927842786829054E-3</v>
      </c>
      <c r="N268" s="21">
        <f t="shared" si="99"/>
        <v>2.9261275691328748E-2</v>
      </c>
      <c r="O268" s="21">
        <f t="shared" si="100"/>
        <v>0.62719041123948061</v>
      </c>
      <c r="P268" s="21">
        <f t="shared" si="101"/>
        <v>2.9261275691328748E-2</v>
      </c>
      <c r="R268" s="22" t="e">
        <f>$I268*IF($E268&gt;_xlfn.AGGREGATE(4,6,'KM Data'!$E$6:$E$205),NA(),INDEX('KM Data'!$F$6:$F$205,MATCH($E268,'KM Data'!$E$6:$E$205,1)))</f>
        <v>#N/A</v>
      </c>
      <c r="S268" s="21">
        <f t="shared" si="89"/>
        <v>0.12579479125843773</v>
      </c>
      <c r="T268" s="8">
        <f t="shared" si="92"/>
        <v>3.680854681882284E-3</v>
      </c>
      <c r="U268" s="21">
        <f t="shared" si="102"/>
        <v>0.1245465841400745</v>
      </c>
      <c r="V268" s="21">
        <f t="shared" si="103"/>
        <v>0.62719041123948061</v>
      </c>
      <c r="W268" s="21">
        <f t="shared" si="104"/>
        <v>0.1245465841400745</v>
      </c>
      <c r="Y268" s="23">
        <f t="shared" si="93"/>
        <v>2.9261275691328748E-2</v>
      </c>
      <c r="Z268" s="6">
        <f t="shared" si="94"/>
        <v>9.5285308448745748E-2</v>
      </c>
      <c r="AA268" s="6">
        <f t="shared" si="95"/>
        <v>0.87545341585992553</v>
      </c>
      <c r="AB268" s="6">
        <f t="shared" si="96"/>
        <v>1</v>
      </c>
    </row>
    <row r="269" spans="1:28" x14ac:dyDescent="0.35">
      <c r="A269">
        <v>260</v>
      </c>
      <c r="B269" s="17">
        <f t="shared" si="97"/>
        <v>7883.3125</v>
      </c>
      <c r="C269" s="17">
        <f t="shared" si="90"/>
        <v>7913.75</v>
      </c>
      <c r="D269" s="17">
        <f t="shared" si="98"/>
        <v>7898.53125</v>
      </c>
      <c r="E269" s="17">
        <f t="shared" si="84"/>
        <v>259.5</v>
      </c>
      <c r="F269" s="17">
        <f t="shared" si="85"/>
        <v>81.625</v>
      </c>
      <c r="G269" s="21">
        <f>INDEX('Life Tables'!$F$8:$F$123,MATCH(Engine!F269,'Life Tables'!$B$8:$B$123,1))</f>
        <v>4.6651815038590838E-3</v>
      </c>
      <c r="H269" s="8">
        <f t="shared" si="86"/>
        <v>0.48557090283253213</v>
      </c>
      <c r="I269">
        <f t="shared" si="87"/>
        <v>1</v>
      </c>
      <c r="K269" s="22" t="e">
        <f>$I269*IF($E269&gt;_xlfn.AGGREGATE(4,6,'KM Data'!$B$6:$B$310),NA(),INDEX('KM Data'!$C$6:$C$310,MATCH($E269,'KM Data'!$B$6:$B$310,1)))</f>
        <v>#N/A</v>
      </c>
      <c r="L269" s="21">
        <f t="shared" si="88"/>
        <v>2.9091771433529812E-2</v>
      </c>
      <c r="M269" s="20">
        <f t="shared" si="91"/>
        <v>5.776217397135075E-3</v>
      </c>
      <c r="N269" s="21">
        <f t="shared" si="99"/>
        <v>2.9091771433529812E-2</v>
      </c>
      <c r="O269" s="21">
        <f t="shared" si="100"/>
        <v>0.62426445413356846</v>
      </c>
      <c r="P269" s="21">
        <f t="shared" si="101"/>
        <v>2.9091771433529812E-2</v>
      </c>
      <c r="R269" s="22" t="e">
        <f>$I269*IF($E269&gt;_xlfn.AGGREGATE(4,6,'KM Data'!$E$6:$E$205),NA(),INDEX('KM Data'!$F$6:$F$205,MATCH($E269,'KM Data'!$E$6:$E$205,1)))</f>
        <v>#N/A</v>
      </c>
      <c r="S269" s="21">
        <f t="shared" si="89"/>
        <v>0.12533175891207771</v>
      </c>
      <c r="T269" s="8">
        <f t="shared" si="92"/>
        <v>3.6707947984598865E-3</v>
      </c>
      <c r="U269" s="21">
        <f t="shared" si="102"/>
        <v>0.12396555171937539</v>
      </c>
      <c r="V269" s="21">
        <f t="shared" si="103"/>
        <v>0.62426445413356846</v>
      </c>
      <c r="W269" s="21">
        <f t="shared" si="104"/>
        <v>0.12396555171937539</v>
      </c>
      <c r="Y269" s="23">
        <f t="shared" si="93"/>
        <v>2.9091771433529812E-2</v>
      </c>
      <c r="Z269" s="6">
        <f t="shared" si="94"/>
        <v>9.4873780285845574E-2</v>
      </c>
      <c r="AA269" s="6">
        <f t="shared" si="95"/>
        <v>0.8760344482806246</v>
      </c>
      <c r="AB269" s="6">
        <f t="shared" si="96"/>
        <v>1</v>
      </c>
    </row>
    <row r="270" spans="1:28" x14ac:dyDescent="0.35">
      <c r="A270">
        <v>261</v>
      </c>
      <c r="B270" s="17">
        <f t="shared" si="97"/>
        <v>7913.75</v>
      </c>
      <c r="C270" s="17">
        <f t="shared" si="90"/>
        <v>7944.1875</v>
      </c>
      <c r="D270" s="17">
        <f t="shared" si="98"/>
        <v>7928.96875</v>
      </c>
      <c r="E270" s="17">
        <f t="shared" si="84"/>
        <v>260.5</v>
      </c>
      <c r="F270" s="17">
        <f t="shared" si="85"/>
        <v>81.708333333333329</v>
      </c>
      <c r="G270" s="21">
        <f>INDEX('Life Tables'!$F$8:$F$123,MATCH(Engine!F270,'Life Tables'!$B$8:$B$123,1))</f>
        <v>4.6651815038590838E-3</v>
      </c>
      <c r="H270" s="8">
        <f t="shared" si="86"/>
        <v>0.48557090283253213</v>
      </c>
      <c r="I270">
        <f t="shared" si="87"/>
        <v>1</v>
      </c>
      <c r="K270" s="22" t="e">
        <f>$I270*IF($E270&gt;_xlfn.AGGREGATE(4,6,'KM Data'!$B$6:$B$310),NA(),INDEX('KM Data'!$C$6:$C$310,MATCH($E270,'KM Data'!$B$6:$B$310,1)))</f>
        <v>#N/A</v>
      </c>
      <c r="L270" s="21">
        <f t="shared" si="88"/>
        <v>2.8923731037261979E-2</v>
      </c>
      <c r="M270" s="20">
        <f t="shared" si="91"/>
        <v>5.759756621328882E-3</v>
      </c>
      <c r="N270" s="21">
        <f t="shared" si="99"/>
        <v>2.8923731037261979E-2</v>
      </c>
      <c r="O270" s="21">
        <f t="shared" si="100"/>
        <v>0.62135214714862785</v>
      </c>
      <c r="P270" s="21">
        <f t="shared" si="101"/>
        <v>2.8923731037261979E-2</v>
      </c>
      <c r="R270" s="22" t="e">
        <f>$I270*IF($E270&gt;_xlfn.AGGREGATE(4,6,'KM Data'!$E$6:$E$205),NA(),INDEX('KM Data'!$F$6:$F$205,MATCH($E270,'KM Data'!$E$6:$E$205,1)))</f>
        <v>#N/A</v>
      </c>
      <c r="S270" s="21">
        <f t="shared" si="89"/>
        <v>0.12487169174338142</v>
      </c>
      <c r="T270" s="8">
        <f t="shared" si="92"/>
        <v>3.6607974988972503E-3</v>
      </c>
      <c r="U270" s="21">
        <f t="shared" si="102"/>
        <v>0.12338722992037847</v>
      </c>
      <c r="V270" s="21">
        <f t="shared" si="103"/>
        <v>0.62135214714862785</v>
      </c>
      <c r="W270" s="21">
        <f t="shared" si="104"/>
        <v>0.12338722992037847</v>
      </c>
      <c r="Y270" s="23">
        <f t="shared" si="93"/>
        <v>2.8923731037261979E-2</v>
      </c>
      <c r="Z270" s="6">
        <f t="shared" si="94"/>
        <v>9.446349888311649E-2</v>
      </c>
      <c r="AA270" s="6">
        <f t="shared" si="95"/>
        <v>0.87661277007962157</v>
      </c>
      <c r="AB270" s="6">
        <f t="shared" si="96"/>
        <v>1</v>
      </c>
    </row>
    <row r="271" spans="1:28" x14ac:dyDescent="0.35">
      <c r="A271">
        <v>262</v>
      </c>
      <c r="B271" s="17">
        <f t="shared" si="97"/>
        <v>7944.1875</v>
      </c>
      <c r="C271" s="17">
        <f t="shared" si="90"/>
        <v>7974.625</v>
      </c>
      <c r="D271" s="17">
        <f t="shared" si="98"/>
        <v>7959.40625</v>
      </c>
      <c r="E271" s="17">
        <f t="shared" si="84"/>
        <v>261.5</v>
      </c>
      <c r="F271" s="17">
        <f t="shared" si="85"/>
        <v>81.791666666666671</v>
      </c>
      <c r="G271" s="21">
        <f>INDEX('Life Tables'!$F$8:$F$123,MATCH(Engine!F271,'Life Tables'!$B$8:$B$123,1))</f>
        <v>4.6651815038590838E-3</v>
      </c>
      <c r="H271" s="8">
        <f t="shared" si="86"/>
        <v>0.48557090283253213</v>
      </c>
      <c r="I271">
        <f t="shared" si="87"/>
        <v>1</v>
      </c>
      <c r="K271" s="22" t="e">
        <f>$I271*IF($E271&gt;_xlfn.AGGREGATE(4,6,'KM Data'!$B$6:$B$310),NA(),INDEX('KM Data'!$C$6:$C$310,MATCH($E271,'KM Data'!$B$6:$B$310,1)))</f>
        <v>#N/A</v>
      </c>
      <c r="L271" s="21">
        <f t="shared" si="88"/>
        <v>2.8757137385906573E-2</v>
      </c>
      <c r="M271" s="20">
        <f t="shared" si="91"/>
        <v>5.7434008894992061E-3</v>
      </c>
      <c r="N271" s="21">
        <f t="shared" si="99"/>
        <v>2.8757137385906573E-2</v>
      </c>
      <c r="O271" s="21">
        <f t="shared" si="100"/>
        <v>0.61845342660436697</v>
      </c>
      <c r="P271" s="21">
        <f t="shared" si="101"/>
        <v>2.8757137385906573E-2</v>
      </c>
      <c r="R271" s="22" t="e">
        <f>$I271*IF($E271&gt;_xlfn.AGGREGATE(4,6,'KM Data'!$E$6:$E$205),NA(),INDEX('KM Data'!$F$6:$F$205,MATCH($E271,'KM Data'!$E$6:$E$205,1)))</f>
        <v>#N/A</v>
      </c>
      <c r="S271" s="21">
        <f t="shared" si="89"/>
        <v>0.12441456176656418</v>
      </c>
      <c r="T271" s="8">
        <f t="shared" si="92"/>
        <v>3.650862170851088E-3</v>
      </c>
      <c r="U271" s="21">
        <f t="shared" si="102"/>
        <v>0.12281160609754151</v>
      </c>
      <c r="V271" s="21">
        <f t="shared" si="103"/>
        <v>0.61845342660436697</v>
      </c>
      <c r="W271" s="21">
        <f t="shared" si="104"/>
        <v>0.12281160609754151</v>
      </c>
      <c r="Y271" s="23">
        <f t="shared" si="93"/>
        <v>2.8757137385906573E-2</v>
      </c>
      <c r="Z271" s="6">
        <f t="shared" si="94"/>
        <v>9.4054468711634934E-2</v>
      </c>
      <c r="AA271" s="6">
        <f t="shared" si="95"/>
        <v>0.87718839390245851</v>
      </c>
      <c r="AB271" s="6">
        <f t="shared" si="96"/>
        <v>1</v>
      </c>
    </row>
    <row r="272" spans="1:28" x14ac:dyDescent="0.35">
      <c r="A272">
        <v>263</v>
      </c>
      <c r="B272" s="17">
        <f t="shared" si="97"/>
        <v>7974.625</v>
      </c>
      <c r="C272" s="17">
        <f t="shared" si="90"/>
        <v>8005.0625</v>
      </c>
      <c r="D272" s="17">
        <f t="shared" si="98"/>
        <v>7989.84375</v>
      </c>
      <c r="E272" s="17">
        <f t="shared" si="84"/>
        <v>262.5</v>
      </c>
      <c r="F272" s="17">
        <f t="shared" si="85"/>
        <v>81.875</v>
      </c>
      <c r="G272" s="21">
        <f>INDEX('Life Tables'!$F$8:$F$123,MATCH(Engine!F272,'Life Tables'!$B$8:$B$123,1))</f>
        <v>4.6651815038590838E-3</v>
      </c>
      <c r="H272" s="8">
        <f t="shared" si="86"/>
        <v>0.48557090283253213</v>
      </c>
      <c r="I272">
        <f t="shared" si="87"/>
        <v>1</v>
      </c>
      <c r="K272" s="22" t="e">
        <f>$I272*IF($E272&gt;_xlfn.AGGREGATE(4,6,'KM Data'!$B$6:$B$310),NA(),INDEX('KM Data'!$C$6:$C$310,MATCH($E272,'KM Data'!$B$6:$B$310,1)))</f>
        <v>#N/A</v>
      </c>
      <c r="L272" s="21">
        <f t="shared" si="88"/>
        <v>2.8591973617464905E-2</v>
      </c>
      <c r="M272" s="20">
        <f t="shared" si="91"/>
        <v>5.7271491543352537E-3</v>
      </c>
      <c r="N272" s="21">
        <f t="shared" si="99"/>
        <v>2.8591973617464905E-2</v>
      </c>
      <c r="O272" s="21">
        <f t="shared" si="100"/>
        <v>0.61556822911757403</v>
      </c>
      <c r="P272" s="21">
        <f t="shared" si="101"/>
        <v>2.8591973617464905E-2</v>
      </c>
      <c r="R272" s="22" t="e">
        <f>$I272*IF($E272&gt;_xlfn.AGGREGATE(4,6,'KM Data'!$E$6:$E$205),NA(),INDEX('KM Data'!$F$6:$F$205,MATCH($E272,'KM Data'!$E$6:$E$205,1)))</f>
        <v>#N/A</v>
      </c>
      <c r="S272" s="21">
        <f t="shared" si="89"/>
        <v>0.12396034134950762</v>
      </c>
      <c r="T272" s="8">
        <f t="shared" si="92"/>
        <v>3.6409882101673396E-3</v>
      </c>
      <c r="U272" s="21">
        <f t="shared" si="102"/>
        <v>0.12223866766431603</v>
      </c>
      <c r="V272" s="21">
        <f t="shared" si="103"/>
        <v>0.61556822911757403</v>
      </c>
      <c r="W272" s="21">
        <f t="shared" si="104"/>
        <v>0.12223866766431603</v>
      </c>
      <c r="Y272" s="23">
        <f t="shared" si="93"/>
        <v>2.8591973617464905E-2</v>
      </c>
      <c r="Z272" s="6">
        <f t="shared" si="94"/>
        <v>9.3646694046851123E-2</v>
      </c>
      <c r="AA272" s="6">
        <f t="shared" si="95"/>
        <v>0.87776133233568399</v>
      </c>
      <c r="AB272" s="6">
        <f t="shared" si="96"/>
        <v>1</v>
      </c>
    </row>
    <row r="273" spans="1:28" x14ac:dyDescent="0.35">
      <c r="A273">
        <v>264</v>
      </c>
      <c r="B273" s="17">
        <f t="shared" si="97"/>
        <v>8005.0625</v>
      </c>
      <c r="C273" s="17">
        <f t="shared" si="90"/>
        <v>8035.5</v>
      </c>
      <c r="D273" s="17">
        <f t="shared" si="98"/>
        <v>8020.28125</v>
      </c>
      <c r="E273" s="17">
        <f t="shared" si="84"/>
        <v>263.5</v>
      </c>
      <c r="F273" s="17">
        <f t="shared" si="85"/>
        <v>81.958333333333329</v>
      </c>
      <c r="G273" s="21">
        <f>INDEX('Life Tables'!$F$8:$F$123,MATCH(Engine!F273,'Life Tables'!$B$8:$B$123,1))</f>
        <v>4.6651815038590838E-3</v>
      </c>
      <c r="H273" s="8">
        <f t="shared" si="86"/>
        <v>0.46915063075606966</v>
      </c>
      <c r="I273">
        <f t="shared" si="87"/>
        <v>1</v>
      </c>
      <c r="K273" s="22" t="e">
        <f>$I273*IF($E273&gt;_xlfn.AGGREGATE(4,6,'KM Data'!$B$6:$B$310),NA(),INDEX('KM Data'!$C$6:$C$310,MATCH($E273,'KM Data'!$B$6:$B$310,1)))</f>
        <v>#N/A</v>
      </c>
      <c r="L273" s="21">
        <f t="shared" si="88"/>
        <v>2.8428223119940865E-2</v>
      </c>
      <c r="M273" s="20">
        <f t="shared" si="91"/>
        <v>5.7110003827307576E-3</v>
      </c>
      <c r="N273" s="21">
        <f t="shared" si="99"/>
        <v>2.8428223119940865E-2</v>
      </c>
      <c r="O273" s="21">
        <f t="shared" si="100"/>
        <v>0.61269649160073147</v>
      </c>
      <c r="P273" s="21">
        <f t="shared" si="101"/>
        <v>2.8428223119940865E-2</v>
      </c>
      <c r="R273" s="22" t="e">
        <f>$I273*IF($E273&gt;_xlfn.AGGREGATE(4,6,'KM Data'!$E$6:$E$205),NA(),INDEX('KM Data'!$F$6:$F$205,MATCH($E273,'KM Data'!$E$6:$E$205,1)))</f>
        <v>#N/A</v>
      </c>
      <c r="S273" s="21">
        <f t="shared" si="89"/>
        <v>0.12350900320812574</v>
      </c>
      <c r="T273" s="8">
        <f t="shared" si="92"/>
        <v>3.631175020730848E-3</v>
      </c>
      <c r="U273" s="21">
        <f t="shared" si="102"/>
        <v>0.12166840209287208</v>
      </c>
      <c r="V273" s="21">
        <f t="shared" si="103"/>
        <v>0.61269649160073147</v>
      </c>
      <c r="W273" s="21">
        <f t="shared" si="104"/>
        <v>0.12166840209287208</v>
      </c>
      <c r="Y273" s="23">
        <f t="shared" si="93"/>
        <v>2.8428223119940865E-2</v>
      </c>
      <c r="Z273" s="6">
        <f t="shared" si="94"/>
        <v>9.3240178972931215E-2</v>
      </c>
      <c r="AA273" s="6">
        <f t="shared" si="95"/>
        <v>0.87833159790712789</v>
      </c>
      <c r="AB273" s="6">
        <f t="shared" si="96"/>
        <v>1</v>
      </c>
    </row>
    <row r="274" spans="1:28" x14ac:dyDescent="0.35">
      <c r="A274">
        <v>265</v>
      </c>
      <c r="B274" s="17">
        <f t="shared" si="97"/>
        <v>8035.5</v>
      </c>
      <c r="C274" s="17">
        <f t="shared" si="90"/>
        <v>8065.9375</v>
      </c>
      <c r="D274" s="17">
        <f t="shared" si="98"/>
        <v>8050.71875</v>
      </c>
      <c r="E274" s="17">
        <f t="shared" si="84"/>
        <v>264.5</v>
      </c>
      <c r="F274" s="17">
        <f t="shared" si="85"/>
        <v>82.041666666666671</v>
      </c>
      <c r="G274" s="21">
        <f>INDEX('Life Tables'!$F$8:$F$123,MATCH(Engine!F274,'Life Tables'!$B$8:$B$123,1))</f>
        <v>5.3012544867806488E-3</v>
      </c>
      <c r="H274" s="8">
        <f t="shared" si="86"/>
        <v>0.46915063075606966</v>
      </c>
      <c r="I274">
        <f t="shared" si="87"/>
        <v>1</v>
      </c>
      <c r="K274" s="22" t="e">
        <f>$I274*IF($E274&gt;_xlfn.AGGREGATE(4,6,'KM Data'!$B$6:$B$310),NA(),INDEX('KM Data'!$C$6:$C$310,MATCH($E274,'KM Data'!$B$6:$B$310,1)))</f>
        <v>#N/A</v>
      </c>
      <c r="L274" s="21">
        <f t="shared" si="88"/>
        <v>2.8265869526822529E-2</v>
      </c>
      <c r="M274" s="20">
        <f t="shared" si="91"/>
        <v>5.6949535555541608E-3</v>
      </c>
      <c r="N274" s="21">
        <f t="shared" si="99"/>
        <v>2.8265869526822529E-2</v>
      </c>
      <c r="O274" s="21">
        <f t="shared" si="100"/>
        <v>0.60983815126063634</v>
      </c>
      <c r="P274" s="21">
        <f t="shared" si="101"/>
        <v>2.8265869526822529E-2</v>
      </c>
      <c r="R274" s="22" t="e">
        <f>$I274*IF($E274&gt;_xlfn.AGGREGATE(4,6,'KM Data'!$E$6:$E$205),NA(),INDEX('KM Data'!$F$6:$F$205,MATCH($E274,'KM Data'!$E$6:$E$205,1)))</f>
        <v>#N/A</v>
      </c>
      <c r="S274" s="21">
        <f t="shared" si="89"/>
        <v>0.12306052040084103</v>
      </c>
      <c r="T274" s="8">
        <f t="shared" si="92"/>
        <v>3.6214220143389042E-3</v>
      </c>
      <c r="U274" s="21">
        <f t="shared" si="102"/>
        <v>0.12110079691382432</v>
      </c>
      <c r="V274" s="21">
        <f t="shared" si="103"/>
        <v>0.60983815126063634</v>
      </c>
      <c r="W274" s="21">
        <f t="shared" si="104"/>
        <v>0.12110079691382432</v>
      </c>
      <c r="Y274" s="23">
        <f t="shared" si="93"/>
        <v>2.8265869526822529E-2</v>
      </c>
      <c r="Z274" s="6">
        <f t="shared" si="94"/>
        <v>9.2834927387001789E-2</v>
      </c>
      <c r="AA274" s="6">
        <f t="shared" si="95"/>
        <v>0.87889920308617564</v>
      </c>
      <c r="AB274" s="6">
        <f t="shared" si="96"/>
        <v>1</v>
      </c>
    </row>
    <row r="275" spans="1:28" x14ac:dyDescent="0.35">
      <c r="A275">
        <v>266</v>
      </c>
      <c r="B275" s="17">
        <f t="shared" si="97"/>
        <v>8065.9375</v>
      </c>
      <c r="C275" s="17">
        <f t="shared" si="90"/>
        <v>8096.375</v>
      </c>
      <c r="D275" s="17">
        <f t="shared" si="98"/>
        <v>8081.15625</v>
      </c>
      <c r="E275" s="17">
        <f t="shared" si="84"/>
        <v>265.5</v>
      </c>
      <c r="F275" s="17">
        <f t="shared" si="85"/>
        <v>82.125</v>
      </c>
      <c r="G275" s="21">
        <f>INDEX('Life Tables'!$F$8:$F$123,MATCH(Engine!F275,'Life Tables'!$B$8:$B$123,1))</f>
        <v>5.3012544867806488E-3</v>
      </c>
      <c r="H275" s="8">
        <f t="shared" si="86"/>
        <v>0.46915063075606966</v>
      </c>
      <c r="I275">
        <f t="shared" si="87"/>
        <v>1</v>
      </c>
      <c r="K275" s="22" t="e">
        <f>$I275*IF($E275&gt;_xlfn.AGGREGATE(4,6,'KM Data'!$B$6:$B$310),NA(),INDEX('KM Data'!$C$6:$C$310,MATCH($E275,'KM Data'!$B$6:$B$310,1)))</f>
        <v>#N/A</v>
      </c>
      <c r="L275" s="21">
        <f t="shared" si="88"/>
        <v>2.8104896712659921E-2</v>
      </c>
      <c r="M275" s="20">
        <f t="shared" si="91"/>
        <v>5.6790076673994827E-3</v>
      </c>
      <c r="N275" s="21">
        <f t="shared" si="99"/>
        <v>2.8104896712659921E-2</v>
      </c>
      <c r="O275" s="21">
        <f t="shared" si="100"/>
        <v>0.60660524402505589</v>
      </c>
      <c r="P275" s="21">
        <f t="shared" si="101"/>
        <v>2.8104896712659921E-2</v>
      </c>
      <c r="R275" s="22" t="e">
        <f>$I275*IF($E275&gt;_xlfn.AGGREGATE(4,6,'KM Data'!$E$6:$E$205),NA(),INDEX('KM Data'!$F$6:$F$205,MATCH($E275,'KM Data'!$E$6:$E$205,1)))</f>
        <v>#N/A</v>
      </c>
      <c r="S275" s="21">
        <f t="shared" si="89"/>
        <v>0.12261486632316543</v>
      </c>
      <c r="T275" s="8">
        <f t="shared" si="92"/>
        <v>3.6117286105602497E-3</v>
      </c>
      <c r="U275" s="21">
        <f t="shared" si="102"/>
        <v>0.12045881077083219</v>
      </c>
      <c r="V275" s="21">
        <f t="shared" si="103"/>
        <v>0.60660524402505589</v>
      </c>
      <c r="W275" s="21">
        <f t="shared" si="104"/>
        <v>0.12045881077083219</v>
      </c>
      <c r="Y275" s="23">
        <f t="shared" si="93"/>
        <v>2.8104896712659921E-2</v>
      </c>
      <c r="Z275" s="6">
        <f t="shared" si="94"/>
        <v>9.2353914058172268E-2</v>
      </c>
      <c r="AA275" s="6">
        <f t="shared" si="95"/>
        <v>0.8795411892291678</v>
      </c>
      <c r="AB275" s="6">
        <f t="shared" si="96"/>
        <v>1</v>
      </c>
    </row>
    <row r="276" spans="1:28" x14ac:dyDescent="0.35">
      <c r="A276">
        <v>267</v>
      </c>
      <c r="B276" s="17">
        <f t="shared" si="97"/>
        <v>8096.375</v>
      </c>
      <c r="C276" s="17">
        <f t="shared" si="90"/>
        <v>8126.8125</v>
      </c>
      <c r="D276" s="17">
        <f t="shared" si="98"/>
        <v>8111.59375</v>
      </c>
      <c r="E276" s="17">
        <f t="shared" si="84"/>
        <v>266.5</v>
      </c>
      <c r="F276" s="17">
        <f t="shared" si="85"/>
        <v>82.208333333333329</v>
      </c>
      <c r="G276" s="21">
        <f>INDEX('Life Tables'!$F$8:$F$123,MATCH(Engine!F276,'Life Tables'!$B$8:$B$123,1))</f>
        <v>5.3012544867806488E-3</v>
      </c>
      <c r="H276" s="8">
        <f t="shared" si="86"/>
        <v>0.46915063075606966</v>
      </c>
      <c r="I276">
        <f t="shared" si="87"/>
        <v>1</v>
      </c>
      <c r="K276" s="22" t="e">
        <f>$I276*IF($E276&gt;_xlfn.AGGREGATE(4,6,'KM Data'!$B$6:$B$310),NA(),INDEX('KM Data'!$C$6:$C$310,MATCH($E276,'KM Data'!$B$6:$B$310,1)))</f>
        <v>#N/A</v>
      </c>
      <c r="L276" s="21">
        <f t="shared" si="88"/>
        <v>2.7945288788737255E-2</v>
      </c>
      <c r="M276" s="20">
        <f t="shared" si="91"/>
        <v>5.6631617263455114E-3</v>
      </c>
      <c r="N276" s="21">
        <f t="shared" si="99"/>
        <v>2.7945288788737255E-2</v>
      </c>
      <c r="O276" s="21">
        <f t="shared" si="100"/>
        <v>0.60338947525346343</v>
      </c>
      <c r="P276" s="21">
        <f t="shared" si="101"/>
        <v>2.7945288788737255E-2</v>
      </c>
      <c r="R276" s="22" t="e">
        <f>$I276*IF($E276&gt;_xlfn.AGGREGATE(4,6,'KM Data'!$E$6:$E$205),NA(),INDEX('KM Data'!$F$6:$F$205,MATCH($E276,'KM Data'!$E$6:$E$205,1)))</f>
        <v>#N/A</v>
      </c>
      <c r="S276" s="21">
        <f t="shared" si="89"/>
        <v>0.12217201470238603</v>
      </c>
      <c r="T276" s="8">
        <f t="shared" si="92"/>
        <v>3.6020942366129516E-3</v>
      </c>
      <c r="U276" s="21">
        <f t="shared" si="102"/>
        <v>0.11982022795976105</v>
      </c>
      <c r="V276" s="21">
        <f t="shared" si="103"/>
        <v>0.60338947525346343</v>
      </c>
      <c r="W276" s="21">
        <f t="shared" si="104"/>
        <v>0.11982022795976105</v>
      </c>
      <c r="Y276" s="23">
        <f t="shared" si="93"/>
        <v>2.7945288788737255E-2</v>
      </c>
      <c r="Z276" s="6">
        <f t="shared" si="94"/>
        <v>9.1874939171023795E-2</v>
      </c>
      <c r="AA276" s="6">
        <f t="shared" si="95"/>
        <v>0.88017977204023889</v>
      </c>
      <c r="AB276" s="6">
        <f t="shared" si="96"/>
        <v>1</v>
      </c>
    </row>
    <row r="277" spans="1:28" x14ac:dyDescent="0.35">
      <c r="A277">
        <v>268</v>
      </c>
      <c r="B277" s="17">
        <f t="shared" si="97"/>
        <v>8126.8125</v>
      </c>
      <c r="C277" s="17">
        <f t="shared" si="90"/>
        <v>8157.25</v>
      </c>
      <c r="D277" s="17">
        <f t="shared" si="98"/>
        <v>8142.03125</v>
      </c>
      <c r="E277" s="17">
        <f t="shared" si="84"/>
        <v>267.5</v>
      </c>
      <c r="F277" s="17">
        <f t="shared" si="85"/>
        <v>82.291666666666671</v>
      </c>
      <c r="G277" s="21">
        <f>INDEX('Life Tables'!$F$8:$F$123,MATCH(Engine!F277,'Life Tables'!$B$8:$B$123,1))</f>
        <v>5.3012544867806488E-3</v>
      </c>
      <c r="H277" s="8">
        <f t="shared" si="86"/>
        <v>0.46915063075606966</v>
      </c>
      <c r="I277">
        <f t="shared" si="87"/>
        <v>1</v>
      </c>
      <c r="K277" s="22" t="e">
        <f>$I277*IF($E277&gt;_xlfn.AGGREGATE(4,6,'KM Data'!$B$6:$B$310),NA(),INDEX('KM Data'!$C$6:$C$310,MATCH($E277,'KM Data'!$B$6:$B$310,1)))</f>
        <v>#N/A</v>
      </c>
      <c r="L277" s="21">
        <f t="shared" si="88"/>
        <v>2.7787030098837207E-2</v>
      </c>
      <c r="M277" s="20">
        <f t="shared" si="91"/>
        <v>5.6474147537424191E-3</v>
      </c>
      <c r="N277" s="21">
        <f t="shared" si="99"/>
        <v>2.7787030098837207E-2</v>
      </c>
      <c r="O277" s="21">
        <f t="shared" si="100"/>
        <v>0.60019075409049982</v>
      </c>
      <c r="P277" s="21">
        <f t="shared" si="101"/>
        <v>2.7787030098837207E-2</v>
      </c>
      <c r="R277" s="22" t="e">
        <f>$I277*IF($E277&gt;_xlfn.AGGREGATE(4,6,'KM Data'!$E$6:$E$205),NA(),INDEX('KM Data'!$F$6:$F$205,MATCH($E277,'KM Data'!$E$6:$E$205,1)))</f>
        <v>#N/A</v>
      </c>
      <c r="S277" s="21">
        <f t="shared" si="89"/>
        <v>0.12173193959235118</v>
      </c>
      <c r="T277" s="8">
        <f t="shared" si="92"/>
        <v>3.5925183272300654E-3</v>
      </c>
      <c r="U277" s="21">
        <f t="shared" si="102"/>
        <v>0.11918503043868228</v>
      </c>
      <c r="V277" s="21">
        <f t="shared" si="103"/>
        <v>0.60019075409049982</v>
      </c>
      <c r="W277" s="21">
        <f t="shared" si="104"/>
        <v>0.11918503043868228</v>
      </c>
      <c r="Y277" s="23">
        <f t="shared" si="93"/>
        <v>2.7787030098837207E-2</v>
      </c>
      <c r="Z277" s="6">
        <f t="shared" si="94"/>
        <v>9.1398000339845076E-2</v>
      </c>
      <c r="AA277" s="6">
        <f t="shared" si="95"/>
        <v>0.88081496956131766</v>
      </c>
      <c r="AB277" s="6">
        <f t="shared" si="96"/>
        <v>1</v>
      </c>
    </row>
    <row r="278" spans="1:28" x14ac:dyDescent="0.35">
      <c r="A278">
        <v>269</v>
      </c>
      <c r="B278" s="17">
        <f t="shared" si="97"/>
        <v>8157.25</v>
      </c>
      <c r="C278" s="17">
        <f t="shared" si="90"/>
        <v>8187.6875</v>
      </c>
      <c r="D278" s="17">
        <f t="shared" si="98"/>
        <v>8172.46875</v>
      </c>
      <c r="E278" s="17">
        <f t="shared" si="84"/>
        <v>268.5</v>
      </c>
      <c r="F278" s="17">
        <f t="shared" si="85"/>
        <v>82.375</v>
      </c>
      <c r="G278" s="21">
        <f>INDEX('Life Tables'!$F$8:$F$123,MATCH(Engine!F278,'Life Tables'!$B$8:$B$123,1))</f>
        <v>5.3012544867806488E-3</v>
      </c>
      <c r="H278" s="8">
        <f t="shared" si="86"/>
        <v>0.46915063075606966</v>
      </c>
      <c r="I278">
        <f t="shared" si="87"/>
        <v>1</v>
      </c>
      <c r="K278" s="22" t="e">
        <f>$I278*IF($E278&gt;_xlfn.AGGREGATE(4,6,'KM Data'!$B$6:$B$310),NA(),INDEX('KM Data'!$C$6:$C$310,MATCH($E278,'KM Data'!$B$6:$B$310,1)))</f>
        <v>#N/A</v>
      </c>
      <c r="L278" s="21">
        <f t="shared" si="88"/>
        <v>2.7630105215094347E-2</v>
      </c>
      <c r="M278" s="20">
        <f t="shared" si="91"/>
        <v>5.6317657839696222E-3</v>
      </c>
      <c r="N278" s="21">
        <f t="shared" si="99"/>
        <v>2.7630105215094347E-2</v>
      </c>
      <c r="O278" s="21">
        <f t="shared" si="100"/>
        <v>0.59700899016245335</v>
      </c>
      <c r="P278" s="21">
        <f t="shared" si="101"/>
        <v>2.7630105215094347E-2</v>
      </c>
      <c r="R278" s="22" t="e">
        <f>$I278*IF($E278&gt;_xlfn.AGGREGATE(4,6,'KM Data'!$E$6:$E$205),NA(),INDEX('KM Data'!$F$6:$F$205,MATCH($E278,'KM Data'!$E$6:$E$205,1)))</f>
        <v>#N/A</v>
      </c>
      <c r="S278" s="21">
        <f t="shared" si="89"/>
        <v>0.1212946153683564</v>
      </c>
      <c r="T278" s="8">
        <f t="shared" si="92"/>
        <v>3.5830003245369557E-3</v>
      </c>
      <c r="U278" s="21">
        <f t="shared" si="102"/>
        <v>0.11855320026131214</v>
      </c>
      <c r="V278" s="21">
        <f t="shared" si="103"/>
        <v>0.59700899016245335</v>
      </c>
      <c r="W278" s="21">
        <f t="shared" si="104"/>
        <v>0.11855320026131214</v>
      </c>
      <c r="Y278" s="23">
        <f t="shared" si="93"/>
        <v>2.7630105215094347E-2</v>
      </c>
      <c r="Z278" s="6">
        <f t="shared" si="94"/>
        <v>9.0923095046217789E-2</v>
      </c>
      <c r="AA278" s="6">
        <f t="shared" si="95"/>
        <v>0.88144679973868789</v>
      </c>
      <c r="AB278" s="6">
        <f t="shared" si="96"/>
        <v>1</v>
      </c>
    </row>
    <row r="279" spans="1:28" x14ac:dyDescent="0.35">
      <c r="A279">
        <v>270</v>
      </c>
      <c r="B279" s="17">
        <f t="shared" si="97"/>
        <v>8187.6875</v>
      </c>
      <c r="C279" s="17">
        <f t="shared" si="90"/>
        <v>8218.125</v>
      </c>
      <c r="D279" s="17">
        <f t="shared" si="98"/>
        <v>8202.90625</v>
      </c>
      <c r="E279" s="17">
        <f t="shared" si="84"/>
        <v>269.5</v>
      </c>
      <c r="F279" s="17">
        <f t="shared" si="85"/>
        <v>82.458333333333329</v>
      </c>
      <c r="G279" s="21">
        <f>INDEX('Life Tables'!$F$8:$F$123,MATCH(Engine!F279,'Life Tables'!$B$8:$B$123,1))</f>
        <v>5.3012544867806488E-3</v>
      </c>
      <c r="H279" s="8">
        <f t="shared" si="86"/>
        <v>0.46915063075606966</v>
      </c>
      <c r="I279">
        <f t="shared" si="87"/>
        <v>1</v>
      </c>
      <c r="K279" s="22" t="e">
        <f>$I279*IF($E279&gt;_xlfn.AGGREGATE(4,6,'KM Data'!$B$6:$B$310),NA(),INDEX('KM Data'!$C$6:$C$310,MATCH($E279,'KM Data'!$B$6:$B$310,1)))</f>
        <v>#N/A</v>
      </c>
      <c r="L279" s="21">
        <f t="shared" si="88"/>
        <v>2.7474498933936498E-2</v>
      </c>
      <c r="M279" s="20">
        <f t="shared" si="91"/>
        <v>5.6162138642356085E-3</v>
      </c>
      <c r="N279" s="21">
        <f t="shared" si="99"/>
        <v>2.7474498933936498E-2</v>
      </c>
      <c r="O279" s="21">
        <f t="shared" si="100"/>
        <v>0.59384409357470624</v>
      </c>
      <c r="P279" s="21">
        <f t="shared" si="101"/>
        <v>2.7474498933936498E-2</v>
      </c>
      <c r="R279" s="22" t="e">
        <f>$I279*IF($E279&gt;_xlfn.AGGREGATE(4,6,'KM Data'!$E$6:$E$205),NA(),INDEX('KM Data'!$F$6:$F$205,MATCH($E279,'KM Data'!$E$6:$E$205,1)))</f>
        <v>#N/A</v>
      </c>
      <c r="S279" s="21">
        <f t="shared" si="89"/>
        <v>0.12086001672212698</v>
      </c>
      <c r="T279" s="8">
        <f t="shared" si="92"/>
        <v>3.5735396779281725E-3</v>
      </c>
      <c r="U279" s="21">
        <f t="shared" si="102"/>
        <v>0.11792471957650465</v>
      </c>
      <c r="V279" s="21">
        <f t="shared" si="103"/>
        <v>0.59384409357470624</v>
      </c>
      <c r="W279" s="21">
        <f t="shared" si="104"/>
        <v>0.11792471957650465</v>
      </c>
      <c r="Y279" s="23">
        <f t="shared" si="93"/>
        <v>2.7474498933936498E-2</v>
      </c>
      <c r="Z279" s="6">
        <f t="shared" si="94"/>
        <v>9.0450220642568149E-2</v>
      </c>
      <c r="AA279" s="6">
        <f t="shared" si="95"/>
        <v>0.88207528042349537</v>
      </c>
      <c r="AB279" s="6">
        <f t="shared" si="96"/>
        <v>1</v>
      </c>
    </row>
    <row r="280" spans="1:28" x14ac:dyDescent="0.35">
      <c r="A280">
        <v>271</v>
      </c>
      <c r="B280" s="17">
        <f t="shared" si="97"/>
        <v>8218.125</v>
      </c>
      <c r="C280" s="17">
        <f t="shared" si="90"/>
        <v>8248.5625</v>
      </c>
      <c r="D280" s="17">
        <f t="shared" si="98"/>
        <v>8233.34375</v>
      </c>
      <c r="E280" s="17">
        <f t="shared" si="84"/>
        <v>270.5</v>
      </c>
      <c r="F280" s="17">
        <f t="shared" si="85"/>
        <v>82.541666666666671</v>
      </c>
      <c r="G280" s="21">
        <f>INDEX('Life Tables'!$F$8:$F$123,MATCH(Engine!F280,'Life Tables'!$B$8:$B$123,1))</f>
        <v>5.3012544867806488E-3</v>
      </c>
      <c r="H280" s="8">
        <f t="shared" si="86"/>
        <v>0.46915063075606966</v>
      </c>
      <c r="I280">
        <f t="shared" si="87"/>
        <v>1</v>
      </c>
      <c r="K280" s="22" t="e">
        <f>$I280*IF($E280&gt;_xlfn.AGGREGATE(4,6,'KM Data'!$B$6:$B$310),NA(),INDEX('KM Data'!$C$6:$C$310,MATCH($E280,'KM Data'!$B$6:$B$310,1)))</f>
        <v>#N/A</v>
      </c>
      <c r="L280" s="21">
        <f t="shared" si="88"/>
        <v>2.7320196272110797E-2</v>
      </c>
      <c r="M280" s="20">
        <f t="shared" si="91"/>
        <v>5.600758054345123E-3</v>
      </c>
      <c r="N280" s="21">
        <f t="shared" si="99"/>
        <v>2.7320196272110797E-2</v>
      </c>
      <c r="O280" s="21">
        <f t="shared" si="100"/>
        <v>0.59069597490919512</v>
      </c>
      <c r="P280" s="21">
        <f t="shared" si="101"/>
        <v>2.7320196272110797E-2</v>
      </c>
      <c r="R280" s="22" t="e">
        <f>$I280*IF($E280&gt;_xlfn.AGGREGATE(4,6,'KM Data'!$E$6:$E$205),NA(),INDEX('KM Data'!$F$6:$F$205,MATCH($E280,'KM Data'!$E$6:$E$205,1)))</f>
        <v>#N/A</v>
      </c>
      <c r="S280" s="21">
        <f t="shared" si="89"/>
        <v>0.1204281186568954</v>
      </c>
      <c r="T280" s="8">
        <f t="shared" si="92"/>
        <v>3.5641358439509885E-3</v>
      </c>
      <c r="U280" s="21">
        <f t="shared" si="102"/>
        <v>0.11729957062774735</v>
      </c>
      <c r="V280" s="21">
        <f t="shared" si="103"/>
        <v>0.59069597490919512</v>
      </c>
      <c r="W280" s="21">
        <f t="shared" si="104"/>
        <v>0.11729957062774735</v>
      </c>
      <c r="Y280" s="23">
        <f t="shared" si="93"/>
        <v>2.7320196272110797E-2</v>
      </c>
      <c r="Z280" s="6">
        <f t="shared" si="94"/>
        <v>8.9979374355636549E-2</v>
      </c>
      <c r="AA280" s="6">
        <f t="shared" si="95"/>
        <v>0.88270042937225268</v>
      </c>
      <c r="AB280" s="6">
        <f t="shared" si="96"/>
        <v>1</v>
      </c>
    </row>
    <row r="281" spans="1:28" x14ac:dyDescent="0.35">
      <c r="A281">
        <v>272</v>
      </c>
      <c r="B281" s="17">
        <f t="shared" si="97"/>
        <v>8248.5625</v>
      </c>
      <c r="C281" s="17">
        <f t="shared" si="90"/>
        <v>8279</v>
      </c>
      <c r="D281" s="17">
        <f t="shared" si="98"/>
        <v>8263.78125</v>
      </c>
      <c r="E281" s="17">
        <f t="shared" si="84"/>
        <v>271.5</v>
      </c>
      <c r="F281" s="17">
        <f t="shared" si="85"/>
        <v>82.625</v>
      </c>
      <c r="G281" s="21">
        <f>INDEX('Life Tables'!$F$8:$F$123,MATCH(Engine!F281,'Life Tables'!$B$8:$B$123,1))</f>
        <v>5.3012544867806488E-3</v>
      </c>
      <c r="H281" s="8">
        <f t="shared" si="86"/>
        <v>0.46915063075606966</v>
      </c>
      <c r="I281">
        <f t="shared" si="87"/>
        <v>1</v>
      </c>
      <c r="K281" s="22" t="e">
        <f>$I281*IF($E281&gt;_xlfn.AGGREGATE(4,6,'KM Data'!$B$6:$B$310),NA(),INDEX('KM Data'!$C$6:$C$310,MATCH($E281,'KM Data'!$B$6:$B$310,1)))</f>
        <v>#N/A</v>
      </c>
      <c r="L281" s="21">
        <f t="shared" si="88"/>
        <v>2.7167182462793482E-2</v>
      </c>
      <c r="M281" s="20">
        <f t="shared" si="91"/>
        <v>5.5853974265140938E-3</v>
      </c>
      <c r="N281" s="21">
        <f t="shared" si="99"/>
        <v>2.7167182462793482E-2</v>
      </c>
      <c r="O281" s="21">
        <f t="shared" si="100"/>
        <v>0.5875645452218845</v>
      </c>
      <c r="P281" s="21">
        <f t="shared" si="101"/>
        <v>2.7167182462793482E-2</v>
      </c>
      <c r="R281" s="22" t="e">
        <f>$I281*IF($E281&gt;_xlfn.AGGREGATE(4,6,'KM Data'!$E$6:$E$205),NA(),INDEX('KM Data'!$F$6:$F$205,MATCH($E281,'KM Data'!$E$6:$E$205,1)))</f>
        <v>#N/A</v>
      </c>
      <c r="S281" s="21">
        <f t="shared" si="89"/>
        <v>0.11999889648257078</v>
      </c>
      <c r="T281" s="8">
        <f t="shared" si="92"/>
        <v>3.554788286185051E-3</v>
      </c>
      <c r="U281" s="21">
        <f t="shared" si="102"/>
        <v>0.11667773575265955</v>
      </c>
      <c r="V281" s="21">
        <f t="shared" si="103"/>
        <v>0.5875645452218845</v>
      </c>
      <c r="W281" s="21">
        <f t="shared" si="104"/>
        <v>0.11667773575265955</v>
      </c>
      <c r="Y281" s="23">
        <f t="shared" si="93"/>
        <v>2.7167182462793482E-2</v>
      </c>
      <c r="Z281" s="6">
        <f t="shared" si="94"/>
        <v>8.9510553289866068E-2</v>
      </c>
      <c r="AA281" s="6">
        <f t="shared" si="95"/>
        <v>0.88332226424734039</v>
      </c>
      <c r="AB281" s="6">
        <f t="shared" si="96"/>
        <v>1</v>
      </c>
    </row>
    <row r="282" spans="1:28" x14ac:dyDescent="0.35">
      <c r="A282">
        <v>273</v>
      </c>
      <c r="B282" s="17">
        <f t="shared" si="97"/>
        <v>8279</v>
      </c>
      <c r="C282" s="17">
        <f t="shared" si="90"/>
        <v>8309.4375</v>
      </c>
      <c r="D282" s="17">
        <f t="shared" si="98"/>
        <v>8294.21875</v>
      </c>
      <c r="E282" s="17">
        <f t="shared" si="84"/>
        <v>272.5</v>
      </c>
      <c r="F282" s="17">
        <f t="shared" si="85"/>
        <v>82.708333333333329</v>
      </c>
      <c r="G282" s="21">
        <f>INDEX('Life Tables'!$F$8:$F$123,MATCH(Engine!F282,'Life Tables'!$B$8:$B$123,1))</f>
        <v>5.3012544867806488E-3</v>
      </c>
      <c r="H282" s="8">
        <f t="shared" si="86"/>
        <v>0.46915063075606966</v>
      </c>
      <c r="I282">
        <f t="shared" si="87"/>
        <v>1</v>
      </c>
      <c r="K282" s="22" t="e">
        <f>$I282*IF($E282&gt;_xlfn.AGGREGATE(4,6,'KM Data'!$B$6:$B$310),NA(),INDEX('KM Data'!$C$6:$C$310,MATCH($E282,'KM Data'!$B$6:$B$310,1)))</f>
        <v>#N/A</v>
      </c>
      <c r="L282" s="21">
        <f t="shared" si="88"/>
        <v>2.7015442951780155E-2</v>
      </c>
      <c r="M282" s="20">
        <f t="shared" si="91"/>
        <v>5.5701310651211644E-3</v>
      </c>
      <c r="N282" s="21">
        <f t="shared" si="99"/>
        <v>2.7015442951780155E-2</v>
      </c>
      <c r="O282" s="21">
        <f t="shared" si="100"/>
        <v>0.58444971604025375</v>
      </c>
      <c r="P282" s="21">
        <f t="shared" si="101"/>
        <v>2.7015442951780155E-2</v>
      </c>
      <c r="R282" s="22" t="e">
        <f>$I282*IF($E282&gt;_xlfn.AGGREGATE(4,6,'KM Data'!$E$6:$E$205),NA(),INDEX('KM Data'!$F$6:$F$205,MATCH($E282,'KM Data'!$E$6:$E$205,1)))</f>
        <v>#N/A</v>
      </c>
      <c r="S282" s="21">
        <f t="shared" si="89"/>
        <v>0.11957232581099941</v>
      </c>
      <c r="T282" s="8">
        <f t="shared" si="92"/>
        <v>3.545496475121479E-3</v>
      </c>
      <c r="U282" s="21">
        <f t="shared" si="102"/>
        <v>0.11605919738249336</v>
      </c>
      <c r="V282" s="21">
        <f t="shared" si="103"/>
        <v>0.58444971604025375</v>
      </c>
      <c r="W282" s="21">
        <f t="shared" si="104"/>
        <v>0.11605919738249336</v>
      </c>
      <c r="Y282" s="23">
        <f t="shared" si="93"/>
        <v>2.7015442951780155E-2</v>
      </c>
      <c r="Z282" s="6">
        <f t="shared" si="94"/>
        <v>8.9043754430713204E-2</v>
      </c>
      <c r="AA282" s="6">
        <f t="shared" si="95"/>
        <v>0.88394080261750663</v>
      </c>
      <c r="AB282" s="6">
        <f t="shared" si="96"/>
        <v>1</v>
      </c>
    </row>
    <row r="283" spans="1:28" x14ac:dyDescent="0.35">
      <c r="A283">
        <v>274</v>
      </c>
      <c r="B283" s="17">
        <f t="shared" si="97"/>
        <v>8309.4375</v>
      </c>
      <c r="C283" s="17">
        <f t="shared" si="90"/>
        <v>8339.875</v>
      </c>
      <c r="D283" s="17">
        <f t="shared" si="98"/>
        <v>8324.65625</v>
      </c>
      <c r="E283" s="17">
        <f t="shared" si="84"/>
        <v>273.5</v>
      </c>
      <c r="F283" s="17">
        <f t="shared" si="85"/>
        <v>82.791666666666671</v>
      </c>
      <c r="G283" s="21">
        <f>INDEX('Life Tables'!$F$8:$F$123,MATCH(Engine!F283,'Life Tables'!$B$8:$B$123,1))</f>
        <v>5.3012544867806488E-3</v>
      </c>
      <c r="H283" s="8">
        <f t="shared" si="86"/>
        <v>0.46915063075606966</v>
      </c>
      <c r="I283">
        <f t="shared" si="87"/>
        <v>1</v>
      </c>
      <c r="K283" s="22" t="e">
        <f>$I283*IF($E283&gt;_xlfn.AGGREGATE(4,6,'KM Data'!$B$6:$B$310),NA(),INDEX('KM Data'!$C$6:$C$310,MATCH($E283,'KM Data'!$B$6:$B$310,1)))</f>
        <v>#N/A</v>
      </c>
      <c r="L283" s="21">
        <f t="shared" si="88"/>
        <v>2.6864963393756436E-2</v>
      </c>
      <c r="M283" s="20">
        <f t="shared" si="91"/>
        <v>5.5549580665398279E-3</v>
      </c>
      <c r="N283" s="21">
        <f t="shared" si="99"/>
        <v>2.6864963393756436E-2</v>
      </c>
      <c r="O283" s="21">
        <f t="shared" si="100"/>
        <v>0.58135139936079772</v>
      </c>
      <c r="P283" s="21">
        <f t="shared" si="101"/>
        <v>2.6864963393756436E-2</v>
      </c>
      <c r="R283" s="22" t="e">
        <f>$I283*IF($E283&gt;_xlfn.AGGREGATE(4,6,'KM Data'!$E$6:$E$205),NA(),INDEX('KM Data'!$F$6:$F$205,MATCH($E283,'KM Data'!$E$6:$E$205,1)))</f>
        <v>#N/A</v>
      </c>
      <c r="S283" s="21">
        <f t="shared" si="89"/>
        <v>0.11914838255131444</v>
      </c>
      <c r="T283" s="8">
        <f t="shared" si="92"/>
        <v>3.5362598880576135E-3</v>
      </c>
      <c r="U283" s="21">
        <f t="shared" si="102"/>
        <v>0.11544393804163726</v>
      </c>
      <c r="V283" s="21">
        <f t="shared" si="103"/>
        <v>0.58135139936079772</v>
      </c>
      <c r="W283" s="21">
        <f t="shared" si="104"/>
        <v>0.11544393804163726</v>
      </c>
      <c r="Y283" s="23">
        <f t="shared" si="93"/>
        <v>2.6864963393756436E-2</v>
      </c>
      <c r="Z283" s="6">
        <f t="shared" si="94"/>
        <v>8.8578974647880823E-2</v>
      </c>
      <c r="AA283" s="6">
        <f t="shared" si="95"/>
        <v>0.88455606195836278</v>
      </c>
      <c r="AB283" s="6">
        <f t="shared" si="96"/>
        <v>1</v>
      </c>
    </row>
    <row r="284" spans="1:28" x14ac:dyDescent="0.35">
      <c r="A284">
        <v>275</v>
      </c>
      <c r="B284" s="17">
        <f t="shared" si="97"/>
        <v>8339.875</v>
      </c>
      <c r="C284" s="17">
        <f t="shared" si="90"/>
        <v>8370.3125</v>
      </c>
      <c r="D284" s="17">
        <f t="shared" si="98"/>
        <v>8355.09375</v>
      </c>
      <c r="E284" s="17">
        <f t="shared" si="84"/>
        <v>274.5</v>
      </c>
      <c r="F284" s="17">
        <f t="shared" si="85"/>
        <v>82.875</v>
      </c>
      <c r="G284" s="21">
        <f>INDEX('Life Tables'!$F$8:$F$123,MATCH(Engine!F284,'Life Tables'!$B$8:$B$123,1))</f>
        <v>5.3012544867806488E-3</v>
      </c>
      <c r="H284" s="8">
        <f t="shared" si="86"/>
        <v>0.46915063075606966</v>
      </c>
      <c r="I284">
        <f t="shared" si="87"/>
        <v>1</v>
      </c>
      <c r="K284" s="22" t="e">
        <f>$I284*IF($E284&gt;_xlfn.AGGREGATE(4,6,'KM Data'!$B$6:$B$310),NA(),INDEX('KM Data'!$C$6:$C$310,MATCH($E284,'KM Data'!$B$6:$B$310,1)))</f>
        <v>#N/A</v>
      </c>
      <c r="L284" s="21">
        <f t="shared" si="88"/>
        <v>2.6715729648644992E-2</v>
      </c>
      <c r="M284" s="20">
        <f t="shared" si="91"/>
        <v>5.5398775389315924E-3</v>
      </c>
      <c r="N284" s="21">
        <f t="shared" si="99"/>
        <v>2.6715729648644992E-2</v>
      </c>
      <c r="O284" s="21">
        <f t="shared" si="100"/>
        <v>0.57826950764654006</v>
      </c>
      <c r="P284" s="21">
        <f t="shared" si="101"/>
        <v>2.6715729648644992E-2</v>
      </c>
      <c r="R284" s="22" t="e">
        <f>$I284*IF($E284&gt;_xlfn.AGGREGATE(4,6,'KM Data'!$E$6:$E$205),NA(),INDEX('KM Data'!$F$6:$F$205,MATCH($E284,'KM Data'!$E$6:$E$205,1)))</f>
        <v>#N/A</v>
      </c>
      <c r="S284" s="21">
        <f t="shared" si="89"/>
        <v>0.11872704290537128</v>
      </c>
      <c r="T284" s="8">
        <f t="shared" si="92"/>
        <v>3.5270780089877718E-3</v>
      </c>
      <c r="U284" s="21">
        <f t="shared" si="102"/>
        <v>0.11483194034712241</v>
      </c>
      <c r="V284" s="21">
        <f t="shared" si="103"/>
        <v>0.57826950764654006</v>
      </c>
      <c r="W284" s="21">
        <f t="shared" si="104"/>
        <v>0.11483194034712241</v>
      </c>
      <c r="Y284" s="23">
        <f t="shared" si="93"/>
        <v>2.6715729648644992E-2</v>
      </c>
      <c r="Z284" s="6">
        <f t="shared" si="94"/>
        <v>8.8116210698477415E-2</v>
      </c>
      <c r="AA284" s="6">
        <f t="shared" si="95"/>
        <v>0.88516805965287759</v>
      </c>
      <c r="AB284" s="6">
        <f t="shared" si="96"/>
        <v>1</v>
      </c>
    </row>
    <row r="285" spans="1:28" x14ac:dyDescent="0.35">
      <c r="A285">
        <v>276</v>
      </c>
      <c r="B285" s="17">
        <f t="shared" si="97"/>
        <v>8370.3125</v>
      </c>
      <c r="C285" s="17">
        <f t="shared" si="90"/>
        <v>8400.75</v>
      </c>
      <c r="D285" s="17">
        <f t="shared" si="98"/>
        <v>8385.53125</v>
      </c>
      <c r="E285" s="17">
        <f t="shared" si="84"/>
        <v>275.5</v>
      </c>
      <c r="F285" s="17">
        <f t="shared" si="85"/>
        <v>82.958333333333329</v>
      </c>
      <c r="G285" s="21">
        <f>INDEX('Life Tables'!$F$8:$F$123,MATCH(Engine!F285,'Life Tables'!$B$8:$B$123,1))</f>
        <v>5.3012544867806488E-3</v>
      </c>
      <c r="H285" s="8">
        <f t="shared" si="86"/>
        <v>0.45328563358074364</v>
      </c>
      <c r="I285">
        <f t="shared" si="87"/>
        <v>1</v>
      </c>
      <c r="K285" s="22" t="e">
        <f>$I285*IF($E285&gt;_xlfn.AGGREGATE(4,6,'KM Data'!$B$6:$B$310),NA(),INDEX('KM Data'!$C$6:$C$310,MATCH($E285,'KM Data'!$B$6:$B$310,1)))</f>
        <v>#N/A</v>
      </c>
      <c r="L285" s="21">
        <f t="shared" si="88"/>
        <v>2.6567727778028294E-2</v>
      </c>
      <c r="M285" s="20">
        <f t="shared" si="91"/>
        <v>5.5248886020549115E-3</v>
      </c>
      <c r="N285" s="21">
        <f t="shared" si="99"/>
        <v>2.6567727778028294E-2</v>
      </c>
      <c r="O285" s="21">
        <f t="shared" si="100"/>
        <v>0.57520395382456035</v>
      </c>
      <c r="P285" s="21">
        <f t="shared" si="101"/>
        <v>2.6567727778028294E-2</v>
      </c>
      <c r="R285" s="22" t="e">
        <f>$I285*IF($E285&gt;_xlfn.AGGREGATE(4,6,'KM Data'!$E$6:$E$205),NA(),INDEX('KM Data'!$F$6:$F$205,MATCH($E285,'KM Data'!$E$6:$E$205,1)))</f>
        <v>#N/A</v>
      </c>
      <c r="S285" s="21">
        <f t="shared" si="89"/>
        <v>0.1183082833632676</v>
      </c>
      <c r="T285" s="8">
        <f t="shared" si="92"/>
        <v>3.5179503284867852E-3</v>
      </c>
      <c r="U285" s="21">
        <f t="shared" si="102"/>
        <v>0.1142231870081315</v>
      </c>
      <c r="V285" s="21">
        <f t="shared" si="103"/>
        <v>0.57520395382456035</v>
      </c>
      <c r="W285" s="21">
        <f t="shared" si="104"/>
        <v>0.1142231870081315</v>
      </c>
      <c r="Y285" s="23">
        <f t="shared" si="93"/>
        <v>2.6567727778028294E-2</v>
      </c>
      <c r="Z285" s="6">
        <f t="shared" si="94"/>
        <v>8.7655459230103205E-2</v>
      </c>
      <c r="AA285" s="6">
        <f t="shared" si="95"/>
        <v>0.8857768129918685</v>
      </c>
      <c r="AB285" s="6">
        <f t="shared" si="96"/>
        <v>1</v>
      </c>
    </row>
    <row r="286" spans="1:28" x14ac:dyDescent="0.35">
      <c r="A286">
        <v>277</v>
      </c>
      <c r="B286" s="17">
        <f t="shared" si="97"/>
        <v>8400.75</v>
      </c>
      <c r="C286" s="17">
        <f t="shared" si="90"/>
        <v>8431.1875</v>
      </c>
      <c r="D286" s="17">
        <f t="shared" si="98"/>
        <v>8415.96875</v>
      </c>
      <c r="E286" s="17">
        <f t="shared" si="84"/>
        <v>276.5</v>
      </c>
      <c r="F286" s="17">
        <f t="shared" si="85"/>
        <v>83.041666666666671</v>
      </c>
      <c r="G286" s="21">
        <f>INDEX('Life Tables'!$F$8:$F$123,MATCH(Engine!F286,'Life Tables'!$B$8:$B$123,1))</f>
        <v>5.8623931464689694E-3</v>
      </c>
      <c r="H286" s="8">
        <f t="shared" si="86"/>
        <v>0.45328563358074364</v>
      </c>
      <c r="I286">
        <f t="shared" si="87"/>
        <v>1</v>
      </c>
      <c r="K286" s="22" t="e">
        <f>$I286*IF($E286&gt;_xlfn.AGGREGATE(4,6,'KM Data'!$B$6:$B$310),NA(),INDEX('KM Data'!$C$6:$C$310,MATCH($E286,'KM Data'!$B$6:$B$310,1)))</f>
        <v>#N/A</v>
      </c>
      <c r="L286" s="21">
        <f t="shared" si="88"/>
        <v>2.6420944041644967E-2</v>
      </c>
      <c r="M286" s="20">
        <f t="shared" si="91"/>
        <v>5.5099903870524658E-3</v>
      </c>
      <c r="N286" s="21">
        <f t="shared" si="99"/>
        <v>2.6420944041644967E-2</v>
      </c>
      <c r="O286" s="21">
        <f t="shared" si="100"/>
        <v>0.57215465128353393</v>
      </c>
      <c r="P286" s="21">
        <f t="shared" si="101"/>
        <v>2.6420944041644967E-2</v>
      </c>
      <c r="R286" s="22" t="e">
        <f>$I286*IF($E286&gt;_xlfn.AGGREGATE(4,6,'KM Data'!$E$6:$E$205),NA(),INDEX('KM Data'!$F$6:$F$205,MATCH($E286,'KM Data'!$E$6:$E$205,1)))</f>
        <v>#N/A</v>
      </c>
      <c r="S286" s="21">
        <f t="shared" si="89"/>
        <v>0.11789208069894708</v>
      </c>
      <c r="T286" s="8">
        <f t="shared" si="92"/>
        <v>3.5088763436050829E-3</v>
      </c>
      <c r="U286" s="21">
        <f t="shared" si="102"/>
        <v>0.11361766082551025</v>
      </c>
      <c r="V286" s="21">
        <f t="shared" si="103"/>
        <v>0.57215465128353393</v>
      </c>
      <c r="W286" s="21">
        <f t="shared" si="104"/>
        <v>0.11361766082551025</v>
      </c>
      <c r="Y286" s="23">
        <f t="shared" si="93"/>
        <v>2.6420944041644967E-2</v>
      </c>
      <c r="Z286" s="6">
        <f t="shared" si="94"/>
        <v>8.7196716783865286E-2</v>
      </c>
      <c r="AA286" s="6">
        <f t="shared" si="95"/>
        <v>0.88638233917448972</v>
      </c>
      <c r="AB286" s="6">
        <f t="shared" si="96"/>
        <v>1</v>
      </c>
    </row>
    <row r="287" spans="1:28" x14ac:dyDescent="0.35">
      <c r="A287">
        <v>278</v>
      </c>
      <c r="B287" s="17">
        <f t="shared" si="97"/>
        <v>8431.1875</v>
      </c>
      <c r="C287" s="17">
        <f t="shared" si="90"/>
        <v>8461.625</v>
      </c>
      <c r="D287" s="17">
        <f t="shared" si="98"/>
        <v>8446.40625</v>
      </c>
      <c r="E287" s="17">
        <f t="shared" si="84"/>
        <v>277.5</v>
      </c>
      <c r="F287" s="17">
        <f t="shared" si="85"/>
        <v>83.125</v>
      </c>
      <c r="G287" s="21">
        <f>INDEX('Life Tables'!$F$8:$F$123,MATCH(Engine!F287,'Life Tables'!$B$8:$B$123,1))</f>
        <v>5.8623931464689694E-3</v>
      </c>
      <c r="H287" s="8">
        <f t="shared" si="86"/>
        <v>0.45328563358074364</v>
      </c>
      <c r="I287">
        <f t="shared" si="87"/>
        <v>1</v>
      </c>
      <c r="K287" s="22" t="e">
        <f>$I287*IF($E287&gt;_xlfn.AGGREGATE(4,6,'KM Data'!$B$6:$B$310),NA(),INDEX('KM Data'!$C$6:$C$310,MATCH($E287,'KM Data'!$B$6:$B$310,1)))</f>
        <v>#N/A</v>
      </c>
      <c r="L287" s="21">
        <f t="shared" si="88"/>
        <v>2.6275364893958653E-2</v>
      </c>
      <c r="M287" s="20">
        <f t="shared" si="91"/>
        <v>5.4951820362959536E-3</v>
      </c>
      <c r="N287" s="21">
        <f t="shared" si="99"/>
        <v>2.6266054080371987E-2</v>
      </c>
      <c r="O287" s="21">
        <f t="shared" si="100"/>
        <v>0.56880045577712901</v>
      </c>
      <c r="P287" s="21">
        <f t="shared" si="101"/>
        <v>2.6266054080371987E-2</v>
      </c>
      <c r="R287" s="22" t="e">
        <f>$I287*IF($E287&gt;_xlfn.AGGREGATE(4,6,'KM Data'!$E$6:$E$205),NA(),INDEX('KM Data'!$F$6:$F$205,MATCH($E287,'KM Data'!$E$6:$E$205,1)))</f>
        <v>#N/A</v>
      </c>
      <c r="S287" s="21">
        <f t="shared" si="89"/>
        <v>0.11747841196588416</v>
      </c>
      <c r="T287" s="8">
        <f t="shared" si="92"/>
        <v>3.4998555577707702E-3</v>
      </c>
      <c r="U287" s="21">
        <f t="shared" si="102"/>
        <v>0.11295158942936895</v>
      </c>
      <c r="V287" s="21">
        <f t="shared" si="103"/>
        <v>0.56880045577712901</v>
      </c>
      <c r="W287" s="21">
        <f t="shared" si="104"/>
        <v>0.11295158942936895</v>
      </c>
      <c r="Y287" s="23">
        <f t="shared" si="93"/>
        <v>2.6266054080371987E-2</v>
      </c>
      <c r="Z287" s="6">
        <f t="shared" si="94"/>
        <v>8.6685535348996964E-2</v>
      </c>
      <c r="AA287" s="6">
        <f t="shared" si="95"/>
        <v>0.88704841057063111</v>
      </c>
      <c r="AB287" s="6">
        <f t="shared" si="96"/>
        <v>1</v>
      </c>
    </row>
    <row r="288" spans="1:28" x14ac:dyDescent="0.35">
      <c r="A288">
        <v>279</v>
      </c>
      <c r="B288" s="17">
        <f t="shared" si="97"/>
        <v>8461.625</v>
      </c>
      <c r="C288" s="17">
        <f t="shared" si="90"/>
        <v>8492.0625</v>
      </c>
      <c r="D288" s="17">
        <f t="shared" si="98"/>
        <v>8476.84375</v>
      </c>
      <c r="E288" s="17">
        <f t="shared" si="84"/>
        <v>278.5</v>
      </c>
      <c r="F288" s="17">
        <f t="shared" si="85"/>
        <v>83.208333333333329</v>
      </c>
      <c r="G288" s="21">
        <f>INDEX('Life Tables'!$F$8:$F$123,MATCH(Engine!F288,'Life Tables'!$B$8:$B$123,1))</f>
        <v>5.8623931464689694E-3</v>
      </c>
      <c r="H288" s="8">
        <f t="shared" si="86"/>
        <v>0.45328563358074364</v>
      </c>
      <c r="I288">
        <f t="shared" si="87"/>
        <v>1</v>
      </c>
      <c r="K288" s="22" t="e">
        <f>$I288*IF($E288&gt;_xlfn.AGGREGATE(4,6,'KM Data'!$B$6:$B$310),NA(),INDEX('KM Data'!$C$6:$C$310,MATCH($E288,'KM Data'!$B$6:$B$310,1)))</f>
        <v>#N/A</v>
      </c>
      <c r="L288" s="21">
        <f t="shared" si="88"/>
        <v>2.613097698079625E-2</v>
      </c>
      <c r="M288" s="20">
        <f t="shared" si="91"/>
        <v>5.4804627031846964E-3</v>
      </c>
      <c r="N288" s="21">
        <f t="shared" si="99"/>
        <v>2.611207214494643E-2</v>
      </c>
      <c r="O288" s="21">
        <f t="shared" si="100"/>
        <v>0.56546592388347272</v>
      </c>
      <c r="P288" s="21">
        <f t="shared" si="101"/>
        <v>2.611207214494643E-2</v>
      </c>
      <c r="R288" s="22" t="e">
        <f>$I288*IF($E288&gt;_xlfn.AGGREGATE(4,6,'KM Data'!$E$6:$E$205),NA(),INDEX('KM Data'!$F$6:$F$205,MATCH($E288,'KM Data'!$E$6:$E$205,1)))</f>
        <v>#N/A</v>
      </c>
      <c r="S288" s="21">
        <f t="shared" si="89"/>
        <v>0.11706725449284727</v>
      </c>
      <c r="T288" s="8">
        <f t="shared" si="92"/>
        <v>3.4908874806824919E-3</v>
      </c>
      <c r="U288" s="21">
        <f t="shared" si="102"/>
        <v>0.11228942280561544</v>
      </c>
      <c r="V288" s="21">
        <f t="shared" si="103"/>
        <v>0.56546592388347272</v>
      </c>
      <c r="W288" s="21">
        <f t="shared" si="104"/>
        <v>0.11228942280561544</v>
      </c>
      <c r="Y288" s="23">
        <f t="shared" si="93"/>
        <v>2.611207214494643E-2</v>
      </c>
      <c r="Z288" s="6">
        <f t="shared" si="94"/>
        <v>8.6177350660669005E-2</v>
      </c>
      <c r="AA288" s="6">
        <f t="shared" si="95"/>
        <v>0.88771057719438451</v>
      </c>
      <c r="AB288" s="6">
        <f t="shared" si="96"/>
        <v>1</v>
      </c>
    </row>
    <row r="289" spans="1:28" x14ac:dyDescent="0.35">
      <c r="A289">
        <v>280</v>
      </c>
      <c r="B289" s="17">
        <f t="shared" si="97"/>
        <v>8492.0625</v>
      </c>
      <c r="C289" s="17">
        <f t="shared" si="90"/>
        <v>8522.5</v>
      </c>
      <c r="D289" s="17">
        <f t="shared" si="98"/>
        <v>8507.28125</v>
      </c>
      <c r="E289" s="17">
        <f t="shared" si="84"/>
        <v>279.5</v>
      </c>
      <c r="F289" s="17">
        <f t="shared" si="85"/>
        <v>83.291666666666671</v>
      </c>
      <c r="G289" s="21">
        <f>INDEX('Life Tables'!$F$8:$F$123,MATCH(Engine!F289,'Life Tables'!$B$8:$B$123,1))</f>
        <v>5.8623931464689694E-3</v>
      </c>
      <c r="H289" s="8">
        <f t="shared" si="86"/>
        <v>0.45328563358074364</v>
      </c>
      <c r="I289">
        <f t="shared" si="87"/>
        <v>1</v>
      </c>
      <c r="K289" s="22" t="e">
        <f>$I289*IF($E289&gt;_xlfn.AGGREGATE(4,6,'KM Data'!$B$6:$B$310),NA(),INDEX('KM Data'!$C$6:$C$310,MATCH($E289,'KM Data'!$B$6:$B$310,1)))</f>
        <v>#N/A</v>
      </c>
      <c r="L289" s="21">
        <f t="shared" si="88"/>
        <v>2.5987767136055218E-2</v>
      </c>
      <c r="M289" s="20">
        <f t="shared" si="91"/>
        <v>5.4658315519703349E-3</v>
      </c>
      <c r="N289" s="21">
        <f t="shared" si="99"/>
        <v>2.5958992912163793E-2</v>
      </c>
      <c r="O289" s="21">
        <f t="shared" si="100"/>
        <v>0.56215094032673651</v>
      </c>
      <c r="P289" s="21">
        <f t="shared" si="101"/>
        <v>2.5958992912163793E-2</v>
      </c>
      <c r="R289" s="22" t="e">
        <f>$I289*IF($E289&gt;_xlfn.AGGREGATE(4,6,'KM Data'!$E$6:$E$205),NA(),INDEX('KM Data'!$F$6:$F$205,MATCH($E289,'KM Data'!$E$6:$E$205,1)))</f>
        <v>#N/A</v>
      </c>
      <c r="S289" s="21">
        <f t="shared" si="89"/>
        <v>0.11665858587974032</v>
      </c>
      <c r="T289" s="8">
        <f t="shared" si="92"/>
        <v>3.481971628206737E-3</v>
      </c>
      <c r="U289" s="21">
        <f t="shared" si="102"/>
        <v>0.11163113806293884</v>
      </c>
      <c r="V289" s="21">
        <f t="shared" si="103"/>
        <v>0.56215094032673651</v>
      </c>
      <c r="W289" s="21">
        <f t="shared" si="104"/>
        <v>0.11163113806293884</v>
      </c>
      <c r="Y289" s="23">
        <f t="shared" si="93"/>
        <v>2.5958992912163793E-2</v>
      </c>
      <c r="Z289" s="6">
        <f t="shared" si="94"/>
        <v>8.567214515077505E-2</v>
      </c>
      <c r="AA289" s="6">
        <f t="shared" si="95"/>
        <v>0.88836886193706111</v>
      </c>
      <c r="AB289" s="6">
        <f t="shared" si="96"/>
        <v>1</v>
      </c>
    </row>
    <row r="290" spans="1:28" x14ac:dyDescent="0.35">
      <c r="A290">
        <v>281</v>
      </c>
      <c r="B290" s="17">
        <f t="shared" si="97"/>
        <v>8522.5</v>
      </c>
      <c r="C290" s="17">
        <f t="shared" si="90"/>
        <v>8552.9375</v>
      </c>
      <c r="D290" s="17">
        <f t="shared" si="98"/>
        <v>8537.71875</v>
      </c>
      <c r="E290" s="17">
        <f t="shared" si="84"/>
        <v>280.5</v>
      </c>
      <c r="F290" s="17">
        <f t="shared" si="85"/>
        <v>83.375</v>
      </c>
      <c r="G290" s="21">
        <f>INDEX('Life Tables'!$F$8:$F$123,MATCH(Engine!F290,'Life Tables'!$B$8:$B$123,1))</f>
        <v>5.8623931464689694E-3</v>
      </c>
      <c r="H290" s="8">
        <f t="shared" si="86"/>
        <v>0.45328563358074364</v>
      </c>
      <c r="I290">
        <f t="shared" si="87"/>
        <v>1</v>
      </c>
      <c r="K290" s="22" t="e">
        <f>$I290*IF($E290&gt;_xlfn.AGGREGATE(4,6,'KM Data'!$B$6:$B$310),NA(),INDEX('KM Data'!$C$6:$C$310,MATCH($E290,'KM Data'!$B$6:$B$310,1)))</f>
        <v>#N/A</v>
      </c>
      <c r="L290" s="21">
        <f t="shared" si="88"/>
        <v>2.5845722378477709E-2</v>
      </c>
      <c r="M290" s="20">
        <f t="shared" si="91"/>
        <v>5.4512877575714214E-3</v>
      </c>
      <c r="N290" s="21">
        <f t="shared" si="99"/>
        <v>2.5806811090026287E-2</v>
      </c>
      <c r="O290" s="21">
        <f t="shared" si="100"/>
        <v>0.55885539050688393</v>
      </c>
      <c r="P290" s="21">
        <f t="shared" si="101"/>
        <v>2.5806811090026287E-2</v>
      </c>
      <c r="R290" s="22" t="e">
        <f>$I290*IF($E290&gt;_xlfn.AGGREGATE(4,6,'KM Data'!$E$6:$E$205),NA(),INDEX('KM Data'!$F$6:$F$205,MATCH($E290,'KM Data'!$E$6:$E$205,1)))</f>
        <v>#N/A</v>
      </c>
      <c r="S290" s="21">
        <f t="shared" si="89"/>
        <v>0.11625238399352034</v>
      </c>
      <c r="T290" s="8">
        <f t="shared" si="92"/>
        <v>3.4731075222823593E-3</v>
      </c>
      <c r="U290" s="21">
        <f t="shared" si="102"/>
        <v>0.11097671244422613</v>
      </c>
      <c r="V290" s="21">
        <f t="shared" si="103"/>
        <v>0.55885539050688393</v>
      </c>
      <c r="W290" s="21">
        <f t="shared" si="104"/>
        <v>0.11097671244422613</v>
      </c>
      <c r="Y290" s="23">
        <f t="shared" si="93"/>
        <v>2.5806811090026287E-2</v>
      </c>
      <c r="Z290" s="6">
        <f t="shared" si="94"/>
        <v>8.5169901354199842E-2</v>
      </c>
      <c r="AA290" s="6">
        <f t="shared" si="95"/>
        <v>0.88902328755577387</v>
      </c>
      <c r="AB290" s="6">
        <f t="shared" si="96"/>
        <v>1</v>
      </c>
    </row>
    <row r="291" spans="1:28" x14ac:dyDescent="0.35">
      <c r="A291">
        <v>282</v>
      </c>
      <c r="B291" s="17">
        <f t="shared" si="97"/>
        <v>8552.9375</v>
      </c>
      <c r="C291" s="17">
        <f t="shared" si="90"/>
        <v>8583.375</v>
      </c>
      <c r="D291" s="17">
        <f t="shared" si="98"/>
        <v>8568.15625</v>
      </c>
      <c r="E291" s="17">
        <f t="shared" si="84"/>
        <v>281.5</v>
      </c>
      <c r="F291" s="17">
        <f t="shared" si="85"/>
        <v>83.458333333333329</v>
      </c>
      <c r="G291" s="21">
        <f>INDEX('Life Tables'!$F$8:$F$123,MATCH(Engine!F291,'Life Tables'!$B$8:$B$123,1))</f>
        <v>5.8623931464689694E-3</v>
      </c>
      <c r="H291" s="8">
        <f t="shared" si="86"/>
        <v>0.45328563358074364</v>
      </c>
      <c r="I291">
        <f t="shared" si="87"/>
        <v>1</v>
      </c>
      <c r="K291" s="22" t="e">
        <f>$I291*IF($E291&gt;_xlfn.AGGREGATE(4,6,'KM Data'!$B$6:$B$310),NA(),INDEX('KM Data'!$C$6:$C$310,MATCH($E291,'KM Data'!$B$6:$B$310,1)))</f>
        <v>#N/A</v>
      </c>
      <c r="L291" s="21">
        <f t="shared" si="88"/>
        <v>2.5704829908490323E-2</v>
      </c>
      <c r="M291" s="20">
        <f t="shared" si="91"/>
        <v>5.4368305054272037E-3</v>
      </c>
      <c r="N291" s="21">
        <f t="shared" si="99"/>
        <v>2.5655521417559897E-2</v>
      </c>
      <c r="O291" s="21">
        <f t="shared" si="100"/>
        <v>0.5555791604957091</v>
      </c>
      <c r="P291" s="21">
        <f t="shared" si="101"/>
        <v>2.5655521417559897E-2</v>
      </c>
      <c r="R291" s="22" t="e">
        <f>$I291*IF($E291&gt;_xlfn.AGGREGATE(4,6,'KM Data'!$E$6:$E$205),NA(),INDEX('KM Data'!$F$6:$F$205,MATCH($E291,'KM Data'!$E$6:$E$205,1)))</f>
        <v>#N/A</v>
      </c>
      <c r="S291" s="21">
        <f t="shared" si="89"/>
        <v>0.11584862696418918</v>
      </c>
      <c r="T291" s="8">
        <f t="shared" si="92"/>
        <v>3.464294690828762E-3</v>
      </c>
      <c r="U291" s="21">
        <f t="shared" si="102"/>
        <v>0.11032612332577545</v>
      </c>
      <c r="V291" s="21">
        <f t="shared" si="103"/>
        <v>0.5555791604957091</v>
      </c>
      <c r="W291" s="21">
        <f t="shared" si="104"/>
        <v>0.11032612332577545</v>
      </c>
      <c r="Y291" s="23">
        <f t="shared" si="93"/>
        <v>2.5655521417559897E-2</v>
      </c>
      <c r="Z291" s="6">
        <f t="shared" si="94"/>
        <v>8.4670601908215543E-2</v>
      </c>
      <c r="AA291" s="6">
        <f t="shared" si="95"/>
        <v>0.8896738766742246</v>
      </c>
      <c r="AB291" s="6">
        <f t="shared" si="96"/>
        <v>1</v>
      </c>
    </row>
    <row r="292" spans="1:28" x14ac:dyDescent="0.35">
      <c r="A292">
        <v>283</v>
      </c>
      <c r="B292" s="17">
        <f t="shared" si="97"/>
        <v>8583.375</v>
      </c>
      <c r="C292" s="17">
        <f t="shared" si="90"/>
        <v>8613.8125</v>
      </c>
      <c r="D292" s="17">
        <f t="shared" si="98"/>
        <v>8598.59375</v>
      </c>
      <c r="E292" s="17">
        <f t="shared" si="84"/>
        <v>282.5</v>
      </c>
      <c r="F292" s="17">
        <f t="shared" si="85"/>
        <v>83.541666666666671</v>
      </c>
      <c r="G292" s="21">
        <f>INDEX('Life Tables'!$F$8:$F$123,MATCH(Engine!F292,'Life Tables'!$B$8:$B$123,1))</f>
        <v>5.8623931464689694E-3</v>
      </c>
      <c r="H292" s="8">
        <f t="shared" si="86"/>
        <v>0.45328563358074364</v>
      </c>
      <c r="I292">
        <f t="shared" si="87"/>
        <v>1</v>
      </c>
      <c r="K292" s="22" t="e">
        <f>$I292*IF($E292&gt;_xlfn.AGGREGATE(4,6,'KM Data'!$B$6:$B$310),NA(),INDEX('KM Data'!$C$6:$C$310,MATCH($E292,'KM Data'!$B$6:$B$310,1)))</f>
        <v>#N/A</v>
      </c>
      <c r="L292" s="21">
        <f t="shared" si="88"/>
        <v>2.5565077105107026E-2</v>
      </c>
      <c r="M292" s="20">
        <f t="shared" si="91"/>
        <v>5.4224589912967858E-3</v>
      </c>
      <c r="N292" s="21">
        <f t="shared" si="99"/>
        <v>2.5505118664632506E-2</v>
      </c>
      <c r="O292" s="21">
        <f t="shared" si="100"/>
        <v>0.55232213703289812</v>
      </c>
      <c r="P292" s="21">
        <f t="shared" si="101"/>
        <v>2.5505118664632506E-2</v>
      </c>
      <c r="R292" s="22" t="e">
        <f>$I292*IF($E292&gt;_xlfn.AGGREGATE(4,6,'KM Data'!$E$6:$E$205),NA(),INDEX('KM Data'!$F$6:$F$205,MATCH($E292,'KM Data'!$E$6:$E$205,1)))</f>
        <v>#N/A</v>
      </c>
      <c r="S292" s="21">
        <f t="shared" si="89"/>
        <v>0.11544729318085734</v>
      </c>
      <c r="T292" s="8">
        <f t="shared" si="92"/>
        <v>3.45553266763865E-3</v>
      </c>
      <c r="U292" s="21">
        <f t="shared" si="102"/>
        <v>0.10967934821651393</v>
      </c>
      <c r="V292" s="21">
        <f t="shared" si="103"/>
        <v>0.55232213703289812</v>
      </c>
      <c r="W292" s="21">
        <f t="shared" si="104"/>
        <v>0.10967934821651393</v>
      </c>
      <c r="Y292" s="23">
        <f t="shared" si="93"/>
        <v>2.5505118664632506E-2</v>
      </c>
      <c r="Z292" s="6">
        <f t="shared" si="94"/>
        <v>8.4174229551881419E-2</v>
      </c>
      <c r="AA292" s="6">
        <f t="shared" si="95"/>
        <v>0.89032065178348607</v>
      </c>
      <c r="AB292" s="6">
        <f t="shared" si="96"/>
        <v>1</v>
      </c>
    </row>
    <row r="293" spans="1:28" x14ac:dyDescent="0.35">
      <c r="A293">
        <v>284</v>
      </c>
      <c r="B293" s="17">
        <f t="shared" si="97"/>
        <v>8613.8125</v>
      </c>
      <c r="C293" s="17">
        <f t="shared" si="90"/>
        <v>8644.25</v>
      </c>
      <c r="D293" s="17">
        <f t="shared" si="98"/>
        <v>8629.03125</v>
      </c>
      <c r="E293" s="17">
        <f t="shared" si="84"/>
        <v>283.5</v>
      </c>
      <c r="F293" s="17">
        <f t="shared" si="85"/>
        <v>83.625</v>
      </c>
      <c r="G293" s="21">
        <f>INDEX('Life Tables'!$F$8:$F$123,MATCH(Engine!F293,'Life Tables'!$B$8:$B$123,1))</f>
        <v>5.8623931464689694E-3</v>
      </c>
      <c r="H293" s="8">
        <f t="shared" si="86"/>
        <v>0.45328563358074364</v>
      </c>
      <c r="I293">
        <f t="shared" si="87"/>
        <v>1</v>
      </c>
      <c r="K293" s="22" t="e">
        <f>$I293*IF($E293&gt;_xlfn.AGGREGATE(4,6,'KM Data'!$B$6:$B$310),NA(),INDEX('KM Data'!$C$6:$C$310,MATCH($E293,'KM Data'!$B$6:$B$310,1)))</f>
        <v>#N/A</v>
      </c>
      <c r="L293" s="21">
        <f t="shared" si="88"/>
        <v>2.5426451522895244E-2</v>
      </c>
      <c r="M293" s="20">
        <f t="shared" si="91"/>
        <v>5.4081724211174631E-3</v>
      </c>
      <c r="N293" s="21">
        <f t="shared" si="99"/>
        <v>2.5355597631773086E-2</v>
      </c>
      <c r="O293" s="21">
        <f t="shared" si="100"/>
        <v>0.5490842075221134</v>
      </c>
      <c r="P293" s="21">
        <f t="shared" si="101"/>
        <v>2.5355597631773086E-2</v>
      </c>
      <c r="R293" s="22" t="e">
        <f>$I293*IF($E293&gt;_xlfn.AGGREGATE(4,6,'KM Data'!$E$6:$E$205),NA(),INDEX('KM Data'!$F$6:$F$205,MATCH($E293,'KM Data'!$E$6:$E$205,1)))</f>
        <v>#N/A</v>
      </c>
      <c r="S293" s="21">
        <f t="shared" si="89"/>
        <v>0.11504836128788043</v>
      </c>
      <c r="T293" s="8">
        <f t="shared" si="92"/>
        <v>3.4468209923002036E-3</v>
      </c>
      <c r="U293" s="21">
        <f t="shared" si="102"/>
        <v>0.10903636475722026</v>
      </c>
      <c r="V293" s="21">
        <f t="shared" si="103"/>
        <v>0.5490842075221134</v>
      </c>
      <c r="W293" s="21">
        <f t="shared" si="104"/>
        <v>0.10903636475722026</v>
      </c>
      <c r="Y293" s="23">
        <f t="shared" si="93"/>
        <v>2.5355597631773086E-2</v>
      </c>
      <c r="Z293" s="6">
        <f t="shared" si="94"/>
        <v>8.368076712544717E-2</v>
      </c>
      <c r="AA293" s="6">
        <f t="shared" si="95"/>
        <v>0.89096363524277977</v>
      </c>
      <c r="AB293" s="6">
        <f t="shared" si="96"/>
        <v>1</v>
      </c>
    </row>
    <row r="294" spans="1:28" x14ac:dyDescent="0.35">
      <c r="A294">
        <v>285</v>
      </c>
      <c r="B294" s="17">
        <f t="shared" si="97"/>
        <v>8644.25</v>
      </c>
      <c r="C294" s="17">
        <f t="shared" si="90"/>
        <v>8674.6875</v>
      </c>
      <c r="D294" s="17">
        <f t="shared" si="98"/>
        <v>8659.46875</v>
      </c>
      <c r="E294" s="17">
        <f t="shared" si="84"/>
        <v>284.5</v>
      </c>
      <c r="F294" s="17">
        <f t="shared" si="85"/>
        <v>83.708333333333329</v>
      </c>
      <c r="G294" s="21">
        <f>INDEX('Life Tables'!$F$8:$F$123,MATCH(Engine!F294,'Life Tables'!$B$8:$B$123,1))</f>
        <v>5.8623931464689694E-3</v>
      </c>
      <c r="H294" s="8">
        <f t="shared" si="86"/>
        <v>0.45328563358074364</v>
      </c>
      <c r="I294">
        <f t="shared" si="87"/>
        <v>1</v>
      </c>
      <c r="K294" s="22" t="e">
        <f>$I294*IF($E294&gt;_xlfn.AGGREGATE(4,6,'KM Data'!$B$6:$B$310),NA(),INDEX('KM Data'!$C$6:$C$310,MATCH($E294,'KM Data'!$B$6:$B$310,1)))</f>
        <v>#N/A</v>
      </c>
      <c r="L294" s="21">
        <f t="shared" si="88"/>
        <v>2.5288940889002243E-2</v>
      </c>
      <c r="M294" s="20">
        <f t="shared" si="91"/>
        <v>5.3939700108154298E-3</v>
      </c>
      <c r="N294" s="21">
        <f t="shared" si="99"/>
        <v>2.5206953149991954E-2</v>
      </c>
      <c r="O294" s="21">
        <f t="shared" si="100"/>
        <v>0.54586526002710145</v>
      </c>
      <c r="P294" s="21">
        <f t="shared" si="101"/>
        <v>2.5206953149991954E-2</v>
      </c>
      <c r="R294" s="22" t="e">
        <f>$I294*IF($E294&gt;_xlfn.AGGREGATE(4,6,'KM Data'!$E$6:$E$205),NA(),INDEX('KM Data'!$F$6:$F$205,MATCH($E294,'KM Data'!$E$6:$E$205,1)))</f>
        <v>#N/A</v>
      </c>
      <c r="S294" s="21">
        <f t="shared" si="89"/>
        <v>0.11465181018106363</v>
      </c>
      <c r="T294" s="8">
        <f t="shared" si="92"/>
        <v>3.4381592100953817E-3</v>
      </c>
      <c r="U294" s="21">
        <f t="shared" si="102"/>
        <v>0.10839715071975163</v>
      </c>
      <c r="V294" s="21">
        <f t="shared" si="103"/>
        <v>0.54586526002710145</v>
      </c>
      <c r="W294" s="21">
        <f t="shared" si="104"/>
        <v>0.10839715071975163</v>
      </c>
      <c r="Y294" s="23">
        <f t="shared" si="93"/>
        <v>2.5206953149991954E-2</v>
      </c>
      <c r="Z294" s="6">
        <f t="shared" si="94"/>
        <v>8.3190197569759677E-2</v>
      </c>
      <c r="AA294" s="6">
        <f t="shared" si="95"/>
        <v>0.89160284928024836</v>
      </c>
      <c r="AB294" s="6">
        <f t="shared" si="96"/>
        <v>1</v>
      </c>
    </row>
    <row r="295" spans="1:28" x14ac:dyDescent="0.35">
      <c r="A295">
        <v>286</v>
      </c>
      <c r="B295" s="17">
        <f t="shared" si="97"/>
        <v>8674.6875</v>
      </c>
      <c r="C295" s="17">
        <f t="shared" si="90"/>
        <v>8705.125</v>
      </c>
      <c r="D295" s="17">
        <f t="shared" si="98"/>
        <v>8689.90625</v>
      </c>
      <c r="E295" s="17">
        <f t="shared" si="84"/>
        <v>285.5</v>
      </c>
      <c r="F295" s="17">
        <f t="shared" si="85"/>
        <v>83.791666666666671</v>
      </c>
      <c r="G295" s="21">
        <f>INDEX('Life Tables'!$F$8:$F$123,MATCH(Engine!F295,'Life Tables'!$B$8:$B$123,1))</f>
        <v>5.8623931464689694E-3</v>
      </c>
      <c r="H295" s="8">
        <f t="shared" si="86"/>
        <v>0.45328563358074364</v>
      </c>
      <c r="I295">
        <f t="shared" si="87"/>
        <v>1</v>
      </c>
      <c r="K295" s="22" t="e">
        <f>$I295*IF($E295&gt;_xlfn.AGGREGATE(4,6,'KM Data'!$B$6:$B$310),NA(),INDEX('KM Data'!$C$6:$C$310,MATCH($E295,'KM Data'!$B$6:$B$310,1)))</f>
        <v>#N/A</v>
      </c>
      <c r="L295" s="21">
        <f t="shared" si="88"/>
        <v>2.5152533100241681E-2</v>
      </c>
      <c r="M295" s="20">
        <f t="shared" si="91"/>
        <v>5.3798509861965327E-3</v>
      </c>
      <c r="N295" s="21">
        <f t="shared" si="99"/>
        <v>2.5059180080602077E-2</v>
      </c>
      <c r="O295" s="21">
        <f t="shared" si="100"/>
        <v>0.54266518326782309</v>
      </c>
      <c r="P295" s="21">
        <f t="shared" si="101"/>
        <v>2.5059180080602077E-2</v>
      </c>
      <c r="R295" s="22" t="e">
        <f>$I295*IF($E295&gt;_xlfn.AGGREGATE(4,6,'KM Data'!$E$6:$E$205),NA(),INDEX('KM Data'!$F$6:$F$205,MATCH($E295,'KM Data'!$E$6:$E$205,1)))</f>
        <v>#N/A</v>
      </c>
      <c r="S295" s="21">
        <f t="shared" si="89"/>
        <v>0.1142576190039355</v>
      </c>
      <c r="T295" s="8">
        <f t="shared" si="92"/>
        <v>3.4295468719097721E-3</v>
      </c>
      <c r="U295" s="21">
        <f t="shared" si="102"/>
        <v>0.10776168400627539</v>
      </c>
      <c r="V295" s="21">
        <f t="shared" si="103"/>
        <v>0.54266518326782309</v>
      </c>
      <c r="W295" s="21">
        <f t="shared" si="104"/>
        <v>0.10776168400627539</v>
      </c>
      <c r="Y295" s="23">
        <f t="shared" si="93"/>
        <v>2.5059180080602077E-2</v>
      </c>
      <c r="Z295" s="6">
        <f t="shared" si="94"/>
        <v>8.2702503925673312E-2</v>
      </c>
      <c r="AA295" s="6">
        <f t="shared" si="95"/>
        <v>0.89223831599372461</v>
      </c>
      <c r="AB295" s="6">
        <f t="shared" si="96"/>
        <v>1</v>
      </c>
    </row>
    <row r="296" spans="1:28" x14ac:dyDescent="0.35">
      <c r="A296">
        <v>287</v>
      </c>
      <c r="B296" s="17">
        <f t="shared" si="97"/>
        <v>8705.125</v>
      </c>
      <c r="C296" s="17">
        <f t="shared" si="90"/>
        <v>8735.5625</v>
      </c>
      <c r="D296" s="17">
        <f t="shared" si="98"/>
        <v>8720.34375</v>
      </c>
      <c r="E296" s="17">
        <f t="shared" si="84"/>
        <v>286.5</v>
      </c>
      <c r="F296" s="17">
        <f t="shared" si="85"/>
        <v>83.875</v>
      </c>
      <c r="G296" s="21">
        <f>INDEX('Life Tables'!$F$8:$F$123,MATCH(Engine!F296,'Life Tables'!$B$8:$B$123,1))</f>
        <v>5.8623931464689694E-3</v>
      </c>
      <c r="H296" s="8">
        <f t="shared" si="86"/>
        <v>0.45328563358074364</v>
      </c>
      <c r="I296">
        <f t="shared" si="87"/>
        <v>1</v>
      </c>
      <c r="K296" s="22" t="e">
        <f>$I296*IF($E296&gt;_xlfn.AGGREGATE(4,6,'KM Data'!$B$6:$B$310),NA(),INDEX('KM Data'!$C$6:$C$310,MATCH($E296,'KM Data'!$B$6:$B$310,1)))</f>
        <v>#N/A</v>
      </c>
      <c r="L296" s="21">
        <f t="shared" si="88"/>
        <v>2.5017216220237004E-2</v>
      </c>
      <c r="M296" s="20">
        <f t="shared" si="91"/>
        <v>5.365814582721784E-3</v>
      </c>
      <c r="N296" s="21">
        <f t="shared" si="99"/>
        <v>2.4912273315041426E-2</v>
      </c>
      <c r="O296" s="21">
        <f t="shared" si="100"/>
        <v>0.53948386661660652</v>
      </c>
      <c r="P296" s="21">
        <f t="shared" si="101"/>
        <v>2.4912273315041426E-2</v>
      </c>
      <c r="R296" s="22" t="e">
        <f>$I296*IF($E296&gt;_xlfn.AGGREGATE(4,6,'KM Data'!$E$6:$E$205),NA(),INDEX('KM Data'!$F$6:$F$205,MATCH($E296,'KM Data'!$E$6:$E$205,1)))</f>
        <v>#N/A</v>
      </c>
      <c r="S296" s="21">
        <f t="shared" si="89"/>
        <v>0.11386576714408869</v>
      </c>
      <c r="T296" s="8">
        <f t="shared" si="92"/>
        <v>3.4209835341567629E-3</v>
      </c>
      <c r="U296" s="21">
        <f t="shared" si="102"/>
        <v>0.10712994264850505</v>
      </c>
      <c r="V296" s="21">
        <f t="shared" si="103"/>
        <v>0.53948386661660652</v>
      </c>
      <c r="W296" s="21">
        <f t="shared" si="104"/>
        <v>0.10712994264850505</v>
      </c>
      <c r="Y296" s="23">
        <f t="shared" si="93"/>
        <v>2.4912273315041426E-2</v>
      </c>
      <c r="Z296" s="6">
        <f t="shared" si="94"/>
        <v>8.2217669333463625E-2</v>
      </c>
      <c r="AA296" s="6">
        <f t="shared" si="95"/>
        <v>0.89287005735149494</v>
      </c>
      <c r="AB296" s="6">
        <f t="shared" si="96"/>
        <v>1</v>
      </c>
    </row>
    <row r="297" spans="1:28" x14ac:dyDescent="0.35">
      <c r="A297">
        <v>288</v>
      </c>
      <c r="B297" s="17">
        <f t="shared" si="97"/>
        <v>8735.5625</v>
      </c>
      <c r="C297" s="17">
        <f t="shared" si="90"/>
        <v>8766</v>
      </c>
      <c r="D297" s="17">
        <f t="shared" si="98"/>
        <v>8750.78125</v>
      </c>
      <c r="E297" s="17">
        <f t="shared" si="84"/>
        <v>287.5</v>
      </c>
      <c r="F297" s="17">
        <f t="shared" si="85"/>
        <v>83.958333333333329</v>
      </c>
      <c r="G297" s="21">
        <f>INDEX('Life Tables'!$F$8:$F$123,MATCH(Engine!F297,'Life Tables'!$B$8:$B$123,1))</f>
        <v>5.8623931464689694E-3</v>
      </c>
      <c r="H297" s="8">
        <f t="shared" si="86"/>
        <v>0.43795713389443841</v>
      </c>
      <c r="I297">
        <f t="shared" si="87"/>
        <v>1</v>
      </c>
      <c r="K297" s="22" t="e">
        <f>$I297*IF($E297&gt;_xlfn.AGGREGATE(4,6,'KM Data'!$B$6:$B$310),NA(),INDEX('KM Data'!$C$6:$C$310,MATCH($E297,'KM Data'!$B$6:$B$310,1)))</f>
        <v>#N/A</v>
      </c>
      <c r="L297" s="21">
        <f t="shared" si="88"/>
        <v>2.4882978476623352E-2</v>
      </c>
      <c r="M297" s="20">
        <f t="shared" si="91"/>
        <v>5.3518600454048881E-3</v>
      </c>
      <c r="N297" s="21">
        <f t="shared" si="99"/>
        <v>2.4766227774696364E-2</v>
      </c>
      <c r="O297" s="21">
        <f t="shared" si="100"/>
        <v>0.53632120009432271</v>
      </c>
      <c r="P297" s="21">
        <f t="shared" si="101"/>
        <v>2.4766227774696364E-2</v>
      </c>
      <c r="R297" s="22" t="e">
        <f>$I297*IF($E297&gt;_xlfn.AGGREGATE(4,6,'KM Data'!$E$6:$E$205),NA(),INDEX('KM Data'!$F$6:$F$205,MATCH($E297,'KM Data'!$E$6:$E$205,1)))</f>
        <v>#N/A</v>
      </c>
      <c r="S297" s="21">
        <f t="shared" si="89"/>
        <v>0.11347623422958464</v>
      </c>
      <c r="T297" s="8">
        <f t="shared" si="92"/>
        <v>3.4124687586777336E-3</v>
      </c>
      <c r="U297" s="21">
        <f t="shared" si="102"/>
        <v>0.10650190480694084</v>
      </c>
      <c r="V297" s="21">
        <f t="shared" si="103"/>
        <v>0.53632120009432271</v>
      </c>
      <c r="W297" s="21">
        <f t="shared" si="104"/>
        <v>0.10650190480694084</v>
      </c>
      <c r="Y297" s="23">
        <f t="shared" si="93"/>
        <v>2.4766227774696364E-2</v>
      </c>
      <c r="Z297" s="6">
        <f t="shared" si="94"/>
        <v>8.1735677032244478E-2</v>
      </c>
      <c r="AA297" s="6">
        <f t="shared" si="95"/>
        <v>0.89349809519305912</v>
      </c>
      <c r="AB297" s="6">
        <f t="shared" si="96"/>
        <v>1</v>
      </c>
    </row>
    <row r="298" spans="1:28" x14ac:dyDescent="0.35">
      <c r="A298">
        <v>289</v>
      </c>
      <c r="B298" s="17">
        <f t="shared" si="97"/>
        <v>8766</v>
      </c>
      <c r="C298" s="17">
        <f t="shared" si="90"/>
        <v>8796.4375</v>
      </c>
      <c r="D298" s="17">
        <f t="shared" si="98"/>
        <v>8781.21875</v>
      </c>
      <c r="E298" s="17">
        <f t="shared" si="84"/>
        <v>288.5</v>
      </c>
      <c r="F298" s="17">
        <f t="shared" si="85"/>
        <v>84.041666666666671</v>
      </c>
      <c r="G298" s="21">
        <f>INDEX('Life Tables'!$F$8:$F$123,MATCH(Engine!F298,'Life Tables'!$B$8:$B$123,1))</f>
        <v>6.6138797336633415E-3</v>
      </c>
      <c r="H298" s="8">
        <f t="shared" si="86"/>
        <v>0.43795713389443841</v>
      </c>
      <c r="I298">
        <f t="shared" si="87"/>
        <v>1</v>
      </c>
      <c r="K298" s="22" t="e">
        <f>$I298*IF($E298&gt;_xlfn.AGGREGATE(4,6,'KM Data'!$B$6:$B$310),NA(),INDEX('KM Data'!$C$6:$C$310,MATCH($E298,'KM Data'!$B$6:$B$310,1)))</f>
        <v>#N/A</v>
      </c>
      <c r="L298" s="21">
        <f t="shared" si="88"/>
        <v>2.4749808258303641E-2</v>
      </c>
      <c r="M298" s="20">
        <f t="shared" si="91"/>
        <v>5.3379866286457078E-3</v>
      </c>
      <c r="N298" s="21">
        <f t="shared" si="99"/>
        <v>2.4621038410726093E-2</v>
      </c>
      <c r="O298" s="21">
        <f t="shared" si="100"/>
        <v>0.53317707436658379</v>
      </c>
      <c r="P298" s="21">
        <f t="shared" si="101"/>
        <v>2.4621038410726093E-2</v>
      </c>
      <c r="R298" s="22" t="e">
        <f>$I298*IF($E298&gt;_xlfn.AGGREGATE(4,6,'KM Data'!$E$6:$E$205),NA(),INDEX('KM Data'!$F$6:$F$205,MATCH($E298,'KM Data'!$E$6:$E$205,1)))</f>
        <v>#N/A</v>
      </c>
      <c r="S298" s="21">
        <f t="shared" si="89"/>
        <v>0.11308900012542378</v>
      </c>
      <c r="T298" s="8">
        <f t="shared" si="92"/>
        <v>3.4040021126687803E-3</v>
      </c>
      <c r="U298" s="21">
        <f t="shared" si="102"/>
        <v>0.10587754877011474</v>
      </c>
      <c r="V298" s="21">
        <f t="shared" si="103"/>
        <v>0.53317707436658379</v>
      </c>
      <c r="W298" s="21">
        <f t="shared" si="104"/>
        <v>0.10587754877011474</v>
      </c>
      <c r="Y298" s="23">
        <f t="shared" si="93"/>
        <v>2.4621038410726093E-2</v>
      </c>
      <c r="Z298" s="6">
        <f t="shared" si="94"/>
        <v>8.1256510359388648E-2</v>
      </c>
      <c r="AA298" s="6">
        <f t="shared" si="95"/>
        <v>0.89412245122988532</v>
      </c>
      <c r="AB298" s="6">
        <f t="shared" si="96"/>
        <v>1</v>
      </c>
    </row>
    <row r="299" spans="1:28" x14ac:dyDescent="0.35">
      <c r="A299">
        <v>290</v>
      </c>
      <c r="B299" s="17">
        <f t="shared" si="97"/>
        <v>8796.4375</v>
      </c>
      <c r="C299" s="17">
        <f t="shared" si="90"/>
        <v>8826.875</v>
      </c>
      <c r="D299" s="17">
        <f t="shared" si="98"/>
        <v>8811.65625</v>
      </c>
      <c r="E299" s="17">
        <f t="shared" si="84"/>
        <v>289.5</v>
      </c>
      <c r="F299" s="17">
        <f t="shared" si="85"/>
        <v>84.125</v>
      </c>
      <c r="G299" s="21">
        <f>INDEX('Life Tables'!$F$8:$F$123,MATCH(Engine!F299,'Life Tables'!$B$8:$B$123,1))</f>
        <v>6.6138797336633415E-3</v>
      </c>
      <c r="H299" s="8">
        <f t="shared" si="86"/>
        <v>0.43795713389443841</v>
      </c>
      <c r="I299">
        <f t="shared" si="87"/>
        <v>1</v>
      </c>
      <c r="K299" s="22" t="e">
        <f>$I299*IF($E299&gt;_xlfn.AGGREGATE(4,6,'KM Data'!$B$6:$B$310),NA(),INDEX('KM Data'!$C$6:$C$310,MATCH($E299,'KM Data'!$B$6:$B$310,1)))</f>
        <v>#N/A</v>
      </c>
      <c r="L299" s="21">
        <f t="shared" si="88"/>
        <v>2.461769411275927E-2</v>
      </c>
      <c r="M299" s="20">
        <f t="shared" si="91"/>
        <v>5.3241935960874898E-3</v>
      </c>
      <c r="N299" s="21">
        <f t="shared" si="99"/>
        <v>2.4458197823759645E-2</v>
      </c>
      <c r="O299" s="21">
        <f t="shared" si="100"/>
        <v>0.52965070531997671</v>
      </c>
      <c r="P299" s="21">
        <f t="shared" si="101"/>
        <v>2.4458197823759645E-2</v>
      </c>
      <c r="R299" s="22" t="e">
        <f>$I299*IF($E299&gt;_xlfn.AGGREGATE(4,6,'KM Data'!$E$6:$E$205),NA(),INDEX('KM Data'!$F$6:$F$205,MATCH($E299,'KM Data'!$E$6:$E$205,1)))</f>
        <v>#N/A</v>
      </c>
      <c r="S299" s="21">
        <f t="shared" si="89"/>
        <v>0.11270404493007724</v>
      </c>
      <c r="T299" s="8">
        <f t="shared" si="92"/>
        <v>3.3955831685859028E-3</v>
      </c>
      <c r="U299" s="21">
        <f t="shared" si="102"/>
        <v>0.10517728739605413</v>
      </c>
      <c r="V299" s="21">
        <f t="shared" si="103"/>
        <v>0.52965070531997671</v>
      </c>
      <c r="W299" s="21">
        <f t="shared" si="104"/>
        <v>0.10517728739605413</v>
      </c>
      <c r="Y299" s="23">
        <f t="shared" si="93"/>
        <v>2.4458197823759645E-2</v>
      </c>
      <c r="Z299" s="6">
        <f t="shared" si="94"/>
        <v>8.0719089572294483E-2</v>
      </c>
      <c r="AA299" s="6">
        <f t="shared" si="95"/>
        <v>0.89482271260394586</v>
      </c>
      <c r="AB299" s="6">
        <f t="shared" si="96"/>
        <v>1</v>
      </c>
    </row>
    <row r="300" spans="1:28" x14ac:dyDescent="0.35">
      <c r="A300">
        <v>291</v>
      </c>
      <c r="B300" s="17">
        <f t="shared" si="97"/>
        <v>8826.875</v>
      </c>
      <c r="C300" s="17">
        <f t="shared" si="90"/>
        <v>8857.3125</v>
      </c>
      <c r="D300" s="17">
        <f t="shared" si="98"/>
        <v>8842.09375</v>
      </c>
      <c r="E300" s="17">
        <f t="shared" si="84"/>
        <v>290.5</v>
      </c>
      <c r="F300" s="17">
        <f t="shared" si="85"/>
        <v>84.208333333333329</v>
      </c>
      <c r="G300" s="21">
        <f>INDEX('Life Tables'!$F$8:$F$123,MATCH(Engine!F300,'Life Tables'!$B$8:$B$123,1))</f>
        <v>6.6138797336633415E-3</v>
      </c>
      <c r="H300" s="8">
        <f t="shared" si="86"/>
        <v>0.43795713389443841</v>
      </c>
      <c r="I300">
        <f t="shared" si="87"/>
        <v>1</v>
      </c>
      <c r="K300" s="22" t="e">
        <f>$I300*IF($E300&gt;_xlfn.AGGREGATE(4,6,'KM Data'!$B$6:$B$310),NA(),INDEX('KM Data'!$C$6:$C$310,MATCH($E300,'KM Data'!$B$6:$B$310,1)))</f>
        <v>#N/A</v>
      </c>
      <c r="L300" s="21">
        <f t="shared" si="88"/>
        <v>2.4486624743413676E-2</v>
      </c>
      <c r="M300" s="20">
        <f t="shared" si="91"/>
        <v>5.3104802204597679E-3</v>
      </c>
      <c r="N300" s="21">
        <f t="shared" si="99"/>
        <v>2.4296434244851152E-2</v>
      </c>
      <c r="O300" s="21">
        <f t="shared" si="100"/>
        <v>0.52614765925414042</v>
      </c>
      <c r="P300" s="21">
        <f t="shared" si="101"/>
        <v>2.4296434244851152E-2</v>
      </c>
      <c r="R300" s="22" t="e">
        <f>$I300*IF($E300&gt;_xlfn.AGGREGATE(4,6,'KM Data'!$E$6:$E$205),NA(),INDEX('KM Data'!$F$6:$F$205,MATCH($E300,'KM Data'!$E$6:$E$205,1)))</f>
        <v>#N/A</v>
      </c>
      <c r="S300" s="21">
        <f t="shared" si="89"/>
        <v>0.11232134897208113</v>
      </c>
      <c r="T300" s="8">
        <f t="shared" si="92"/>
        <v>3.3872115040755046E-3</v>
      </c>
      <c r="U300" s="21">
        <f t="shared" si="102"/>
        <v>0.10448165746650367</v>
      </c>
      <c r="V300" s="21">
        <f t="shared" si="103"/>
        <v>0.52614765925414042</v>
      </c>
      <c r="W300" s="21">
        <f t="shared" si="104"/>
        <v>0.10448165746650367</v>
      </c>
      <c r="Y300" s="23">
        <f t="shared" si="93"/>
        <v>2.4296434244851152E-2</v>
      </c>
      <c r="Z300" s="6">
        <f t="shared" si="94"/>
        <v>8.018522322165253E-2</v>
      </c>
      <c r="AA300" s="6">
        <f t="shared" si="95"/>
        <v>0.89551834253349627</v>
      </c>
      <c r="AB300" s="6">
        <f t="shared" si="96"/>
        <v>1</v>
      </c>
    </row>
    <row r="301" spans="1:28" x14ac:dyDescent="0.35">
      <c r="A301">
        <v>292</v>
      </c>
      <c r="B301" s="17">
        <f t="shared" si="97"/>
        <v>8857.3125</v>
      </c>
      <c r="C301" s="17">
        <f t="shared" si="90"/>
        <v>8887.75</v>
      </c>
      <c r="D301" s="17">
        <f t="shared" si="98"/>
        <v>8872.53125</v>
      </c>
      <c r="E301" s="17">
        <f t="shared" si="84"/>
        <v>291.5</v>
      </c>
      <c r="F301" s="17">
        <f t="shared" si="85"/>
        <v>84.291666666666671</v>
      </c>
      <c r="G301" s="21">
        <f>INDEX('Life Tables'!$F$8:$F$123,MATCH(Engine!F301,'Life Tables'!$B$8:$B$123,1))</f>
        <v>6.6138797336633415E-3</v>
      </c>
      <c r="H301" s="8">
        <f t="shared" si="86"/>
        <v>0.43795713389443841</v>
      </c>
      <c r="I301">
        <f t="shared" si="87"/>
        <v>1</v>
      </c>
      <c r="K301" s="22" t="e">
        <f>$I301*IF($E301&gt;_xlfn.AGGREGATE(4,6,'KM Data'!$B$6:$B$310),NA(),INDEX('KM Data'!$C$6:$C$310,MATCH($E301,'KM Data'!$B$6:$B$310,1)))</f>
        <v>#N/A</v>
      </c>
      <c r="L301" s="21">
        <f t="shared" si="88"/>
        <v>2.4356589007047957E-2</v>
      </c>
      <c r="M301" s="20">
        <f t="shared" si="91"/>
        <v>5.2968457834394744E-3</v>
      </c>
      <c r="N301" s="21">
        <f t="shared" si="99"/>
        <v>2.4135740550798847E-2</v>
      </c>
      <c r="O301" s="21">
        <f t="shared" si="100"/>
        <v>0.52266778191368501</v>
      </c>
      <c r="P301" s="21">
        <f t="shared" si="101"/>
        <v>2.4135740550798847E-2</v>
      </c>
      <c r="R301" s="22" t="e">
        <f>$I301*IF($E301&gt;_xlfn.AGGREGATE(4,6,'KM Data'!$E$6:$E$205),NA(),INDEX('KM Data'!$F$6:$F$205,MATCH($E301,'KM Data'!$E$6:$E$205,1)))</f>
        <v>#N/A</v>
      </c>
      <c r="S301" s="21">
        <f t="shared" si="89"/>
        <v>0.11194089280668962</v>
      </c>
      <c r="T301" s="8">
        <f t="shared" si="92"/>
        <v>3.3788867018940127E-3</v>
      </c>
      <c r="U301" s="21">
        <f t="shared" si="102"/>
        <v>0.1037906283496464</v>
      </c>
      <c r="V301" s="21">
        <f t="shared" si="103"/>
        <v>0.52266778191368501</v>
      </c>
      <c r="W301" s="21">
        <f t="shared" si="104"/>
        <v>0.1037906283496464</v>
      </c>
      <c r="Y301" s="23">
        <f t="shared" si="93"/>
        <v>2.4135740550798847E-2</v>
      </c>
      <c r="Z301" s="6">
        <f t="shared" si="94"/>
        <v>7.9654887798847551E-2</v>
      </c>
      <c r="AA301" s="6">
        <f t="shared" si="95"/>
        <v>0.89620937165035364</v>
      </c>
      <c r="AB301" s="6">
        <f t="shared" si="96"/>
        <v>1</v>
      </c>
    </row>
    <row r="302" spans="1:28" x14ac:dyDescent="0.35">
      <c r="A302">
        <v>293</v>
      </c>
      <c r="B302" s="17">
        <f t="shared" si="97"/>
        <v>8887.75</v>
      </c>
      <c r="C302" s="17">
        <f t="shared" si="90"/>
        <v>8918.1875</v>
      </c>
      <c r="D302" s="17">
        <f t="shared" si="98"/>
        <v>8902.96875</v>
      </c>
      <c r="E302" s="17">
        <f t="shared" si="84"/>
        <v>292.5</v>
      </c>
      <c r="F302" s="17">
        <f t="shared" si="85"/>
        <v>84.375</v>
      </c>
      <c r="G302" s="21">
        <f>INDEX('Life Tables'!$F$8:$F$123,MATCH(Engine!F302,'Life Tables'!$B$8:$B$123,1))</f>
        <v>6.6138797336633415E-3</v>
      </c>
      <c r="H302" s="8">
        <f t="shared" si="86"/>
        <v>0.43795713389443841</v>
      </c>
      <c r="I302">
        <f t="shared" si="87"/>
        <v>1</v>
      </c>
      <c r="K302" s="22" t="e">
        <f>$I302*IF($E302&gt;_xlfn.AGGREGATE(4,6,'KM Data'!$B$6:$B$310),NA(),INDEX('KM Data'!$C$6:$C$310,MATCH($E302,'KM Data'!$B$6:$B$310,1)))</f>
        <v>#N/A</v>
      </c>
      <c r="L302" s="21">
        <f t="shared" si="88"/>
        <v>2.4227575911267007E-2</v>
      </c>
      <c r="M302" s="20">
        <f t="shared" si="91"/>
        <v>5.2832895755312581E-3</v>
      </c>
      <c r="N302" s="21">
        <f t="shared" si="99"/>
        <v>2.3976109665512963E-2</v>
      </c>
      <c r="O302" s="21">
        <f t="shared" si="100"/>
        <v>0.51921092006344727</v>
      </c>
      <c r="P302" s="21">
        <f t="shared" si="101"/>
        <v>2.3976109665512963E-2</v>
      </c>
      <c r="R302" s="22" t="e">
        <f>$I302*IF($E302&gt;_xlfn.AGGREGATE(4,6,'KM Data'!$E$6:$E$205),NA(),INDEX('KM Data'!$F$6:$F$205,MATCH($E302,'KM Data'!$E$6:$E$205,1)))</f>
        <v>#N/A</v>
      </c>
      <c r="S302" s="21">
        <f t="shared" si="89"/>
        <v>0.11156265721258696</v>
      </c>
      <c r="T302" s="8">
        <f t="shared" si="92"/>
        <v>3.3706083498128425E-3</v>
      </c>
      <c r="U302" s="21">
        <f t="shared" si="102"/>
        <v>0.1031041696162605</v>
      </c>
      <c r="V302" s="21">
        <f t="shared" si="103"/>
        <v>0.51921092006344727</v>
      </c>
      <c r="W302" s="21">
        <f t="shared" si="104"/>
        <v>0.1031041696162605</v>
      </c>
      <c r="Y302" s="23">
        <f t="shared" si="93"/>
        <v>2.3976109665512963E-2</v>
      </c>
      <c r="Z302" s="6">
        <f t="shared" si="94"/>
        <v>7.9128059950747537E-2</v>
      </c>
      <c r="AA302" s="6">
        <f t="shared" si="95"/>
        <v>0.89689583038373955</v>
      </c>
      <c r="AB302" s="6">
        <f t="shared" si="96"/>
        <v>1</v>
      </c>
    </row>
    <row r="303" spans="1:28" x14ac:dyDescent="0.35">
      <c r="A303">
        <v>294</v>
      </c>
      <c r="B303" s="17">
        <f t="shared" si="97"/>
        <v>8918.1875</v>
      </c>
      <c r="C303" s="17">
        <f t="shared" si="90"/>
        <v>8948.625</v>
      </c>
      <c r="D303" s="17">
        <f t="shared" si="98"/>
        <v>8933.40625</v>
      </c>
      <c r="E303" s="17">
        <f t="shared" si="84"/>
        <v>293.5</v>
      </c>
      <c r="F303" s="17">
        <f t="shared" si="85"/>
        <v>84.458333333333329</v>
      </c>
      <c r="G303" s="21">
        <f>INDEX('Life Tables'!$F$8:$F$123,MATCH(Engine!F303,'Life Tables'!$B$8:$B$123,1))</f>
        <v>6.6138797336633415E-3</v>
      </c>
      <c r="H303" s="8">
        <f t="shared" si="86"/>
        <v>0.43795713389443841</v>
      </c>
      <c r="I303">
        <f t="shared" si="87"/>
        <v>1</v>
      </c>
      <c r="K303" s="22" t="e">
        <f>$I303*IF($E303&gt;_xlfn.AGGREGATE(4,6,'KM Data'!$B$6:$B$310),NA(),INDEX('KM Data'!$C$6:$C$310,MATCH($E303,'KM Data'!$B$6:$B$310,1)))</f>
        <v>#N/A</v>
      </c>
      <c r="L303" s="21">
        <f t="shared" si="88"/>
        <v>2.4099574612014618E-2</v>
      </c>
      <c r="M303" s="20">
        <f t="shared" si="91"/>
        <v>5.2698108959008394E-3</v>
      </c>
      <c r="N303" s="21">
        <f t="shared" si="99"/>
        <v>2.3817534559704139E-2</v>
      </c>
      <c r="O303" s="21">
        <f t="shared" si="100"/>
        <v>0.51577692148174292</v>
      </c>
      <c r="P303" s="21">
        <f t="shared" si="101"/>
        <v>2.3817534559704139E-2</v>
      </c>
      <c r="R303" s="22" t="e">
        <f>$I303*IF($E303&gt;_xlfn.AGGREGATE(4,6,'KM Data'!$E$6:$E$205),NA(),INDEX('KM Data'!$F$6:$F$205,MATCH($E303,'KM Data'!$E$6:$E$205,1)))</f>
        <v>#N/A</v>
      </c>
      <c r="S303" s="21">
        <f t="shared" si="89"/>
        <v>0.11118662318865891</v>
      </c>
      <c r="T303" s="8">
        <f t="shared" si="92"/>
        <v>3.3623760405676606E-3</v>
      </c>
      <c r="U303" s="21">
        <f t="shared" si="102"/>
        <v>0.10242225103837932</v>
      </c>
      <c r="V303" s="21">
        <f t="shared" si="103"/>
        <v>0.51577692148174292</v>
      </c>
      <c r="W303" s="21">
        <f t="shared" si="104"/>
        <v>0.10242225103837932</v>
      </c>
      <c r="Y303" s="23">
        <f t="shared" si="93"/>
        <v>2.3817534559704139E-2</v>
      </c>
      <c r="Z303" s="6">
        <f t="shared" si="94"/>
        <v>7.8604716478675174E-2</v>
      </c>
      <c r="AA303" s="6">
        <f t="shared" si="95"/>
        <v>0.89757774896162068</v>
      </c>
      <c r="AB303" s="6">
        <f t="shared" si="96"/>
        <v>1</v>
      </c>
    </row>
    <row r="304" spans="1:28" x14ac:dyDescent="0.35">
      <c r="A304">
        <v>295</v>
      </c>
      <c r="B304" s="17">
        <f t="shared" si="97"/>
        <v>8948.625</v>
      </c>
      <c r="C304" s="17">
        <f t="shared" si="90"/>
        <v>8979.0625</v>
      </c>
      <c r="D304" s="17">
        <f t="shared" si="98"/>
        <v>8963.84375</v>
      </c>
      <c r="E304" s="17">
        <f t="shared" si="84"/>
        <v>294.5</v>
      </c>
      <c r="F304" s="17">
        <f t="shared" si="85"/>
        <v>84.541666666666671</v>
      </c>
      <c r="G304" s="21">
        <f>INDEX('Life Tables'!$F$8:$F$123,MATCH(Engine!F304,'Life Tables'!$B$8:$B$123,1))</f>
        <v>6.6138797336633415E-3</v>
      </c>
      <c r="H304" s="8">
        <f t="shared" si="86"/>
        <v>0.43795713389443841</v>
      </c>
      <c r="I304">
        <f t="shared" si="87"/>
        <v>1</v>
      </c>
      <c r="K304" s="22" t="e">
        <f>$I304*IF($E304&gt;_xlfn.AGGREGATE(4,6,'KM Data'!$B$6:$B$310),NA(),INDEX('KM Data'!$C$6:$C$310,MATCH($E304,'KM Data'!$B$6:$B$310,1)))</f>
        <v>#N/A</v>
      </c>
      <c r="L304" s="21">
        <f t="shared" si="88"/>
        <v>2.3972574411137648E-2</v>
      </c>
      <c r="M304" s="20">
        <f t="shared" si="91"/>
        <v>5.2564090522706497E-3</v>
      </c>
      <c r="N304" s="21">
        <f t="shared" si="99"/>
        <v>2.3660008250573884E-2</v>
      </c>
      <c r="O304" s="21">
        <f t="shared" si="100"/>
        <v>0.51236563495366361</v>
      </c>
      <c r="P304" s="21">
        <f t="shared" si="101"/>
        <v>2.3660008250573884E-2</v>
      </c>
      <c r="R304" s="22" t="e">
        <f>$I304*IF($E304&gt;_xlfn.AGGREGATE(4,6,'KM Data'!$E$6:$E$205),NA(),INDEX('KM Data'!$F$6:$F$205,MATCH($E304,'KM Data'!$E$6:$E$205,1)))</f>
        <v>#N/A</v>
      </c>
      <c r="S304" s="21">
        <f t="shared" si="89"/>
        <v>0.11081277195081773</v>
      </c>
      <c r="T304" s="8">
        <f t="shared" si="92"/>
        <v>3.3541893717619065E-3</v>
      </c>
      <c r="U304" s="21">
        <f t="shared" si="102"/>
        <v>0.1017448425879604</v>
      </c>
      <c r="V304" s="21">
        <f t="shared" si="103"/>
        <v>0.51236563495366361</v>
      </c>
      <c r="W304" s="21">
        <f t="shared" si="104"/>
        <v>0.1017448425879604</v>
      </c>
      <c r="Y304" s="23">
        <f t="shared" si="93"/>
        <v>2.3660008250573884E-2</v>
      </c>
      <c r="Z304" s="6">
        <f t="shared" si="94"/>
        <v>7.8084834337386527E-2</v>
      </c>
      <c r="AA304" s="6">
        <f t="shared" si="95"/>
        <v>0.89825515741203965</v>
      </c>
      <c r="AB304" s="6">
        <f t="shared" si="96"/>
        <v>1</v>
      </c>
    </row>
    <row r="305" spans="1:28" x14ac:dyDescent="0.35">
      <c r="A305">
        <v>296</v>
      </c>
      <c r="B305" s="17">
        <f t="shared" si="97"/>
        <v>8979.0625</v>
      </c>
      <c r="C305" s="17">
        <f t="shared" si="90"/>
        <v>9009.5</v>
      </c>
      <c r="D305" s="17">
        <f t="shared" si="98"/>
        <v>8994.28125</v>
      </c>
      <c r="E305" s="17">
        <f t="shared" si="84"/>
        <v>295.5</v>
      </c>
      <c r="F305" s="17">
        <f t="shared" si="85"/>
        <v>84.625</v>
      </c>
      <c r="G305" s="21">
        <f>INDEX('Life Tables'!$F$8:$F$123,MATCH(Engine!F305,'Life Tables'!$B$8:$B$123,1))</f>
        <v>6.6138797336633415E-3</v>
      </c>
      <c r="H305" s="8">
        <f t="shared" si="86"/>
        <v>0.43795713389443841</v>
      </c>
      <c r="I305">
        <f t="shared" si="87"/>
        <v>1</v>
      </c>
      <c r="K305" s="22" t="e">
        <f>$I305*IF($E305&gt;_xlfn.AGGREGATE(4,6,'KM Data'!$B$6:$B$310),NA(),INDEX('KM Data'!$C$6:$C$310,MATCH($E305,'KM Data'!$B$6:$B$310,1)))</f>
        <v>#N/A</v>
      </c>
      <c r="L305" s="21">
        <f t="shared" si="88"/>
        <v>2.3846564753996713E-2</v>
      </c>
      <c r="M305" s="20">
        <f t="shared" si="91"/>
        <v>5.2430833607609584E-3</v>
      </c>
      <c r="N305" s="21">
        <f t="shared" si="99"/>
        <v>2.3503523801507106E-2</v>
      </c>
      <c r="O305" s="21">
        <f t="shared" si="100"/>
        <v>0.50897691026441805</v>
      </c>
      <c r="P305" s="21">
        <f t="shared" si="101"/>
        <v>2.3503523801507106E-2</v>
      </c>
      <c r="R305" s="22" t="e">
        <f>$I305*IF($E305&gt;_xlfn.AGGREGATE(4,6,'KM Data'!$E$6:$E$205),NA(),INDEX('KM Data'!$F$6:$F$205,MATCH($E305,'KM Data'!$E$6:$E$205,1)))</f>
        <v>#N/A</v>
      </c>
      <c r="S305" s="21">
        <f t="shared" si="89"/>
        <v>0.11044108492888483</v>
      </c>
      <c r="T305" s="8">
        <f t="shared" si="92"/>
        <v>3.3460479458012893E-3</v>
      </c>
      <c r="U305" s="21">
        <f t="shared" si="102"/>
        <v>0.10107191443556313</v>
      </c>
      <c r="V305" s="21">
        <f t="shared" si="103"/>
        <v>0.50897691026441805</v>
      </c>
      <c r="W305" s="21">
        <f t="shared" si="104"/>
        <v>0.10107191443556313</v>
      </c>
      <c r="Y305" s="23">
        <f t="shared" si="93"/>
        <v>2.3503523801507106E-2</v>
      </c>
      <c r="Z305" s="6">
        <f t="shared" si="94"/>
        <v>7.7568390634056017E-2</v>
      </c>
      <c r="AA305" s="6">
        <f t="shared" si="95"/>
        <v>0.89892808556443682</v>
      </c>
      <c r="AB305" s="6">
        <f t="shared" si="96"/>
        <v>1</v>
      </c>
    </row>
    <row r="306" spans="1:28" x14ac:dyDescent="0.35">
      <c r="A306">
        <v>297</v>
      </c>
      <c r="B306" s="17">
        <f t="shared" si="97"/>
        <v>9009.5</v>
      </c>
      <c r="C306" s="17">
        <f t="shared" si="90"/>
        <v>9039.9375</v>
      </c>
      <c r="D306" s="17">
        <f t="shared" si="98"/>
        <v>9024.71875</v>
      </c>
      <c r="E306" s="17">
        <f t="shared" si="84"/>
        <v>296.5</v>
      </c>
      <c r="F306" s="17">
        <f t="shared" si="85"/>
        <v>84.708333333333329</v>
      </c>
      <c r="G306" s="21">
        <f>INDEX('Life Tables'!$F$8:$F$123,MATCH(Engine!F306,'Life Tables'!$B$8:$B$123,1))</f>
        <v>6.6138797336633415E-3</v>
      </c>
      <c r="H306" s="8">
        <f t="shared" si="86"/>
        <v>0.43795713389443841</v>
      </c>
      <c r="I306">
        <f t="shared" si="87"/>
        <v>1</v>
      </c>
      <c r="K306" s="22" t="e">
        <f>$I306*IF($E306&gt;_xlfn.AGGREGATE(4,6,'KM Data'!$B$6:$B$310),NA(),INDEX('KM Data'!$C$6:$C$310,MATCH($E306,'KM Data'!$B$6:$B$310,1)))</f>
        <v>#N/A</v>
      </c>
      <c r="L306" s="21">
        <f t="shared" si="88"/>
        <v>2.3721535227123725E-2</v>
      </c>
      <c r="M306" s="20">
        <f t="shared" si="91"/>
        <v>5.2298331457685254E-3</v>
      </c>
      <c r="N306" s="21">
        <f t="shared" si="99"/>
        <v>2.3348074321766644E-2</v>
      </c>
      <c r="O306" s="21">
        <f t="shared" si="100"/>
        <v>0.50561059819271759</v>
      </c>
      <c r="P306" s="21">
        <f t="shared" si="101"/>
        <v>2.3348074321766644E-2</v>
      </c>
      <c r="R306" s="22" t="e">
        <f>$I306*IF($E306&gt;_xlfn.AGGREGATE(4,6,'KM Data'!$E$6:$E$205),NA(),INDEX('KM Data'!$F$6:$F$205,MATCH($E306,'KM Data'!$E$6:$E$205,1)))</f>
        <v>#N/A</v>
      </c>
      <c r="S306" s="21">
        <f t="shared" si="89"/>
        <v>0.11007154376352646</v>
      </c>
      <c r="T306" s="8">
        <f t="shared" si="92"/>
        <v>3.337951369824177E-3</v>
      </c>
      <c r="U306" s="21">
        <f t="shared" si="102"/>
        <v>0.1004034369490352</v>
      </c>
      <c r="V306" s="21">
        <f t="shared" si="103"/>
        <v>0.50561059819271759</v>
      </c>
      <c r="W306" s="21">
        <f t="shared" si="104"/>
        <v>0.1004034369490352</v>
      </c>
      <c r="Y306" s="23">
        <f t="shared" si="93"/>
        <v>2.3348074321766644E-2</v>
      </c>
      <c r="Z306" s="6">
        <f t="shared" si="94"/>
        <v>7.7055362627268559E-2</v>
      </c>
      <c r="AA306" s="6">
        <f t="shared" si="95"/>
        <v>0.8995965630509648</v>
      </c>
      <c r="AB306" s="6">
        <f t="shared" si="96"/>
        <v>1</v>
      </c>
    </row>
    <row r="307" spans="1:28" x14ac:dyDescent="0.35">
      <c r="A307">
        <v>298</v>
      </c>
      <c r="B307" s="17">
        <f t="shared" si="97"/>
        <v>9039.9375</v>
      </c>
      <c r="C307" s="17">
        <f t="shared" si="90"/>
        <v>9070.375</v>
      </c>
      <c r="D307" s="17">
        <f t="shared" si="98"/>
        <v>9055.15625</v>
      </c>
      <c r="E307" s="17">
        <f t="shared" si="84"/>
        <v>297.5</v>
      </c>
      <c r="F307" s="17">
        <f t="shared" si="85"/>
        <v>84.791666666666671</v>
      </c>
      <c r="G307" s="21">
        <f>INDEX('Life Tables'!$F$8:$F$123,MATCH(Engine!F307,'Life Tables'!$B$8:$B$123,1))</f>
        <v>6.6138797336633415E-3</v>
      </c>
      <c r="H307" s="8">
        <f t="shared" si="86"/>
        <v>0.43795713389443841</v>
      </c>
      <c r="I307">
        <f t="shared" si="87"/>
        <v>1</v>
      </c>
      <c r="K307" s="22" t="e">
        <f>$I307*IF($E307&gt;_xlfn.AGGREGATE(4,6,'KM Data'!$B$6:$B$310),NA(),INDEX('KM Data'!$C$6:$C$310,MATCH($E307,'KM Data'!$B$6:$B$310,1)))</f>
        <v>#N/A</v>
      </c>
      <c r="L307" s="21">
        <f t="shared" si="88"/>
        <v>2.3597475555924396E-2</v>
      </c>
      <c r="M307" s="20">
        <f t="shared" si="91"/>
        <v>5.2166577398713443E-3</v>
      </c>
      <c r="N307" s="21">
        <f t="shared" si="99"/>
        <v>2.3193652966189846E-2</v>
      </c>
      <c r="O307" s="21">
        <f t="shared" si="100"/>
        <v>0.50226655050420532</v>
      </c>
      <c r="P307" s="21">
        <f t="shared" si="101"/>
        <v>2.3193652966189846E-2</v>
      </c>
      <c r="R307" s="22" t="e">
        <f>$I307*IF($E307&gt;_xlfn.AGGREGATE(4,6,'KM Data'!$E$6:$E$205),NA(),INDEX('KM Data'!$F$6:$F$205,MATCH($E307,'KM Data'!$E$6:$E$205,1)))</f>
        <v>#N/A</v>
      </c>
      <c r="S307" s="21">
        <f t="shared" si="89"/>
        <v>0.10970413030324233</v>
      </c>
      <c r="T307" s="8">
        <f t="shared" si="92"/>
        <v>3.329899255621882E-3</v>
      </c>
      <c r="U307" s="21">
        <f t="shared" si="102"/>
        <v>9.9739380692207821E-2</v>
      </c>
      <c r="V307" s="21">
        <f t="shared" si="103"/>
        <v>0.50226655050420532</v>
      </c>
      <c r="W307" s="21">
        <f t="shared" si="104"/>
        <v>9.9739380692207821E-2</v>
      </c>
      <c r="Y307" s="23">
        <f t="shared" si="93"/>
        <v>2.3193652966189846E-2</v>
      </c>
      <c r="Z307" s="6">
        <f t="shared" si="94"/>
        <v>7.6545727726017976E-2</v>
      </c>
      <c r="AA307" s="6">
        <f t="shared" si="95"/>
        <v>0.90026061930779222</v>
      </c>
      <c r="AB307" s="6">
        <f t="shared" si="96"/>
        <v>1</v>
      </c>
    </row>
    <row r="308" spans="1:28" x14ac:dyDescent="0.35">
      <c r="A308">
        <v>299</v>
      </c>
      <c r="B308" s="17">
        <f t="shared" si="97"/>
        <v>9070.375</v>
      </c>
      <c r="C308" s="17">
        <f t="shared" si="90"/>
        <v>9100.8125</v>
      </c>
      <c r="D308" s="17">
        <f t="shared" si="98"/>
        <v>9085.59375</v>
      </c>
      <c r="E308" s="17">
        <f t="shared" si="84"/>
        <v>298.5</v>
      </c>
      <c r="F308" s="17">
        <f t="shared" si="85"/>
        <v>84.875</v>
      </c>
      <c r="G308" s="21">
        <f>INDEX('Life Tables'!$F$8:$F$123,MATCH(Engine!F308,'Life Tables'!$B$8:$B$123,1))</f>
        <v>6.6138797336633415E-3</v>
      </c>
      <c r="H308" s="8">
        <f t="shared" si="86"/>
        <v>0.43795713389443841</v>
      </c>
      <c r="I308">
        <f t="shared" si="87"/>
        <v>1</v>
      </c>
      <c r="K308" s="22" t="e">
        <f>$I308*IF($E308&gt;_xlfn.AGGREGATE(4,6,'KM Data'!$B$6:$B$310),NA(),INDEX('KM Data'!$C$6:$C$310,MATCH($E308,'KM Data'!$B$6:$B$310,1)))</f>
        <v>#N/A</v>
      </c>
      <c r="L308" s="21">
        <f t="shared" si="88"/>
        <v>2.3474375602424158E-2</v>
      </c>
      <c r="M308" s="20">
        <f t="shared" si="91"/>
        <v>5.2035564836427906E-3</v>
      </c>
      <c r="N308" s="21">
        <f t="shared" si="99"/>
        <v>2.3040252934887141E-2</v>
      </c>
      <c r="O308" s="21">
        <f t="shared" si="100"/>
        <v>0.49894461994492856</v>
      </c>
      <c r="P308" s="21">
        <f t="shared" si="101"/>
        <v>2.3040252934887141E-2</v>
      </c>
      <c r="R308" s="22" t="e">
        <f>$I308*IF($E308&gt;_xlfn.AGGREGATE(4,6,'KM Data'!$E$6:$E$205),NA(),INDEX('KM Data'!$F$6:$F$205,MATCH($E308,'KM Data'!$E$6:$E$205,1)))</f>
        <v>#N/A</v>
      </c>
      <c r="S308" s="21">
        <f t="shared" si="89"/>
        <v>0.10933882660140692</v>
      </c>
      <c r="T308" s="8">
        <f t="shared" si="92"/>
        <v>3.3218912195762673E-3</v>
      </c>
      <c r="U308" s="21">
        <f t="shared" si="102"/>
        <v>9.9079716423599501E-2</v>
      </c>
      <c r="V308" s="21">
        <f t="shared" si="103"/>
        <v>0.49894461994492856</v>
      </c>
      <c r="W308" s="21">
        <f t="shared" si="104"/>
        <v>9.9079716423599501E-2</v>
      </c>
      <c r="Y308" s="23">
        <f t="shared" si="93"/>
        <v>2.3040252934887141E-2</v>
      </c>
      <c r="Z308" s="6">
        <f t="shared" si="94"/>
        <v>7.6039463488712364E-2</v>
      </c>
      <c r="AA308" s="6">
        <f t="shared" si="95"/>
        <v>0.90092028357640053</v>
      </c>
      <c r="AB308" s="6">
        <f t="shared" si="96"/>
        <v>1</v>
      </c>
    </row>
    <row r="309" spans="1:28" x14ac:dyDescent="0.35">
      <c r="A309">
        <v>300</v>
      </c>
      <c r="B309" s="17">
        <f t="shared" si="97"/>
        <v>9100.8125</v>
      </c>
      <c r="C309" s="17">
        <f t="shared" si="90"/>
        <v>9131.25</v>
      </c>
      <c r="D309" s="17">
        <f t="shared" si="98"/>
        <v>9116.03125</v>
      </c>
      <c r="E309" s="17">
        <f t="shared" si="84"/>
        <v>299.5</v>
      </c>
      <c r="F309" s="17">
        <f t="shared" si="85"/>
        <v>84.958333333333329</v>
      </c>
      <c r="G309" s="21">
        <f>INDEX('Life Tables'!$F$8:$F$123,MATCH(Engine!F309,'Life Tables'!$B$8:$B$123,1))</f>
        <v>6.6138797336633415E-3</v>
      </c>
      <c r="H309" s="8">
        <f t="shared" si="86"/>
        <v>0.42314698926998884</v>
      </c>
      <c r="I309">
        <f t="shared" si="87"/>
        <v>1</v>
      </c>
      <c r="K309" s="22" t="e">
        <f>$I309*IF($E309&gt;_xlfn.AGGREGATE(4,6,'KM Data'!$B$6:$B$310),NA(),INDEX('KM Data'!$C$6:$C$310,MATCH($E309,'KM Data'!$B$6:$B$310,1)))</f>
        <v>#N/A</v>
      </c>
      <c r="L309" s="21">
        <f t="shared" si="88"/>
        <v>2.3352225363058698E-2</v>
      </c>
      <c r="M309" s="20">
        <f t="shared" si="91"/>
        <v>5.1905287255865629E-3</v>
      </c>
      <c r="N309" s="21">
        <f t="shared" si="99"/>
        <v>2.2887867472942615E-2</v>
      </c>
      <c r="O309" s="21">
        <f t="shared" si="100"/>
        <v>0.49564466023485443</v>
      </c>
      <c r="P309" s="21">
        <f t="shared" si="101"/>
        <v>2.2887867472942615E-2</v>
      </c>
      <c r="R309" s="22" t="e">
        <f>$I309*IF($E309&gt;_xlfn.AGGREGATE(4,6,'KM Data'!$E$6:$E$205),NA(),INDEX('KM Data'!$F$6:$F$205,MATCH($E309,'KM Data'!$E$6:$E$205,1)))</f>
        <v>#N/A</v>
      </c>
      <c r="S309" s="21">
        <f t="shared" si="89"/>
        <v>0.10897561491336094</v>
      </c>
      <c r="T309" s="8">
        <f t="shared" si="92"/>
        <v>3.313926882586582E-3</v>
      </c>
      <c r="U309" s="21">
        <f t="shared" si="102"/>
        <v>9.8424415095128351E-2</v>
      </c>
      <c r="V309" s="21">
        <f t="shared" si="103"/>
        <v>0.49564466023485443</v>
      </c>
      <c r="W309" s="21">
        <f t="shared" si="104"/>
        <v>9.8424415095128351E-2</v>
      </c>
      <c r="Y309" s="23">
        <f t="shared" si="93"/>
        <v>2.2887867472942615E-2</v>
      </c>
      <c r="Z309" s="6">
        <f t="shared" si="94"/>
        <v>7.5536547622185729E-2</v>
      </c>
      <c r="AA309" s="6">
        <f t="shared" si="95"/>
        <v>0.90157558490487166</v>
      </c>
      <c r="AB309" s="6">
        <f t="shared" si="96"/>
        <v>1</v>
      </c>
    </row>
    <row r="310" spans="1:28" x14ac:dyDescent="0.35">
      <c r="A310">
        <v>301</v>
      </c>
      <c r="B310" s="17">
        <f t="shared" si="97"/>
        <v>9131.25</v>
      </c>
      <c r="C310" s="17">
        <f t="shared" si="90"/>
        <v>9161.6875</v>
      </c>
      <c r="D310" s="17">
        <f t="shared" si="98"/>
        <v>9146.46875</v>
      </c>
      <c r="E310" s="17">
        <f t="shared" si="84"/>
        <v>300.5</v>
      </c>
      <c r="F310" s="17">
        <f t="shared" si="85"/>
        <v>85.041666666666671</v>
      </c>
      <c r="G310" s="21">
        <f>INDEX('Life Tables'!$F$8:$F$123,MATCH(Engine!F310,'Life Tables'!$B$8:$B$123,1))</f>
        <v>7.4496721455530324E-3</v>
      </c>
      <c r="H310" s="8">
        <f t="shared" si="86"/>
        <v>0.42314698926998884</v>
      </c>
      <c r="I310">
        <f t="shared" si="87"/>
        <v>1</v>
      </c>
      <c r="K310" s="22" t="e">
        <f>$I310*IF($E310&gt;_xlfn.AGGREGATE(4,6,'KM Data'!$B$6:$B$310),NA(),INDEX('KM Data'!$C$6:$C$310,MATCH($E310,'KM Data'!$B$6:$B$310,1)))</f>
        <v>#N/A</v>
      </c>
      <c r="L310" s="21">
        <f t="shared" si="88"/>
        <v>2.323101496650537E-2</v>
      </c>
      <c r="M310" s="20">
        <f t="shared" si="91"/>
        <v>5.1775738219795864E-3</v>
      </c>
      <c r="N310" s="21">
        <f t="shared" si="99"/>
        <v>2.2736489870116547E-2</v>
      </c>
      <c r="O310" s="21">
        <f t="shared" si="100"/>
        <v>0.49236652606142867</v>
      </c>
      <c r="P310" s="21">
        <f t="shared" si="101"/>
        <v>2.2736489870116547E-2</v>
      </c>
      <c r="R310" s="22" t="e">
        <f>$I310*IF($E310&gt;_xlfn.AGGREGATE(4,6,'KM Data'!$E$6:$E$205),NA(),INDEX('KM Data'!$F$6:$F$205,MATCH($E310,'KM Data'!$E$6:$E$205,1)))</f>
        <v>#N/A</v>
      </c>
      <c r="S310" s="21">
        <f t="shared" si="89"/>
        <v>0.10861447769355315</v>
      </c>
      <c r="T310" s="8">
        <f t="shared" si="92"/>
        <v>3.3060058700070671E-3</v>
      </c>
      <c r="U310" s="21">
        <f t="shared" si="102"/>
        <v>9.7773447850833015E-2</v>
      </c>
      <c r="V310" s="21">
        <f t="shared" si="103"/>
        <v>0.49236652606142867</v>
      </c>
      <c r="W310" s="21">
        <f t="shared" si="104"/>
        <v>9.7773447850833015E-2</v>
      </c>
      <c r="Y310" s="23">
        <f t="shared" si="93"/>
        <v>2.2736489870116547E-2</v>
      </c>
      <c r="Z310" s="6">
        <f t="shared" si="94"/>
        <v>7.5036957980716468E-2</v>
      </c>
      <c r="AA310" s="6">
        <f t="shared" si="95"/>
        <v>0.90222655214916703</v>
      </c>
      <c r="AB310" s="6">
        <f t="shared" si="96"/>
        <v>1</v>
      </c>
    </row>
    <row r="311" spans="1:28" x14ac:dyDescent="0.35">
      <c r="A311">
        <v>302</v>
      </c>
      <c r="B311" s="17">
        <f t="shared" si="97"/>
        <v>9161.6875</v>
      </c>
      <c r="C311" s="17">
        <f t="shared" si="90"/>
        <v>9192.125</v>
      </c>
      <c r="D311" s="17">
        <f t="shared" si="98"/>
        <v>9176.90625</v>
      </c>
      <c r="E311" s="17">
        <f t="shared" si="84"/>
        <v>301.5</v>
      </c>
      <c r="F311" s="17">
        <f t="shared" si="85"/>
        <v>85.125</v>
      </c>
      <c r="G311" s="21">
        <f>INDEX('Life Tables'!$F$8:$F$123,MATCH(Engine!F311,'Life Tables'!$B$8:$B$123,1))</f>
        <v>7.4496721455530324E-3</v>
      </c>
      <c r="H311" s="8">
        <f t="shared" si="86"/>
        <v>0.42314698926998884</v>
      </c>
      <c r="I311">
        <f t="shared" si="87"/>
        <v>1</v>
      </c>
      <c r="K311" s="22" t="e">
        <f>$I311*IF($E311&gt;_xlfn.AGGREGATE(4,6,'KM Data'!$B$6:$B$310),NA(),INDEX('KM Data'!$C$6:$C$310,MATCH($E311,'KM Data'!$B$6:$B$310,1)))</f>
        <v>#N/A</v>
      </c>
      <c r="L311" s="21">
        <f t="shared" si="88"/>
        <v>2.3110734671556776E-2</v>
      </c>
      <c r="M311" s="20">
        <f t="shared" si="91"/>
        <v>5.1646911367897452E-3</v>
      </c>
      <c r="N311" s="21">
        <f t="shared" si="99"/>
        <v>2.2567110474843492E-2</v>
      </c>
      <c r="O311" s="21">
        <f t="shared" si="100"/>
        <v>0.48869855686682612</v>
      </c>
      <c r="P311" s="21">
        <f t="shared" si="101"/>
        <v>2.2567110474843492E-2</v>
      </c>
      <c r="R311" s="22" t="e">
        <f>$I311*IF($E311&gt;_xlfn.AGGREGATE(4,6,'KM Data'!$E$6:$E$205),NA(),INDEX('KM Data'!$F$6:$F$205,MATCH($E311,'KM Data'!$E$6:$E$205,1)))</f>
        <v>#N/A</v>
      </c>
      <c r="S311" s="21">
        <f t="shared" si="89"/>
        <v>0.10825539759273051</v>
      </c>
      <c r="T311" s="8">
        <f t="shared" si="92"/>
        <v>3.2981278115695734E-3</v>
      </c>
      <c r="U311" s="21">
        <f t="shared" si="102"/>
        <v>9.7045067719803979E-2</v>
      </c>
      <c r="V311" s="21">
        <f t="shared" si="103"/>
        <v>0.48869855686682612</v>
      </c>
      <c r="W311" s="21">
        <f t="shared" si="104"/>
        <v>9.7045067719803979E-2</v>
      </c>
      <c r="Y311" s="23">
        <f t="shared" si="93"/>
        <v>2.2567110474843492E-2</v>
      </c>
      <c r="Z311" s="6">
        <f t="shared" si="94"/>
        <v>7.447795724496048E-2</v>
      </c>
      <c r="AA311" s="6">
        <f t="shared" si="95"/>
        <v>0.90295493228019597</v>
      </c>
      <c r="AB311" s="6">
        <f t="shared" si="96"/>
        <v>1</v>
      </c>
    </row>
    <row r="312" spans="1:28" x14ac:dyDescent="0.35">
      <c r="A312">
        <v>303</v>
      </c>
      <c r="B312" s="17">
        <f t="shared" si="97"/>
        <v>9192.125</v>
      </c>
      <c r="C312" s="17">
        <f t="shared" si="90"/>
        <v>9222.5625</v>
      </c>
      <c r="D312" s="17">
        <f t="shared" si="98"/>
        <v>9207.34375</v>
      </c>
      <c r="E312" s="17">
        <f t="shared" si="84"/>
        <v>302.5</v>
      </c>
      <c r="F312" s="17">
        <f t="shared" si="85"/>
        <v>85.208333333333329</v>
      </c>
      <c r="G312" s="21">
        <f>INDEX('Life Tables'!$F$8:$F$123,MATCH(Engine!F312,'Life Tables'!$B$8:$B$123,1))</f>
        <v>7.4496721455530324E-3</v>
      </c>
      <c r="H312" s="8">
        <f t="shared" si="86"/>
        <v>0.42314698926998884</v>
      </c>
      <c r="I312">
        <f t="shared" si="87"/>
        <v>1</v>
      </c>
      <c r="K312" s="22" t="e">
        <f>$I312*IF($E312&gt;_xlfn.AGGREGATE(4,6,'KM Data'!$B$6:$B$310),NA(),INDEX('KM Data'!$C$6:$C$310,MATCH($E312,'KM Data'!$B$6:$B$310,1)))</f>
        <v>#N/A</v>
      </c>
      <c r="L312" s="21">
        <f t="shared" si="88"/>
        <v>2.2991374865033887E-2</v>
      </c>
      <c r="M312" s="20">
        <f t="shared" si="91"/>
        <v>5.1518800415077948E-3</v>
      </c>
      <c r="N312" s="21">
        <f t="shared" si="99"/>
        <v>2.2398992900533432E-2</v>
      </c>
      <c r="O312" s="21">
        <f t="shared" si="100"/>
        <v>0.48505791284016336</v>
      </c>
      <c r="P312" s="21">
        <f t="shared" si="101"/>
        <v>2.2398992900533432E-2</v>
      </c>
      <c r="R312" s="22" t="e">
        <f>$I312*IF($E312&gt;_xlfn.AGGREGATE(4,6,'KM Data'!$E$6:$E$205),NA(),INDEX('KM Data'!$F$6:$F$205,MATCH($E312,'KM Data'!$E$6:$E$205,1)))</f>
        <v>#N/A</v>
      </c>
      <c r="S312" s="21">
        <f t="shared" si="89"/>
        <v>0.1078983574551774</v>
      </c>
      <c r="T312" s="8">
        <f t="shared" si="92"/>
        <v>3.2902923413330454E-3</v>
      </c>
      <c r="U312" s="21">
        <f t="shared" si="102"/>
        <v>9.6322113781948451E-2</v>
      </c>
      <c r="V312" s="21">
        <f t="shared" si="103"/>
        <v>0.48505791284016336</v>
      </c>
      <c r="W312" s="21">
        <f t="shared" si="104"/>
        <v>9.6322113781948451E-2</v>
      </c>
      <c r="Y312" s="23">
        <f t="shared" si="93"/>
        <v>2.2398992900533432E-2</v>
      </c>
      <c r="Z312" s="6">
        <f t="shared" si="94"/>
        <v>7.3923120881415019E-2</v>
      </c>
      <c r="AA312" s="6">
        <f t="shared" si="95"/>
        <v>0.90367788621805156</v>
      </c>
      <c r="AB312" s="6">
        <f t="shared" si="96"/>
        <v>1</v>
      </c>
    </row>
    <row r="313" spans="1:28" x14ac:dyDescent="0.35">
      <c r="A313">
        <v>304</v>
      </c>
      <c r="B313" s="17">
        <f t="shared" si="97"/>
        <v>9222.5625</v>
      </c>
      <c r="C313" s="17">
        <f t="shared" si="90"/>
        <v>9253</v>
      </c>
      <c r="D313" s="17">
        <f t="shared" si="98"/>
        <v>9237.78125</v>
      </c>
      <c r="E313" s="17">
        <f t="shared" si="84"/>
        <v>303.5</v>
      </c>
      <c r="F313" s="17">
        <f t="shared" si="85"/>
        <v>85.291666666666671</v>
      </c>
      <c r="G313" s="21">
        <f>INDEX('Life Tables'!$F$8:$F$123,MATCH(Engine!F313,'Life Tables'!$B$8:$B$123,1))</f>
        <v>7.4496721455530324E-3</v>
      </c>
      <c r="H313" s="8">
        <f t="shared" si="86"/>
        <v>0.42314698926998884</v>
      </c>
      <c r="I313">
        <f t="shared" si="87"/>
        <v>1</v>
      </c>
      <c r="K313" s="22" t="e">
        <f>$I313*IF($E313&gt;_xlfn.AGGREGATE(4,6,'KM Data'!$B$6:$B$310),NA(),INDEX('KM Data'!$C$6:$C$310,MATCH($E313,'KM Data'!$B$6:$B$310,1)))</f>
        <v>#N/A</v>
      </c>
      <c r="L313" s="21">
        <f t="shared" si="88"/>
        <v>2.2872926059739895E-2</v>
      </c>
      <c r="M313" s="20">
        <f t="shared" si="91"/>
        <v>5.139139915094848E-3</v>
      </c>
      <c r="N313" s="21">
        <f t="shared" si="99"/>
        <v>2.2232127747033887E-2</v>
      </c>
      <c r="O313" s="21">
        <f t="shared" si="100"/>
        <v>0.48144439041789788</v>
      </c>
      <c r="P313" s="21">
        <f t="shared" si="101"/>
        <v>2.2232127747033887E-2</v>
      </c>
      <c r="R313" s="22" t="e">
        <f>$I313*IF($E313&gt;_xlfn.AGGREGATE(4,6,'KM Data'!$E$6:$E$205),NA(),INDEX('KM Data'!$F$6:$F$205,MATCH($E313,'KM Data'!$E$6:$E$205,1)))</f>
        <v>#N/A</v>
      </c>
      <c r="S313" s="21">
        <f t="shared" si="89"/>
        <v>0.10754334031600021</v>
      </c>
      <c r="T313" s="8">
        <f t="shared" si="92"/>
        <v>3.2824990976122459E-3</v>
      </c>
      <c r="U313" s="21">
        <f t="shared" si="102"/>
        <v>9.5604545613906286E-2</v>
      </c>
      <c r="V313" s="21">
        <f t="shared" si="103"/>
        <v>0.48144439041789788</v>
      </c>
      <c r="W313" s="21">
        <f t="shared" si="104"/>
        <v>9.5604545613906286E-2</v>
      </c>
      <c r="Y313" s="23">
        <f t="shared" si="93"/>
        <v>2.2232127747033887E-2</v>
      </c>
      <c r="Z313" s="6">
        <f t="shared" si="94"/>
        <v>7.3372417866872403E-2</v>
      </c>
      <c r="AA313" s="6">
        <f t="shared" si="95"/>
        <v>0.9043954543860937</v>
      </c>
      <c r="AB313" s="6">
        <f t="shared" si="96"/>
        <v>1</v>
      </c>
    </row>
    <row r="314" spans="1:28" x14ac:dyDescent="0.35">
      <c r="A314">
        <v>305</v>
      </c>
      <c r="B314" s="17">
        <f t="shared" si="97"/>
        <v>9253</v>
      </c>
      <c r="C314" s="17">
        <f t="shared" si="90"/>
        <v>9283.4375</v>
      </c>
      <c r="D314" s="17">
        <f t="shared" si="98"/>
        <v>9268.21875</v>
      </c>
      <c r="E314" s="17">
        <f t="shared" si="84"/>
        <v>304.5</v>
      </c>
      <c r="F314" s="17">
        <f t="shared" si="85"/>
        <v>85.375</v>
      </c>
      <c r="G314" s="21">
        <f>INDEX('Life Tables'!$F$8:$F$123,MATCH(Engine!F314,'Life Tables'!$B$8:$B$123,1))</f>
        <v>7.4496721455530324E-3</v>
      </c>
      <c r="H314" s="8">
        <f t="shared" si="86"/>
        <v>0.42314698926998884</v>
      </c>
      <c r="I314">
        <f t="shared" si="87"/>
        <v>1</v>
      </c>
      <c r="K314" s="22" t="e">
        <f>$I314*IF($E314&gt;_xlfn.AGGREGATE(4,6,'KM Data'!$B$6:$B$310),NA(),INDEX('KM Data'!$C$6:$C$310,MATCH($E314,'KM Data'!$B$6:$B$310,1)))</f>
        <v>#N/A</v>
      </c>
      <c r="L314" s="21">
        <f t="shared" si="88"/>
        <v>2.2755378892451272E-2</v>
      </c>
      <c r="M314" s="20">
        <f t="shared" si="91"/>
        <v>5.1264701438308302E-3</v>
      </c>
      <c r="N314" s="21">
        <f t="shared" si="99"/>
        <v>2.206650568422043E-2</v>
      </c>
      <c r="O314" s="21">
        <f t="shared" si="100"/>
        <v>0.47785778755296893</v>
      </c>
      <c r="P314" s="21">
        <f t="shared" si="101"/>
        <v>2.206650568422043E-2</v>
      </c>
      <c r="R314" s="22" t="e">
        <f>$I314*IF($E314&gt;_xlfn.AGGREGATE(4,6,'KM Data'!$E$6:$E$205),NA(),INDEX('KM Data'!$F$6:$F$205,MATCH($E314,'KM Data'!$E$6:$E$205,1)))</f>
        <v>#N/A</v>
      </c>
      <c r="S314" s="21">
        <f t="shared" si="89"/>
        <v>0.10719032939845874</v>
      </c>
      <c r="T314" s="8">
        <f t="shared" si="92"/>
        <v>3.274747722910365E-3</v>
      </c>
      <c r="U314" s="21">
        <f t="shared" si="102"/>
        <v>9.4892323093458117E-2</v>
      </c>
      <c r="V314" s="21">
        <f t="shared" si="103"/>
        <v>0.47785778755296893</v>
      </c>
      <c r="W314" s="21">
        <f t="shared" si="104"/>
        <v>9.4892323093458117E-2</v>
      </c>
      <c r="Y314" s="23">
        <f t="shared" si="93"/>
        <v>2.206650568422043E-2</v>
      </c>
      <c r="Z314" s="6">
        <f t="shared" si="94"/>
        <v>7.2825817409237686E-2</v>
      </c>
      <c r="AA314" s="6">
        <f t="shared" si="95"/>
        <v>0.90510767690654192</v>
      </c>
      <c r="AB314" s="6">
        <f t="shared" si="96"/>
        <v>1</v>
      </c>
    </row>
    <row r="315" spans="1:28" x14ac:dyDescent="0.35">
      <c r="A315">
        <v>306</v>
      </c>
      <c r="B315" s="17">
        <f t="shared" si="97"/>
        <v>9283.4375</v>
      </c>
      <c r="C315" s="17">
        <f t="shared" si="90"/>
        <v>9313.875</v>
      </c>
      <c r="D315" s="17">
        <f t="shared" si="98"/>
        <v>9298.65625</v>
      </c>
      <c r="E315" s="17">
        <f t="shared" si="84"/>
        <v>305.5</v>
      </c>
      <c r="F315" s="17">
        <f t="shared" si="85"/>
        <v>85.458333333333329</v>
      </c>
      <c r="G315" s="21">
        <f>INDEX('Life Tables'!$F$8:$F$123,MATCH(Engine!F315,'Life Tables'!$B$8:$B$123,1))</f>
        <v>7.4496721455530324E-3</v>
      </c>
      <c r="H315" s="8">
        <f t="shared" si="86"/>
        <v>0.42314698926998884</v>
      </c>
      <c r="I315">
        <f t="shared" si="87"/>
        <v>1</v>
      </c>
      <c r="K315" s="22" t="e">
        <f>$I315*IF($E315&gt;_xlfn.AGGREGATE(4,6,'KM Data'!$B$6:$B$310),NA(),INDEX('KM Data'!$C$6:$C$310,MATCH($E315,'KM Data'!$B$6:$B$310,1)))</f>
        <v>#N/A</v>
      </c>
      <c r="L315" s="21">
        <f t="shared" si="88"/>
        <v>2.2638724121947562E-2</v>
      </c>
      <c r="M315" s="20">
        <f t="shared" si="91"/>
        <v>5.1138701212090076E-3</v>
      </c>
      <c r="N315" s="21">
        <f t="shared" si="99"/>
        <v>2.1902117451475005E-2</v>
      </c>
      <c r="O315" s="21">
        <f t="shared" si="100"/>
        <v>0.4742979037035</v>
      </c>
      <c r="P315" s="21">
        <f t="shared" si="101"/>
        <v>2.1902117451475005E-2</v>
      </c>
      <c r="R315" s="22" t="e">
        <f>$I315*IF($E315&gt;_xlfn.AGGREGATE(4,6,'KM Data'!$E$6:$E$205),NA(),INDEX('KM Data'!$F$6:$F$205,MATCH($E315,'KM Data'!$E$6:$E$205,1)))</f>
        <v>#N/A</v>
      </c>
      <c r="S315" s="21">
        <f t="shared" si="89"/>
        <v>0.10683930811134312</v>
      </c>
      <c r="T315" s="8">
        <f t="shared" si="92"/>
        <v>3.2670378638655073E-3</v>
      </c>
      <c r="U315" s="21">
        <f t="shared" si="102"/>
        <v>9.4185406397281957E-2</v>
      </c>
      <c r="V315" s="21">
        <f t="shared" si="103"/>
        <v>0.4742979037035</v>
      </c>
      <c r="W315" s="21">
        <f t="shared" si="104"/>
        <v>9.4185406397281957E-2</v>
      </c>
      <c r="Y315" s="23">
        <f t="shared" si="93"/>
        <v>2.1902117451475005E-2</v>
      </c>
      <c r="Z315" s="6">
        <f t="shared" si="94"/>
        <v>7.2283288945806948E-2</v>
      </c>
      <c r="AA315" s="6">
        <f t="shared" si="95"/>
        <v>0.90581459360271799</v>
      </c>
      <c r="AB315" s="6">
        <f t="shared" si="96"/>
        <v>1</v>
      </c>
    </row>
    <row r="316" spans="1:28" x14ac:dyDescent="0.35">
      <c r="A316">
        <v>307</v>
      </c>
      <c r="B316" s="17">
        <f t="shared" si="97"/>
        <v>9313.875</v>
      </c>
      <c r="C316" s="17">
        <f t="shared" si="90"/>
        <v>9344.3125</v>
      </c>
      <c r="D316" s="17">
        <f t="shared" si="98"/>
        <v>9329.09375</v>
      </c>
      <c r="E316" s="17">
        <f t="shared" si="84"/>
        <v>306.5</v>
      </c>
      <c r="F316" s="17">
        <f t="shared" si="85"/>
        <v>85.541666666666671</v>
      </c>
      <c r="G316" s="21">
        <f>INDEX('Life Tables'!$F$8:$F$123,MATCH(Engine!F316,'Life Tables'!$B$8:$B$123,1))</f>
        <v>7.4496721455530324E-3</v>
      </c>
      <c r="H316" s="8">
        <f t="shared" si="86"/>
        <v>0.42314698926998884</v>
      </c>
      <c r="I316">
        <f t="shared" si="87"/>
        <v>1</v>
      </c>
      <c r="K316" s="22" t="e">
        <f>$I316*IF($E316&gt;_xlfn.AGGREGATE(4,6,'KM Data'!$B$6:$B$310),NA(),INDEX('KM Data'!$C$6:$C$310,MATCH($E316,'KM Data'!$B$6:$B$310,1)))</f>
        <v>#N/A</v>
      </c>
      <c r="L316" s="21">
        <f t="shared" si="88"/>
        <v>2.2522952627078041E-2</v>
      </c>
      <c r="M316" s="20">
        <f t="shared" si="91"/>
        <v>5.1013392478373998E-3</v>
      </c>
      <c r="N316" s="21">
        <f t="shared" si="99"/>
        <v>2.173895385716812E-2</v>
      </c>
      <c r="O316" s="21">
        <f t="shared" si="100"/>
        <v>0.47076453982158584</v>
      </c>
      <c r="P316" s="21">
        <f t="shared" si="101"/>
        <v>2.173895385716812E-2</v>
      </c>
      <c r="R316" s="22" t="e">
        <f>$I316*IF($E316&gt;_xlfn.AGGREGATE(4,6,'KM Data'!$E$6:$E$205),NA(),INDEX('KM Data'!$F$6:$F$205,MATCH($E316,'KM Data'!$E$6:$E$205,1)))</f>
        <v>#N/A</v>
      </c>
      <c r="S316" s="21">
        <f t="shared" si="89"/>
        <v>0.10649026004639417</v>
      </c>
      <c r="T316" s="8">
        <f t="shared" si="92"/>
        <v>3.2593691711901851E-3</v>
      </c>
      <c r="U316" s="21">
        <f t="shared" si="102"/>
        <v>9.3483755998726534E-2</v>
      </c>
      <c r="V316" s="21">
        <f t="shared" si="103"/>
        <v>0.47076453982158584</v>
      </c>
      <c r="W316" s="21">
        <f t="shared" si="104"/>
        <v>9.3483755998726534E-2</v>
      </c>
      <c r="Y316" s="23">
        <f t="shared" si="93"/>
        <v>2.173895385716812E-2</v>
      </c>
      <c r="Z316" s="6">
        <f t="shared" si="94"/>
        <v>7.1744802141558414E-2</v>
      </c>
      <c r="AA316" s="6">
        <f t="shared" si="95"/>
        <v>0.90651624400127351</v>
      </c>
      <c r="AB316" s="6">
        <f t="shared" si="96"/>
        <v>1</v>
      </c>
    </row>
    <row r="317" spans="1:28" x14ac:dyDescent="0.35">
      <c r="A317">
        <v>308</v>
      </c>
      <c r="B317" s="17">
        <f t="shared" si="97"/>
        <v>9344.3125</v>
      </c>
      <c r="C317" s="17">
        <f t="shared" si="90"/>
        <v>9374.75</v>
      </c>
      <c r="D317" s="17">
        <f t="shared" si="98"/>
        <v>9359.53125</v>
      </c>
      <c r="E317" s="17">
        <f t="shared" si="84"/>
        <v>307.5</v>
      </c>
      <c r="F317" s="17">
        <f t="shared" si="85"/>
        <v>85.625</v>
      </c>
      <c r="G317" s="21">
        <f>INDEX('Life Tables'!$F$8:$F$123,MATCH(Engine!F317,'Life Tables'!$B$8:$B$123,1))</f>
        <v>7.4496721455530324E-3</v>
      </c>
      <c r="H317" s="8">
        <f t="shared" si="86"/>
        <v>0.42314698926998884</v>
      </c>
      <c r="I317">
        <f t="shared" si="87"/>
        <v>1</v>
      </c>
      <c r="K317" s="22" t="e">
        <f>$I317*IF($E317&gt;_xlfn.AGGREGATE(4,6,'KM Data'!$B$6:$B$310),NA(),INDEX('KM Data'!$C$6:$C$310,MATCH($E317,'KM Data'!$B$6:$B$310,1)))</f>
        <v>#N/A</v>
      </c>
      <c r="L317" s="21">
        <f t="shared" si="88"/>
        <v>2.2408055404864347E-2</v>
      </c>
      <c r="M317" s="20">
        <f t="shared" si="91"/>
        <v>5.0888769313419679E-3</v>
      </c>
      <c r="N317" s="21">
        <f t="shared" si="99"/>
        <v>2.1577005778144913E-2</v>
      </c>
      <c r="O317" s="21">
        <f t="shared" si="100"/>
        <v>0.4672574983421629</v>
      </c>
      <c r="P317" s="21">
        <f t="shared" si="101"/>
        <v>2.1577005778144913E-2</v>
      </c>
      <c r="R317" s="22" t="e">
        <f>$I317*IF($E317&gt;_xlfn.AGGREGATE(4,6,'KM Data'!$E$6:$E$205),NA(),INDEX('KM Data'!$F$6:$F$205,MATCH($E317,'KM Data'!$E$6:$E$205,1)))</f>
        <v>#N/A</v>
      </c>
      <c r="S317" s="21">
        <f t="shared" si="89"/>
        <v>0.10614316897576692</v>
      </c>
      <c r="T317" s="8">
        <f t="shared" si="92"/>
        <v>3.2517412996042605E-3</v>
      </c>
      <c r="U317" s="21">
        <f t="shared" si="102"/>
        <v>9.2787332665601144E-2</v>
      </c>
      <c r="V317" s="21">
        <f t="shared" si="103"/>
        <v>0.4672574983421629</v>
      </c>
      <c r="W317" s="21">
        <f t="shared" si="104"/>
        <v>9.2787332665601144E-2</v>
      </c>
      <c r="Y317" s="23">
        <f t="shared" si="93"/>
        <v>2.1577005778144913E-2</v>
      </c>
      <c r="Z317" s="6">
        <f t="shared" si="94"/>
        <v>7.1210326887456238E-2</v>
      </c>
      <c r="AA317" s="6">
        <f t="shared" si="95"/>
        <v>0.90721266733439887</v>
      </c>
      <c r="AB317" s="6">
        <f t="shared" si="96"/>
        <v>1</v>
      </c>
    </row>
    <row r="318" spans="1:28" x14ac:dyDescent="0.35">
      <c r="A318">
        <v>309</v>
      </c>
      <c r="B318" s="17">
        <f t="shared" si="97"/>
        <v>9374.75</v>
      </c>
      <c r="C318" s="17">
        <f t="shared" si="90"/>
        <v>9405.1875</v>
      </c>
      <c r="D318" s="17">
        <f t="shared" si="98"/>
        <v>9389.96875</v>
      </c>
      <c r="E318" s="17">
        <f t="shared" si="84"/>
        <v>308.5</v>
      </c>
      <c r="F318" s="17">
        <f t="shared" si="85"/>
        <v>85.708333333333329</v>
      </c>
      <c r="G318" s="21">
        <f>INDEX('Life Tables'!$F$8:$F$123,MATCH(Engine!F318,'Life Tables'!$B$8:$B$123,1))</f>
        <v>7.4496721455530324E-3</v>
      </c>
      <c r="H318" s="8">
        <f t="shared" si="86"/>
        <v>0.42314698926998884</v>
      </c>
      <c r="I318">
        <f t="shared" si="87"/>
        <v>1</v>
      </c>
      <c r="K318" s="22" t="e">
        <f>$I318*IF($E318&gt;_xlfn.AGGREGATE(4,6,'KM Data'!$B$6:$B$310),NA(),INDEX('KM Data'!$C$6:$C$310,MATCH($E318,'KM Data'!$B$6:$B$310,1)))</f>
        <v>#N/A</v>
      </c>
      <c r="L318" s="21">
        <f t="shared" si="88"/>
        <v>2.2294023568638299E-2</v>
      </c>
      <c r="M318" s="20">
        <f t="shared" si="91"/>
        <v>5.0764825862432694E-3</v>
      </c>
      <c r="N318" s="21">
        <f t="shared" si="99"/>
        <v>2.1416264159215031E-2</v>
      </c>
      <c r="O318" s="21">
        <f t="shared" si="100"/>
        <v>0.46377658317196252</v>
      </c>
      <c r="P318" s="21">
        <f t="shared" si="101"/>
        <v>2.1416264159215031E-2</v>
      </c>
      <c r="R318" s="22" t="e">
        <f>$I318*IF($E318&gt;_xlfn.AGGREGATE(4,6,'KM Data'!$E$6:$E$205),NA(),INDEX('KM Data'!$F$6:$F$205,MATCH($E318,'KM Data'!$E$6:$E$205,1)))</f>
        <v>#N/A</v>
      </c>
      <c r="S318" s="21">
        <f t="shared" si="89"/>
        <v>0.10579801884953755</v>
      </c>
      <c r="T318" s="8">
        <f t="shared" si="92"/>
        <v>3.2441539077803228E-3</v>
      </c>
      <c r="U318" s="21">
        <f t="shared" si="102"/>
        <v>9.2096097457982057E-2</v>
      </c>
      <c r="V318" s="21">
        <f t="shared" si="103"/>
        <v>0.46377658317196252</v>
      </c>
      <c r="W318" s="21">
        <f t="shared" si="104"/>
        <v>9.2096097457982057E-2</v>
      </c>
      <c r="Y318" s="23">
        <f t="shared" si="93"/>
        <v>2.1416264159215031E-2</v>
      </c>
      <c r="Z318" s="6">
        <f t="shared" si="94"/>
        <v>7.0679833298767022E-2</v>
      </c>
      <c r="AA318" s="6">
        <f t="shared" si="95"/>
        <v>0.90790390254201792</v>
      </c>
      <c r="AB318" s="6">
        <f t="shared" si="96"/>
        <v>1</v>
      </c>
    </row>
    <row r="319" spans="1:28" x14ac:dyDescent="0.35">
      <c r="A319">
        <v>310</v>
      </c>
      <c r="B319" s="17">
        <f t="shared" si="97"/>
        <v>9405.1875</v>
      </c>
      <c r="C319" s="17">
        <f t="shared" si="90"/>
        <v>9435.625</v>
      </c>
      <c r="D319" s="17">
        <f t="shared" si="98"/>
        <v>9420.40625</v>
      </c>
      <c r="E319" s="17">
        <f t="shared" si="84"/>
        <v>309.5</v>
      </c>
      <c r="F319" s="17">
        <f t="shared" si="85"/>
        <v>85.791666666666671</v>
      </c>
      <c r="G319" s="21">
        <f>INDEX('Life Tables'!$F$8:$F$123,MATCH(Engine!F319,'Life Tables'!$B$8:$B$123,1))</f>
        <v>7.4496721455530324E-3</v>
      </c>
      <c r="H319" s="8">
        <f t="shared" si="86"/>
        <v>0.42314698926998884</v>
      </c>
      <c r="I319">
        <f t="shared" si="87"/>
        <v>1</v>
      </c>
      <c r="K319" s="22" t="e">
        <f>$I319*IF($E319&gt;_xlfn.AGGREGATE(4,6,'KM Data'!$B$6:$B$310),NA(),INDEX('KM Data'!$C$6:$C$310,MATCH($E319,'KM Data'!$B$6:$B$310,1)))</f>
        <v>#N/A</v>
      </c>
      <c r="L319" s="21">
        <f t="shared" si="88"/>
        <v>2.218084834621481E-2</v>
      </c>
      <c r="M319" s="20">
        <f t="shared" si="91"/>
        <v>5.0641556338648641E-3</v>
      </c>
      <c r="N319" s="21">
        <f t="shared" si="99"/>
        <v>2.1256720012646321E-2</v>
      </c>
      <c r="O319" s="21">
        <f t="shared" si="100"/>
        <v>0.46032159967854658</v>
      </c>
      <c r="P319" s="21">
        <f t="shared" si="101"/>
        <v>2.1256720012646321E-2</v>
      </c>
      <c r="R319" s="22" t="e">
        <f>$I319*IF($E319&gt;_xlfn.AGGREGATE(4,6,'KM Data'!$E$6:$E$205),NA(),INDEX('KM Data'!$F$6:$F$205,MATCH($E319,'KM Data'!$E$6:$E$205,1)))</f>
        <v>#N/A</v>
      </c>
      <c r="S319" s="21">
        <f t="shared" si="89"/>
        <v>0.1054547937932514</v>
      </c>
      <c r="T319" s="8">
        <f t="shared" si="92"/>
        <v>3.236606658293506E-3</v>
      </c>
      <c r="U319" s="21">
        <f t="shared" si="102"/>
        <v>9.141001172603519E-2</v>
      </c>
      <c r="V319" s="21">
        <f t="shared" si="103"/>
        <v>0.46032159967854658</v>
      </c>
      <c r="W319" s="21">
        <f t="shared" si="104"/>
        <v>9.141001172603519E-2</v>
      </c>
      <c r="Y319" s="23">
        <f t="shared" si="93"/>
        <v>2.1256720012646321E-2</v>
      </c>
      <c r="Z319" s="6">
        <f t="shared" si="94"/>
        <v>7.0153291713388868E-2</v>
      </c>
      <c r="AA319" s="6">
        <f t="shared" si="95"/>
        <v>0.90858998827396475</v>
      </c>
      <c r="AB319" s="6">
        <f t="shared" si="96"/>
        <v>1</v>
      </c>
    </row>
    <row r="320" spans="1:28" x14ac:dyDescent="0.35">
      <c r="A320">
        <v>311</v>
      </c>
      <c r="B320" s="17">
        <f t="shared" si="97"/>
        <v>9435.625</v>
      </c>
      <c r="C320" s="17">
        <f t="shared" si="90"/>
        <v>9466.0625</v>
      </c>
      <c r="D320" s="17">
        <f t="shared" si="98"/>
        <v>9450.84375</v>
      </c>
      <c r="E320" s="17">
        <f t="shared" si="84"/>
        <v>310.5</v>
      </c>
      <c r="F320" s="17">
        <f t="shared" si="85"/>
        <v>85.875</v>
      </c>
      <c r="G320" s="21">
        <f>INDEX('Life Tables'!$F$8:$F$123,MATCH(Engine!F320,'Life Tables'!$B$8:$B$123,1))</f>
        <v>7.4496721455530324E-3</v>
      </c>
      <c r="H320" s="8">
        <f t="shared" si="86"/>
        <v>0.42314698926998884</v>
      </c>
      <c r="I320">
        <f t="shared" si="87"/>
        <v>1</v>
      </c>
      <c r="K320" s="22" t="e">
        <f>$I320*IF($E320&gt;_xlfn.AGGREGATE(4,6,'KM Data'!$B$6:$B$310),NA(),INDEX('KM Data'!$C$6:$C$310,MATCH($E320,'KM Data'!$B$6:$B$310,1)))</f>
        <v>#N/A</v>
      </c>
      <c r="L320" s="21">
        <f t="shared" si="88"/>
        <v>2.2068521078098424E-2</v>
      </c>
      <c r="M320" s="20">
        <f t="shared" si="91"/>
        <v>5.0518955022270662E-3</v>
      </c>
      <c r="N320" s="21">
        <f t="shared" si="99"/>
        <v>2.1098364417662292E-2</v>
      </c>
      <c r="O320" s="21">
        <f t="shared" si="100"/>
        <v>0.45689235467942491</v>
      </c>
      <c r="P320" s="21">
        <f t="shared" si="101"/>
        <v>2.1098364417662292E-2</v>
      </c>
      <c r="R320" s="22" t="e">
        <f>$I320*IF($E320&gt;_xlfn.AGGREGATE(4,6,'KM Data'!$E$6:$E$205),NA(),INDEX('KM Data'!$F$6:$F$205,MATCH($E320,'KM Data'!$E$6:$E$205,1)))</f>
        <v>#N/A</v>
      </c>
      <c r="S320" s="21">
        <f t="shared" si="89"/>
        <v>0.10511347810551119</v>
      </c>
      <c r="T320" s="8">
        <f t="shared" si="92"/>
        <v>3.2290992175517674E-3</v>
      </c>
      <c r="U320" s="21">
        <f t="shared" si="102"/>
        <v>9.0729037107855071E-2</v>
      </c>
      <c r="V320" s="21">
        <f t="shared" si="103"/>
        <v>0.45689235467942491</v>
      </c>
      <c r="W320" s="21">
        <f t="shared" si="104"/>
        <v>9.0729037107855071E-2</v>
      </c>
      <c r="Y320" s="23">
        <f t="shared" si="93"/>
        <v>2.1098364417662292E-2</v>
      </c>
      <c r="Z320" s="6">
        <f t="shared" si="94"/>
        <v>6.9630672690192782E-2</v>
      </c>
      <c r="AA320" s="6">
        <f t="shared" si="95"/>
        <v>0.90927096289214493</v>
      </c>
      <c r="AB320" s="6">
        <f t="shared" si="96"/>
        <v>1</v>
      </c>
    </row>
    <row r="321" spans="1:28" x14ac:dyDescent="0.35">
      <c r="A321">
        <v>312</v>
      </c>
      <c r="B321" s="17">
        <f t="shared" si="97"/>
        <v>9466.0625</v>
      </c>
      <c r="C321" s="17">
        <f t="shared" si="90"/>
        <v>9496.5</v>
      </c>
      <c r="D321" s="17">
        <f t="shared" si="98"/>
        <v>9481.28125</v>
      </c>
      <c r="E321" s="17">
        <f t="shared" si="84"/>
        <v>311.5</v>
      </c>
      <c r="F321" s="17">
        <f t="shared" si="85"/>
        <v>85.958333333333329</v>
      </c>
      <c r="G321" s="21">
        <f>INDEX('Life Tables'!$F$8:$F$123,MATCH(Engine!F321,'Life Tables'!$B$8:$B$123,1))</f>
        <v>7.4496721455530324E-3</v>
      </c>
      <c r="H321" s="8">
        <f t="shared" si="86"/>
        <v>0.40883767079225974</v>
      </c>
      <c r="I321">
        <f t="shared" si="87"/>
        <v>1</v>
      </c>
      <c r="K321" s="22" t="e">
        <f>$I321*IF($E321&gt;_xlfn.AGGREGATE(4,6,'KM Data'!$B$6:$B$310),NA(),INDEX('KM Data'!$C$6:$C$310,MATCH($E321,'KM Data'!$B$6:$B$310,1)))</f>
        <v>#N/A</v>
      </c>
      <c r="L321" s="21">
        <f t="shared" si="88"/>
        <v>2.1957033215723176E-2</v>
      </c>
      <c r="M321" s="20">
        <f t="shared" si="91"/>
        <v>5.0397016259702276E-3</v>
      </c>
      <c r="N321" s="21">
        <f t="shared" si="99"/>
        <v>2.0941188519943307E-2</v>
      </c>
      <c r="O321" s="21">
        <f t="shared" si="100"/>
        <v>0.45348865643125347</v>
      </c>
      <c r="P321" s="21">
        <f t="shared" si="101"/>
        <v>2.0941188519943307E-2</v>
      </c>
      <c r="R321" s="22" t="e">
        <f>$I321*IF($E321&gt;_xlfn.AGGREGATE(4,6,'KM Data'!$E$6:$E$205),NA(),INDEX('KM Data'!$F$6:$F$205,MATCH($E321,'KM Data'!$E$6:$E$205,1)))</f>
        <v>#N/A</v>
      </c>
      <c r="S321" s="21">
        <f t="shared" si="89"/>
        <v>0.10477405625560654</v>
      </c>
      <c r="T321" s="8">
        <f t="shared" si="92"/>
        <v>3.2216312557493687E-3</v>
      </c>
      <c r="U321" s="21">
        <f t="shared" si="102"/>
        <v>9.0053135527319833E-2</v>
      </c>
      <c r="V321" s="21">
        <f t="shared" si="103"/>
        <v>0.45348865643125347</v>
      </c>
      <c r="W321" s="21">
        <f t="shared" si="104"/>
        <v>9.0053135527319833E-2</v>
      </c>
      <c r="Y321" s="23">
        <f t="shared" si="93"/>
        <v>2.0941188519943307E-2</v>
      </c>
      <c r="Z321" s="6">
        <f t="shared" si="94"/>
        <v>6.9111947007376523E-2</v>
      </c>
      <c r="AA321" s="6">
        <f t="shared" si="95"/>
        <v>0.90994686447268014</v>
      </c>
      <c r="AB321" s="6">
        <f t="shared" si="96"/>
        <v>1</v>
      </c>
    </row>
    <row r="322" spans="1:28" x14ac:dyDescent="0.35">
      <c r="A322">
        <v>313</v>
      </c>
      <c r="B322" s="17">
        <f t="shared" si="97"/>
        <v>9496.5</v>
      </c>
      <c r="C322" s="17">
        <f t="shared" si="90"/>
        <v>9526.9375</v>
      </c>
      <c r="D322" s="17">
        <f t="shared" si="98"/>
        <v>9511.71875</v>
      </c>
      <c r="E322" s="17">
        <f t="shared" si="84"/>
        <v>312.5</v>
      </c>
      <c r="F322" s="17">
        <f t="shared" si="85"/>
        <v>86.041666666666671</v>
      </c>
      <c r="G322" s="21">
        <f>INDEX('Life Tables'!$F$8:$F$123,MATCH(Engine!F322,'Life Tables'!$B$8:$B$123,1))</f>
        <v>8.4550393826411385E-3</v>
      </c>
      <c r="H322" s="8">
        <f t="shared" si="86"/>
        <v>0.40883767079225974</v>
      </c>
      <c r="I322">
        <f t="shared" si="87"/>
        <v>1</v>
      </c>
      <c r="K322" s="22" t="e">
        <f>$I322*IF($E322&gt;_xlfn.AGGREGATE(4,6,'KM Data'!$B$6:$B$310),NA(),INDEX('KM Data'!$C$6:$C$310,MATCH($E322,'KM Data'!$B$6:$B$310,1)))</f>
        <v>#N/A</v>
      </c>
      <c r="L322" s="21">
        <f t="shared" si="88"/>
        <v>2.1846376319724414E-2</v>
      </c>
      <c r="M322" s="20">
        <f t="shared" si="91"/>
        <v>5.027573446218625E-3</v>
      </c>
      <c r="N322" s="21">
        <f t="shared" si="99"/>
        <v>2.0785183531131509E-2</v>
      </c>
      <c r="O322" s="21">
        <f t="shared" si="100"/>
        <v>0.45011031461911327</v>
      </c>
      <c r="P322" s="21">
        <f t="shared" si="101"/>
        <v>2.0785183531131509E-2</v>
      </c>
      <c r="R322" s="22" t="e">
        <f>$I322*IF($E322&gt;_xlfn.AGGREGATE(4,6,'KM Data'!$E$6:$E$205),NA(),INDEX('KM Data'!$F$6:$F$205,MATCH($E322,'KM Data'!$E$6:$E$205,1)))</f>
        <v>#N/A</v>
      </c>
      <c r="S322" s="21">
        <f t="shared" si="89"/>
        <v>0.10443651288118183</v>
      </c>
      <c r="T322" s="8">
        <f t="shared" si="92"/>
        <v>3.2142024468131414E-3</v>
      </c>
      <c r="U322" s="21">
        <f t="shared" si="102"/>
        <v>8.9382269191962252E-2</v>
      </c>
      <c r="V322" s="21">
        <f t="shared" si="103"/>
        <v>0.45011031461911327</v>
      </c>
      <c r="W322" s="21">
        <f t="shared" si="104"/>
        <v>8.9382269191962252E-2</v>
      </c>
      <c r="Y322" s="23">
        <f t="shared" si="93"/>
        <v>2.0785183531131509E-2</v>
      </c>
      <c r="Z322" s="6">
        <f t="shared" si="94"/>
        <v>6.8597085660830739E-2</v>
      </c>
      <c r="AA322" s="6">
        <f t="shared" si="95"/>
        <v>0.91061773080803776</v>
      </c>
      <c r="AB322" s="6">
        <f t="shared" si="96"/>
        <v>1</v>
      </c>
    </row>
    <row r="323" spans="1:28" x14ac:dyDescent="0.35">
      <c r="A323">
        <v>314</v>
      </c>
      <c r="B323" s="17">
        <f t="shared" si="97"/>
        <v>9526.9375</v>
      </c>
      <c r="C323" s="17">
        <f t="shared" si="90"/>
        <v>9557.375</v>
      </c>
      <c r="D323" s="17">
        <f t="shared" si="98"/>
        <v>9542.15625</v>
      </c>
      <c r="E323" s="17">
        <f t="shared" si="84"/>
        <v>313.5</v>
      </c>
      <c r="F323" s="17">
        <f t="shared" si="85"/>
        <v>86.125</v>
      </c>
      <c r="G323" s="21">
        <f>INDEX('Life Tables'!$F$8:$F$123,MATCH(Engine!F323,'Life Tables'!$B$8:$B$123,1))</f>
        <v>8.4550393826411385E-3</v>
      </c>
      <c r="H323" s="8">
        <f t="shared" si="86"/>
        <v>0.40883767079225974</v>
      </c>
      <c r="I323">
        <f t="shared" si="87"/>
        <v>1</v>
      </c>
      <c r="K323" s="22" t="e">
        <f>$I323*IF($E323&gt;_xlfn.AGGREGATE(4,6,'KM Data'!$B$6:$B$310),NA(),INDEX('KM Data'!$C$6:$C$310,MATCH($E323,'KM Data'!$B$6:$B$310,1)))</f>
        <v>#N/A</v>
      </c>
      <c r="L323" s="21">
        <f t="shared" si="88"/>
        <v>2.1736542058243269E-2</v>
      </c>
      <c r="M323" s="20">
        <f t="shared" si="91"/>
        <v>5.0155104105309434E-3</v>
      </c>
      <c r="N323" s="21">
        <f t="shared" si="99"/>
        <v>2.0609443985800367E-2</v>
      </c>
      <c r="O323" s="21">
        <f t="shared" si="100"/>
        <v>0.44630461418247569</v>
      </c>
      <c r="P323" s="21">
        <f t="shared" si="101"/>
        <v>2.0609443985800367E-2</v>
      </c>
      <c r="R323" s="22" t="e">
        <f>$I323*IF($E323&gt;_xlfn.AGGREGATE(4,6,'KM Data'!$E$6:$E$205),NA(),INDEX('KM Data'!$F$6:$F$205,MATCH($E323,'KM Data'!$E$6:$E$205,1)))</f>
        <v>#N/A</v>
      </c>
      <c r="S323" s="21">
        <f t="shared" si="89"/>
        <v>0.10410083278594251</v>
      </c>
      <c r="T323" s="8">
        <f t="shared" si="92"/>
        <v>3.2068124683451993E-3</v>
      </c>
      <c r="U323" s="21">
        <f t="shared" si="102"/>
        <v>8.8626538585834386E-2</v>
      </c>
      <c r="V323" s="21">
        <f t="shared" si="103"/>
        <v>0.44630461418247569</v>
      </c>
      <c r="W323" s="21">
        <f t="shared" si="104"/>
        <v>8.8626538585834386E-2</v>
      </c>
      <c r="Y323" s="23">
        <f t="shared" si="93"/>
        <v>2.0609443985800367E-2</v>
      </c>
      <c r="Z323" s="6">
        <f t="shared" si="94"/>
        <v>6.8017094600034023E-2</v>
      </c>
      <c r="AA323" s="6">
        <f t="shared" si="95"/>
        <v>0.91137346141416564</v>
      </c>
      <c r="AB323" s="6">
        <f t="shared" si="96"/>
        <v>1</v>
      </c>
    </row>
    <row r="324" spans="1:28" x14ac:dyDescent="0.35">
      <c r="A324">
        <v>315</v>
      </c>
      <c r="B324" s="17">
        <f t="shared" si="97"/>
        <v>9557.375</v>
      </c>
      <c r="C324" s="17">
        <f t="shared" si="90"/>
        <v>9587.8125</v>
      </c>
      <c r="D324" s="17">
        <f t="shared" si="98"/>
        <v>9572.59375</v>
      </c>
      <c r="E324" s="17">
        <f t="shared" si="84"/>
        <v>314.5</v>
      </c>
      <c r="F324" s="17">
        <f t="shared" si="85"/>
        <v>86.208333333333329</v>
      </c>
      <c r="G324" s="21">
        <f>INDEX('Life Tables'!$F$8:$F$123,MATCH(Engine!F324,'Life Tables'!$B$8:$B$123,1))</f>
        <v>8.4550393826411385E-3</v>
      </c>
      <c r="H324" s="8">
        <f t="shared" si="86"/>
        <v>0.40883767079225974</v>
      </c>
      <c r="I324">
        <f t="shared" si="87"/>
        <v>1</v>
      </c>
      <c r="K324" s="22" t="e">
        <f>$I324*IF($E324&gt;_xlfn.AGGREGATE(4,6,'KM Data'!$B$6:$B$310),NA(),INDEX('KM Data'!$C$6:$C$310,MATCH($E324,'KM Data'!$B$6:$B$310,1)))</f>
        <v>#N/A</v>
      </c>
      <c r="L324" s="21">
        <f t="shared" si="88"/>
        <v>2.1627522205261207E-2</v>
      </c>
      <c r="M324" s="20">
        <f t="shared" si="91"/>
        <v>5.0035119727722677E-3</v>
      </c>
      <c r="N324" s="21">
        <f t="shared" si="99"/>
        <v>2.0435190325246089E-2</v>
      </c>
      <c r="O324" s="21">
        <f t="shared" si="100"/>
        <v>0.44253109109290839</v>
      </c>
      <c r="P324" s="21">
        <f t="shared" si="101"/>
        <v>2.0435190325246089E-2</v>
      </c>
      <c r="R324" s="22" t="e">
        <f>$I324*IF($E324&gt;_xlfn.AGGREGATE(4,6,'KM Data'!$E$6:$E$205),NA(),INDEX('KM Data'!$F$6:$F$205,MATCH($E324,'KM Data'!$E$6:$E$205,1)))</f>
        <v>#N/A</v>
      </c>
      <c r="S324" s="21">
        <f t="shared" si="89"/>
        <v>0.10376700093739943</v>
      </c>
      <c r="T324" s="8">
        <f t="shared" si="92"/>
        <v>3.1994610015670943E-3</v>
      </c>
      <c r="U324" s="21">
        <f t="shared" si="102"/>
        <v>8.7877197711743987E-2</v>
      </c>
      <c r="V324" s="21">
        <f t="shared" si="103"/>
        <v>0.44253109109290839</v>
      </c>
      <c r="W324" s="21">
        <f t="shared" si="104"/>
        <v>8.7877197711743987E-2</v>
      </c>
      <c r="Y324" s="23">
        <f t="shared" si="93"/>
        <v>2.0435190325246089E-2</v>
      </c>
      <c r="Z324" s="6">
        <f t="shared" si="94"/>
        <v>6.7442007386497901E-2</v>
      </c>
      <c r="AA324" s="6">
        <f t="shared" si="95"/>
        <v>0.91212280228825604</v>
      </c>
      <c r="AB324" s="6">
        <f t="shared" si="96"/>
        <v>1</v>
      </c>
    </row>
    <row r="325" spans="1:28" x14ac:dyDescent="0.35">
      <c r="A325">
        <v>316</v>
      </c>
      <c r="B325" s="17">
        <f t="shared" si="97"/>
        <v>9587.8125</v>
      </c>
      <c r="C325" s="17">
        <f t="shared" si="90"/>
        <v>9618.25</v>
      </c>
      <c r="D325" s="17">
        <f t="shared" si="98"/>
        <v>9603.03125</v>
      </c>
      <c r="E325" s="17">
        <f t="shared" si="84"/>
        <v>315.5</v>
      </c>
      <c r="F325" s="17">
        <f t="shared" si="85"/>
        <v>86.291666666666671</v>
      </c>
      <c r="G325" s="21">
        <f>INDEX('Life Tables'!$F$8:$F$123,MATCH(Engine!F325,'Life Tables'!$B$8:$B$123,1))</f>
        <v>8.4550393826411385E-3</v>
      </c>
      <c r="H325" s="8">
        <f t="shared" si="86"/>
        <v>0.40883767079225974</v>
      </c>
      <c r="I325">
        <f t="shared" si="87"/>
        <v>1</v>
      </c>
      <c r="K325" s="22" t="e">
        <f>$I325*IF($E325&gt;_xlfn.AGGREGATE(4,6,'KM Data'!$B$6:$B$310),NA(),INDEX('KM Data'!$C$6:$C$310,MATCH($E325,'KM Data'!$B$6:$B$310,1)))</f>
        <v>#N/A</v>
      </c>
      <c r="L325" s="21">
        <f t="shared" si="88"/>
        <v>2.1519308638965784E-2</v>
      </c>
      <c r="M325" s="20">
        <f t="shared" si="91"/>
        <v>4.9915775930449158E-3</v>
      </c>
      <c r="N325" s="21">
        <f t="shared" si="99"/>
        <v>2.0262409986254365E-2</v>
      </c>
      <c r="O325" s="21">
        <f t="shared" si="100"/>
        <v>0.43878947328967471</v>
      </c>
      <c r="P325" s="21">
        <f t="shared" si="101"/>
        <v>2.0262409986254365E-2</v>
      </c>
      <c r="R325" s="22" t="e">
        <f>$I325*IF($E325&gt;_xlfn.AGGREGATE(4,6,'KM Data'!$E$6:$E$205),NA(),INDEX('KM Data'!$F$6:$F$205,MATCH($E325,'KM Data'!$E$6:$E$205,1)))</f>
        <v>#N/A</v>
      </c>
      <c r="S325" s="21">
        <f t="shared" si="89"/>
        <v>0.10343500246465065</v>
      </c>
      <c r="T325" s="8">
        <f t="shared" si="92"/>
        <v>3.1921477312804036E-3</v>
      </c>
      <c r="U325" s="21">
        <f t="shared" si="102"/>
        <v>8.7134192544255057E-2</v>
      </c>
      <c r="V325" s="21">
        <f t="shared" si="103"/>
        <v>0.43878947328967471</v>
      </c>
      <c r="W325" s="21">
        <f t="shared" si="104"/>
        <v>8.7134192544255057E-2</v>
      </c>
      <c r="Y325" s="23">
        <f t="shared" si="93"/>
        <v>2.0262409986254365E-2</v>
      </c>
      <c r="Z325" s="6">
        <f t="shared" si="94"/>
        <v>6.6871782558000692E-2</v>
      </c>
      <c r="AA325" s="6">
        <f t="shared" si="95"/>
        <v>0.91286580745574497</v>
      </c>
      <c r="AB325" s="6">
        <f t="shared" si="96"/>
        <v>1</v>
      </c>
    </row>
    <row r="326" spans="1:28" x14ac:dyDescent="0.35">
      <c r="A326">
        <v>317</v>
      </c>
      <c r="B326" s="17">
        <f t="shared" si="97"/>
        <v>9618.25</v>
      </c>
      <c r="C326" s="17">
        <f t="shared" si="90"/>
        <v>9648.6875</v>
      </c>
      <c r="D326" s="17">
        <f t="shared" si="98"/>
        <v>9633.46875</v>
      </c>
      <c r="E326" s="17">
        <f t="shared" si="84"/>
        <v>316.5</v>
      </c>
      <c r="F326" s="17">
        <f t="shared" si="85"/>
        <v>86.375</v>
      </c>
      <c r="G326" s="21">
        <f>INDEX('Life Tables'!$F$8:$F$123,MATCH(Engine!F326,'Life Tables'!$B$8:$B$123,1))</f>
        <v>8.4550393826411385E-3</v>
      </c>
      <c r="H326" s="8">
        <f t="shared" si="86"/>
        <v>0.40883767079225974</v>
      </c>
      <c r="I326">
        <f t="shared" si="87"/>
        <v>1</v>
      </c>
      <c r="K326" s="22" t="e">
        <f>$I326*IF($E326&gt;_xlfn.AGGREGATE(4,6,'KM Data'!$B$6:$B$310),NA(),INDEX('KM Data'!$C$6:$C$310,MATCH($E326,'KM Data'!$B$6:$B$310,1)))</f>
        <v>#N/A</v>
      </c>
      <c r="L326" s="21">
        <f t="shared" si="88"/>
        <v>2.1411893340145705E-2</v>
      </c>
      <c r="M326" s="20">
        <f t="shared" si="91"/>
        <v>4.9797067375757509E-3</v>
      </c>
      <c r="N326" s="21">
        <f t="shared" si="99"/>
        <v>2.0091090511833363E-2</v>
      </c>
      <c r="O326" s="21">
        <f t="shared" si="100"/>
        <v>0.43507949101232213</v>
      </c>
      <c r="P326" s="21">
        <f t="shared" si="101"/>
        <v>2.0091090511833363E-2</v>
      </c>
      <c r="R326" s="22" t="e">
        <f>$I326*IF($E326&gt;_xlfn.AGGREGATE(4,6,'KM Data'!$E$6:$E$205),NA(),INDEX('KM Data'!$F$6:$F$205,MATCH($E326,'KM Data'!$E$6:$E$205,1)))</f>
        <v>#N/A</v>
      </c>
      <c r="S326" s="21">
        <f t="shared" si="89"/>
        <v>0.10310482265619814</v>
      </c>
      <c r="T326" s="8">
        <f t="shared" si="92"/>
        <v>3.1848723458026695E-3</v>
      </c>
      <c r="U326" s="21">
        <f t="shared" si="102"/>
        <v>8.6397469514718744E-2</v>
      </c>
      <c r="V326" s="21">
        <f t="shared" si="103"/>
        <v>0.43507949101232213</v>
      </c>
      <c r="W326" s="21">
        <f t="shared" si="104"/>
        <v>8.6397469514718744E-2</v>
      </c>
      <c r="Y326" s="23">
        <f t="shared" si="93"/>
        <v>2.0091090511833363E-2</v>
      </c>
      <c r="Z326" s="6">
        <f t="shared" si="94"/>
        <v>6.6306379002885385E-2</v>
      </c>
      <c r="AA326" s="6">
        <f t="shared" si="95"/>
        <v>0.91360253048528128</v>
      </c>
      <c r="AB326" s="6">
        <f t="shared" si="96"/>
        <v>1</v>
      </c>
    </row>
    <row r="327" spans="1:28" x14ac:dyDescent="0.35">
      <c r="A327">
        <v>318</v>
      </c>
      <c r="B327" s="17">
        <f t="shared" si="97"/>
        <v>9648.6875</v>
      </c>
      <c r="C327" s="17">
        <f t="shared" si="90"/>
        <v>9679.125</v>
      </c>
      <c r="D327" s="17">
        <f t="shared" si="98"/>
        <v>9663.90625</v>
      </c>
      <c r="E327" s="17">
        <f t="shared" si="84"/>
        <v>317.5</v>
      </c>
      <c r="F327" s="17">
        <f t="shared" si="85"/>
        <v>86.458333333333329</v>
      </c>
      <c r="G327" s="21">
        <f>INDEX('Life Tables'!$F$8:$F$123,MATCH(Engine!F327,'Life Tables'!$B$8:$B$123,1))</f>
        <v>8.4550393826411385E-3</v>
      </c>
      <c r="H327" s="8">
        <f t="shared" si="86"/>
        <v>0.40883767079225974</v>
      </c>
      <c r="I327">
        <f t="shared" si="87"/>
        <v>1</v>
      </c>
      <c r="K327" s="22" t="e">
        <f>$I327*IF($E327&gt;_xlfn.AGGREGATE(4,6,'KM Data'!$B$6:$B$310),NA(),INDEX('KM Data'!$C$6:$C$310,MATCH($E327,'KM Data'!$B$6:$B$310,1)))</f>
        <v>#N/A</v>
      </c>
      <c r="L327" s="21">
        <f t="shared" si="88"/>
        <v>2.1305268390615528E-2</v>
      </c>
      <c r="M327" s="20">
        <f t="shared" si="91"/>
        <v>4.9678988786600042E-3</v>
      </c>
      <c r="N327" s="21">
        <f t="shared" si="99"/>
        <v>1.9921219550315603E-2</v>
      </c>
      <c r="O327" s="21">
        <f t="shared" si="100"/>
        <v>0.43140087678123351</v>
      </c>
      <c r="P327" s="21">
        <f t="shared" si="101"/>
        <v>1.9921219550315603E-2</v>
      </c>
      <c r="R327" s="22" t="e">
        <f>$I327*IF($E327&gt;_xlfn.AGGREGATE(4,6,'KM Data'!$E$6:$E$205),NA(),INDEX('KM Data'!$F$6:$F$205,MATCH($E327,'KM Data'!$E$6:$E$205,1)))</f>
        <v>#N/A</v>
      </c>
      <c r="S327" s="21">
        <f t="shared" si="89"/>
        <v>0.10277644695780153</v>
      </c>
      <c r="T327" s="8">
        <f t="shared" si="92"/>
        <v>3.1776345369235459E-3</v>
      </c>
      <c r="U327" s="21">
        <f t="shared" si="102"/>
        <v>8.5666975507411258E-2</v>
      </c>
      <c r="V327" s="21">
        <f t="shared" si="103"/>
        <v>0.43140087678123351</v>
      </c>
      <c r="W327" s="21">
        <f t="shared" si="104"/>
        <v>8.5666975507411258E-2</v>
      </c>
      <c r="Y327" s="23">
        <f t="shared" si="93"/>
        <v>1.9921219550315603E-2</v>
      </c>
      <c r="Z327" s="6">
        <f t="shared" si="94"/>
        <v>6.5745755957095656E-2</v>
      </c>
      <c r="AA327" s="6">
        <f t="shared" si="95"/>
        <v>0.91433302449258869</v>
      </c>
      <c r="AB327" s="6">
        <f t="shared" si="96"/>
        <v>1</v>
      </c>
    </row>
    <row r="328" spans="1:28" x14ac:dyDescent="0.35">
      <c r="A328">
        <v>319</v>
      </c>
      <c r="B328" s="17">
        <f t="shared" si="97"/>
        <v>9679.125</v>
      </c>
      <c r="C328" s="17">
        <f t="shared" si="90"/>
        <v>9709.5625</v>
      </c>
      <c r="D328" s="17">
        <f t="shared" si="98"/>
        <v>9694.34375</v>
      </c>
      <c r="E328" s="17">
        <f t="shared" si="84"/>
        <v>318.5</v>
      </c>
      <c r="F328" s="17">
        <f t="shared" si="85"/>
        <v>86.541666666666671</v>
      </c>
      <c r="G328" s="21">
        <f>INDEX('Life Tables'!$F$8:$F$123,MATCH(Engine!F328,'Life Tables'!$B$8:$B$123,1))</f>
        <v>8.4550393826411385E-3</v>
      </c>
      <c r="H328" s="8">
        <f t="shared" si="86"/>
        <v>0.40883767079225974</v>
      </c>
      <c r="I328">
        <f t="shared" si="87"/>
        <v>1</v>
      </c>
      <c r="K328" s="22" t="e">
        <f>$I328*IF($E328&gt;_xlfn.AGGREGATE(4,6,'KM Data'!$B$6:$B$310),NA(),INDEX('KM Data'!$C$6:$C$310,MATCH($E328,'KM Data'!$B$6:$B$310,1)))</f>
        <v>#N/A</v>
      </c>
      <c r="L328" s="21">
        <f t="shared" si="88"/>
        <v>2.119942597166824E-2</v>
      </c>
      <c r="M328" s="20">
        <f t="shared" si="91"/>
        <v>4.9561534945371521E-3</v>
      </c>
      <c r="N328" s="21">
        <f t="shared" si="99"/>
        <v>1.9752784854467444E-2</v>
      </c>
      <c r="O328" s="21">
        <f t="shared" si="100"/>
        <v>0.42775336537834224</v>
      </c>
      <c r="P328" s="21">
        <f t="shared" si="101"/>
        <v>1.9752784854467444E-2</v>
      </c>
      <c r="R328" s="22" t="e">
        <f>$I328*IF($E328&gt;_xlfn.AGGREGATE(4,6,'KM Data'!$E$6:$E$205),NA(),INDEX('KM Data'!$F$6:$F$205,MATCH($E328,'KM Data'!$E$6:$E$205,1)))</f>
        <v>#N/A</v>
      </c>
      <c r="S328" s="21">
        <f t="shared" si="89"/>
        <v>0.10244986097036612</v>
      </c>
      <c r="T328" s="8">
        <f t="shared" si="92"/>
        <v>3.1704339998606113E-3</v>
      </c>
      <c r="U328" s="21">
        <f t="shared" si="102"/>
        <v>8.4942657855704345E-2</v>
      </c>
      <c r="V328" s="21">
        <f t="shared" si="103"/>
        <v>0.42775336537834224</v>
      </c>
      <c r="W328" s="21">
        <f t="shared" si="104"/>
        <v>8.4942657855704345E-2</v>
      </c>
      <c r="Y328" s="23">
        <f t="shared" si="93"/>
        <v>1.9752784854467444E-2</v>
      </c>
      <c r="Z328" s="6">
        <f t="shared" si="94"/>
        <v>6.5189873001236909E-2</v>
      </c>
      <c r="AA328" s="6">
        <f t="shared" si="95"/>
        <v>0.91505734214429568</v>
      </c>
      <c r="AB328" s="6">
        <f t="shared" si="96"/>
        <v>1</v>
      </c>
    </row>
    <row r="329" spans="1:28" x14ac:dyDescent="0.35">
      <c r="A329">
        <v>320</v>
      </c>
      <c r="B329" s="17">
        <f t="shared" si="97"/>
        <v>9709.5625</v>
      </c>
      <c r="C329" s="17">
        <f t="shared" si="90"/>
        <v>9740</v>
      </c>
      <c r="D329" s="17">
        <f t="shared" si="98"/>
        <v>9724.78125</v>
      </c>
      <c r="E329" s="17">
        <f t="shared" ref="E329:E392" si="105">D329/Days_per_Month</f>
        <v>319.5</v>
      </c>
      <c r="F329" s="17">
        <f t="shared" ref="F329:F392" si="106">Patient_Baseline_Age+(D329/365.25)</f>
        <v>86.625</v>
      </c>
      <c r="G329" s="21">
        <f>INDEX('Life Tables'!$F$8:$F$123,MATCH(Engine!F329,'Life Tables'!$B$8:$B$123,1))</f>
        <v>8.4550393826411385E-3</v>
      </c>
      <c r="H329" s="8">
        <f t="shared" ref="H329:H392" si="107">1/(1+Discount_Rate)^ROUNDDOWN(A329/12,0)</f>
        <v>0.40883767079225974</v>
      </c>
      <c r="I329">
        <f t="shared" ref="I329:I392" si="108">IF(E329&lt;Min_Time_Horizon__5_Years___60_Months,1,IF(C329/Days_per_Year&lt;Max_Time_Horizon__in_Years,1,NA()))</f>
        <v>1</v>
      </c>
      <c r="K329" s="22" t="e">
        <f>$I329*IF($E329&gt;_xlfn.AGGREGATE(4,6,'KM Data'!$B$6:$B$310),NA(),INDEX('KM Data'!$C$6:$C$310,MATCH($E329,'KM Data'!$B$6:$B$310,1)))</f>
        <v>#N/A</v>
      </c>
      <c r="L329" s="21">
        <f t="shared" ref="L329:L392" si="109">$I329*CHOOSE(MATCH(K$4,label_curves,0),
    EXP(-$E329*EXP(L$5)),
    1-((EXP(GAMMALN(EXP(L$5)))*_xlfn.GAMMA.DIST(EXP(L$6)*$E329,EXP(L$5),1,TRUE))/_xlfn.GAMMA(EXP(L$5))),
    IF($E329=0,1, IF(L$7&gt;0,1,0) + IF(L$7&gt;0,-1,1) * IFERROR(_xlfn.GAMMA.DIST((L$7^-2)*EXP(L$7*((LN($E329)-(L$5))/EXP(L$6))),L$7^-2,1,TRUE),0)),
    EXP(-(EXP(L$5)/L$6)*(EXP(L$6*$E329)-1)),
    1/(1+($E329/EXP(L$5))^EXP(L$6)),
    1-IFERROR(_xlfn.LOGNORM.DIST($E329,L$5,EXP(L$6),TRUE),0),
    EXP(-(($E329/EXP(L$5))^EXP(L$6)))
)</f>
        <v>2.1094358362556576E-2</v>
      </c>
      <c r="M329" s="20">
        <f t="shared" si="91"/>
        <v>4.9444700693394017E-3</v>
      </c>
      <c r="N329" s="21">
        <f t="shared" si="99"/>
        <v>1.9585774280606084E-2</v>
      </c>
      <c r="O329" s="21">
        <f t="shared" si="100"/>
        <v>0.42413669382801106</v>
      </c>
      <c r="P329" s="21">
        <f t="shared" si="101"/>
        <v>1.9585774280606084E-2</v>
      </c>
      <c r="R329" s="22" t="e">
        <f>$I329*IF($E329&gt;_xlfn.AGGREGATE(4,6,'KM Data'!$E$6:$E$205),NA(),INDEX('KM Data'!$F$6:$F$205,MATCH($E329,'KM Data'!$E$6:$E$205,1)))</f>
        <v>#N/A</v>
      </c>
      <c r="S329" s="21">
        <f t="shared" ref="S329:S392" si="110">$I329*CHOOSE(MATCH(R$4,label_curves,0),
    EXP(-$E329*EXP(S$5)),
    1-((EXP(GAMMALN(EXP(S$5)))*_xlfn.GAMMA.DIST(EXP(S$6)*$E329,EXP(S$5),1,TRUE))/_xlfn.GAMMA(EXP(S$5))),
    IF($E329=0,1, IF(S$7&gt;0,1,0) + IF(S$7&gt;0,-1,1) * IFERROR(_xlfn.GAMMA.DIST((S$7^-2)*EXP(S$7*((LN($E329)-(S$5))/EXP(S$6))),S$7^-2,1,TRUE),0)),
    EXP(-(EXP(S$5)/S$6)*(EXP(S$6*$E329)-1)),
    1/(1+($E329/EXP(S$5))^EXP(S$6)),
    1-IFERROR(_xlfn.LOGNORM.DIST($E329,S$5,EXP(S$6),TRUE),0),
    EXP(-(($E329/EXP(S$5))^EXP(S$6)))
)</f>
        <v>0.10212505044786468</v>
      </c>
      <c r="T329" s="8">
        <f t="shared" si="92"/>
        <v>3.1632704331985284E-3</v>
      </c>
      <c r="U329" s="21">
        <f t="shared" si="102"/>
        <v>8.4224464338268148E-2</v>
      </c>
      <c r="V329" s="21">
        <f t="shared" si="103"/>
        <v>0.42413669382801106</v>
      </c>
      <c r="W329" s="21">
        <f t="shared" si="104"/>
        <v>8.4224464338268148E-2</v>
      </c>
      <c r="Y329" s="23">
        <f t="shared" si="93"/>
        <v>1.9585774280606084E-2</v>
      </c>
      <c r="Z329" s="6">
        <f t="shared" si="94"/>
        <v>6.4638690057662068E-2</v>
      </c>
      <c r="AA329" s="6">
        <f t="shared" si="95"/>
        <v>0.91577553566173187</v>
      </c>
      <c r="AB329" s="6">
        <f t="shared" si="96"/>
        <v>1</v>
      </c>
    </row>
    <row r="330" spans="1:28" x14ac:dyDescent="0.35">
      <c r="A330">
        <v>321</v>
      </c>
      <c r="B330" s="17">
        <f t="shared" si="97"/>
        <v>9740</v>
      </c>
      <c r="C330" s="17">
        <f t="shared" ref="C330:C393" si="111">B330+Days_per_Month</f>
        <v>9770.4375</v>
      </c>
      <c r="D330" s="17">
        <f t="shared" si="98"/>
        <v>9755.21875</v>
      </c>
      <c r="E330" s="17">
        <f t="shared" si="105"/>
        <v>320.5</v>
      </c>
      <c r="F330" s="17">
        <f t="shared" si="106"/>
        <v>86.708333333333329</v>
      </c>
      <c r="G330" s="21">
        <f>INDEX('Life Tables'!$F$8:$F$123,MATCH(Engine!F330,'Life Tables'!$B$8:$B$123,1))</f>
        <v>8.4550393826411385E-3</v>
      </c>
      <c r="H330" s="8">
        <f t="shared" si="107"/>
        <v>0.40883767079225974</v>
      </c>
      <c r="I330">
        <f t="shared" si="108"/>
        <v>1</v>
      </c>
      <c r="K330" s="22" t="e">
        <f>$I330*IF($E330&gt;_xlfn.AGGREGATE(4,6,'KM Data'!$B$6:$B$310),NA(),INDEX('KM Data'!$C$6:$C$310,MATCH($E330,'KM Data'!$B$6:$B$310,1)))</f>
        <v>#N/A</v>
      </c>
      <c r="L330" s="21">
        <f t="shared" si="109"/>
        <v>2.0990057939000994E-2</v>
      </c>
      <c r="M330" s="20">
        <f t="shared" ref="M330:M393" si="112">1-(L331/L330)</f>
        <v>4.9328480929949903E-3</v>
      </c>
      <c r="N330" s="21">
        <f t="shared" si="99"/>
        <v>1.942017578772404E-2</v>
      </c>
      <c r="O330" s="21">
        <f t="shared" si="100"/>
        <v>0.42055060137807204</v>
      </c>
      <c r="P330" s="21">
        <f t="shared" si="101"/>
        <v>1.942017578772404E-2</v>
      </c>
      <c r="R330" s="22" t="e">
        <f>$I330*IF($E330&gt;_xlfn.AGGREGATE(4,6,'KM Data'!$E$6:$E$205),NA(),INDEX('KM Data'!$F$6:$F$205,MATCH($E330,'KM Data'!$E$6:$E$205,1)))</f>
        <v>#N/A</v>
      </c>
      <c r="S330" s="21">
        <f t="shared" si="110"/>
        <v>0.10180200129529404</v>
      </c>
      <c r="T330" s="8">
        <f t="shared" ref="T330:T393" si="113">1-(S331/S330)</f>
        <v>3.1561435388517411E-3</v>
      </c>
      <c r="U330" s="21">
        <f t="shared" si="102"/>
        <v>8.3512343175306231E-2</v>
      </c>
      <c r="V330" s="21">
        <f t="shared" si="103"/>
        <v>0.42055060137807204</v>
      </c>
      <c r="W330" s="21">
        <f t="shared" si="104"/>
        <v>8.3512343175306231E-2</v>
      </c>
      <c r="Y330" s="23">
        <f t="shared" ref="Y330:Y393" si="114">N330</f>
        <v>1.942017578772404E-2</v>
      </c>
      <c r="Z330" s="6">
        <f t="shared" ref="Z330:Z393" si="115">U330-N330</f>
        <v>6.4092167387582194E-2</v>
      </c>
      <c r="AA330" s="6">
        <f t="shared" ref="AA330:AA393" si="116">1-U330</f>
        <v>0.9164876568246938</v>
      </c>
      <c r="AB330" s="6">
        <f t="shared" ref="AB330:AB393" si="117">SUM(Y330:AA330)</f>
        <v>1</v>
      </c>
    </row>
    <row r="331" spans="1:28" x14ac:dyDescent="0.35">
      <c r="A331">
        <v>322</v>
      </c>
      <c r="B331" s="17">
        <f t="shared" ref="B331:B394" si="118">C330</f>
        <v>9770.4375</v>
      </c>
      <c r="C331" s="17">
        <f t="shared" si="111"/>
        <v>9800.875</v>
      </c>
      <c r="D331" s="17">
        <f t="shared" ref="D331:D394" si="119">AVERAGE(B331:C331)</f>
        <v>9785.65625</v>
      </c>
      <c r="E331" s="17">
        <f t="shared" si="105"/>
        <v>321.5</v>
      </c>
      <c r="F331" s="17">
        <f t="shared" si="106"/>
        <v>86.791666666666671</v>
      </c>
      <c r="G331" s="21">
        <f>INDEX('Life Tables'!$F$8:$F$123,MATCH(Engine!F331,'Life Tables'!$B$8:$B$123,1))</f>
        <v>8.4550393826411385E-3</v>
      </c>
      <c r="H331" s="8">
        <f t="shared" si="107"/>
        <v>0.40883767079225974</v>
      </c>
      <c r="I331">
        <f t="shared" si="108"/>
        <v>1</v>
      </c>
      <c r="K331" s="22" t="e">
        <f>$I331*IF($E331&gt;_xlfn.AGGREGATE(4,6,'KM Data'!$B$6:$B$310),NA(),INDEX('KM Data'!$C$6:$C$310,MATCH($E331,'KM Data'!$B$6:$B$310,1)))</f>
        <v>#N/A</v>
      </c>
      <c r="L331" s="21">
        <f t="shared" si="109"/>
        <v>2.0886517171724739E-2</v>
      </c>
      <c r="M331" s="20">
        <f t="shared" si="112"/>
        <v>4.921287061120827E-3</v>
      </c>
      <c r="N331" s="21">
        <f t="shared" ref="N331:N394" si="120">$I331*MIN(N330,U331,P331)</f>
        <v>1.9255977436621021E-2</v>
      </c>
      <c r="O331" s="21">
        <f t="shared" ref="O331:O394" si="121">I331*O330*(1-G330)</f>
        <v>0.41699482948102701</v>
      </c>
      <c r="P331" s="21">
        <f t="shared" ref="P331:P394" si="122">$I331*P330*(1-MAX($G330,M330))</f>
        <v>1.9255977436621021E-2</v>
      </c>
      <c r="R331" s="22" t="e">
        <f>$I331*IF($E331&gt;_xlfn.AGGREGATE(4,6,'KM Data'!$E$6:$E$205),NA(),INDEX('KM Data'!$F$6:$F$205,MATCH($E331,'KM Data'!$E$6:$E$205,1)))</f>
        <v>#N/A</v>
      </c>
      <c r="S331" s="21">
        <f t="shared" si="110"/>
        <v>0.10148069956666372</v>
      </c>
      <c r="T331" s="8">
        <f t="shared" si="113"/>
        <v>3.1490530220187329E-3</v>
      </c>
      <c r="U331" s="21">
        <f t="shared" ref="U331:U394" si="123">$I331*MIN(U330,W331)</f>
        <v>8.2806243024822368E-2</v>
      </c>
      <c r="V331" s="21">
        <f t="shared" ref="V331:V394" si="124">I331*V330*(1-G330)</f>
        <v>0.41699482948102701</v>
      </c>
      <c r="W331" s="21">
        <f t="shared" ref="W331:W394" si="125">$I331*W330*(1-MAX($G330,T330))</f>
        <v>8.2806243024822368E-2</v>
      </c>
      <c r="Y331" s="23">
        <f t="shared" si="114"/>
        <v>1.9255977436621021E-2</v>
      </c>
      <c r="Z331" s="6">
        <f t="shared" si="115"/>
        <v>6.3550265588201343E-2</v>
      </c>
      <c r="AA331" s="6">
        <f t="shared" si="116"/>
        <v>0.91719375697517758</v>
      </c>
      <c r="AB331" s="6">
        <f t="shared" si="117"/>
        <v>1</v>
      </c>
    </row>
    <row r="332" spans="1:28" x14ac:dyDescent="0.35">
      <c r="A332">
        <v>323</v>
      </c>
      <c r="B332" s="17">
        <f t="shared" si="118"/>
        <v>9800.875</v>
      </c>
      <c r="C332" s="17">
        <f t="shared" si="111"/>
        <v>9831.3125</v>
      </c>
      <c r="D332" s="17">
        <f t="shared" si="119"/>
        <v>9816.09375</v>
      </c>
      <c r="E332" s="17">
        <f t="shared" si="105"/>
        <v>322.5</v>
      </c>
      <c r="F332" s="17">
        <f t="shared" si="106"/>
        <v>86.875</v>
      </c>
      <c r="G332" s="21">
        <f>INDEX('Life Tables'!$F$8:$F$123,MATCH(Engine!F332,'Life Tables'!$B$8:$B$123,1))</f>
        <v>8.4550393826411385E-3</v>
      </c>
      <c r="H332" s="8">
        <f t="shared" si="107"/>
        <v>0.40883767079225974</v>
      </c>
      <c r="I332">
        <f t="shared" si="108"/>
        <v>1</v>
      </c>
      <c r="K332" s="22" t="e">
        <f>$I332*IF($E332&gt;_xlfn.AGGREGATE(4,6,'KM Data'!$B$6:$B$310),NA(),INDEX('KM Data'!$C$6:$C$310,MATCH($E332,'KM Data'!$B$6:$B$310,1)))</f>
        <v>#N/A</v>
      </c>
      <c r="L332" s="21">
        <f t="shared" si="109"/>
        <v>2.0783728625015652E-2</v>
      </c>
      <c r="M332" s="20">
        <f t="shared" si="112"/>
        <v>4.9097864749976239E-3</v>
      </c>
      <c r="N332" s="21">
        <f t="shared" si="120"/>
        <v>1.9093167389043143E-2</v>
      </c>
      <c r="O332" s="21">
        <f t="shared" si="121"/>
        <v>0.41346912177540718</v>
      </c>
      <c r="P332" s="21">
        <f t="shared" si="122"/>
        <v>1.9093167389043143E-2</v>
      </c>
      <c r="R332" s="22" t="e">
        <f>$I332*IF($E332&gt;_xlfn.AGGREGATE(4,6,'KM Data'!$E$6:$E$205),NA(),INDEX('KM Data'!$F$6:$F$205,MATCH($E332,'KM Data'!$E$6:$E$205,1)))</f>
        <v>#N/A</v>
      </c>
      <c r="S332" s="21">
        <f t="shared" si="110"/>
        <v>0.10116113146301675</v>
      </c>
      <c r="T332" s="8">
        <f t="shared" si="113"/>
        <v>3.1419985911296244E-3</v>
      </c>
      <c r="U332" s="21">
        <f t="shared" si="123"/>
        <v>8.2106112978918941E-2</v>
      </c>
      <c r="V332" s="21">
        <f t="shared" si="124"/>
        <v>0.41346912177540718</v>
      </c>
      <c r="W332" s="21">
        <f t="shared" si="125"/>
        <v>8.2106112978918941E-2</v>
      </c>
      <c r="Y332" s="23">
        <f t="shared" si="114"/>
        <v>1.9093167389043143E-2</v>
      </c>
      <c r="Z332" s="6">
        <f t="shared" si="115"/>
        <v>6.3012945589875802E-2</v>
      </c>
      <c r="AA332" s="6">
        <f t="shared" si="116"/>
        <v>0.9178938870210811</v>
      </c>
      <c r="AB332" s="6">
        <f t="shared" si="117"/>
        <v>1</v>
      </c>
    </row>
    <row r="333" spans="1:28" x14ac:dyDescent="0.35">
      <c r="A333">
        <v>324</v>
      </c>
      <c r="B333" s="17">
        <f t="shared" si="118"/>
        <v>9831.3125</v>
      </c>
      <c r="C333" s="17">
        <f t="shared" si="111"/>
        <v>9861.75</v>
      </c>
      <c r="D333" s="17">
        <f t="shared" si="119"/>
        <v>9846.53125</v>
      </c>
      <c r="E333" s="17">
        <f t="shared" si="105"/>
        <v>323.5</v>
      </c>
      <c r="F333" s="17">
        <f t="shared" si="106"/>
        <v>86.958333333333329</v>
      </c>
      <c r="G333" s="21">
        <f>INDEX('Life Tables'!$F$8:$F$123,MATCH(Engine!F333,'Life Tables'!$B$8:$B$123,1))</f>
        <v>8.4550393826411385E-3</v>
      </c>
      <c r="H333" s="8">
        <f t="shared" si="107"/>
        <v>0.39501224231136206</v>
      </c>
      <c r="I333">
        <f t="shared" si="108"/>
        <v>1</v>
      </c>
      <c r="K333" s="22" t="e">
        <f>$I333*IF($E333&gt;_xlfn.AGGREGATE(4,6,'KM Data'!$B$6:$B$310),NA(),INDEX('KM Data'!$C$6:$C$310,MATCH($E333,'KM Data'!$B$6:$B$310,1)))</f>
        <v>#N/A</v>
      </c>
      <c r="L333" s="21">
        <f t="shared" si="109"/>
        <v>2.0681684955312529E-2</v>
      </c>
      <c r="M333" s="20">
        <f t="shared" si="112"/>
        <v>4.8983458414305625E-3</v>
      </c>
      <c r="N333" s="21">
        <f t="shared" si="120"/>
        <v>1.8931733906829423E-2</v>
      </c>
      <c r="O333" s="21">
        <f t="shared" si="121"/>
        <v>0.40997322406729009</v>
      </c>
      <c r="P333" s="21">
        <f t="shared" si="122"/>
        <v>1.8931733906829423E-2</v>
      </c>
      <c r="R333" s="22" t="e">
        <f>$I333*IF($E333&gt;_xlfn.AGGREGATE(4,6,'KM Data'!$E$6:$E$205),NA(),INDEX('KM Data'!$F$6:$F$205,MATCH($E333,'KM Data'!$E$6:$E$205,1)))</f>
        <v>#N/A</v>
      </c>
      <c r="S333" s="21">
        <f t="shared" si="110"/>
        <v>0.10084328333048287</v>
      </c>
      <c r="T333" s="8">
        <f t="shared" si="113"/>
        <v>3.134979957804207E-3</v>
      </c>
      <c r="U333" s="21">
        <f t="shared" si="123"/>
        <v>8.1411902560126592E-2</v>
      </c>
      <c r="V333" s="21">
        <f t="shared" si="124"/>
        <v>0.40997322406729009</v>
      </c>
      <c r="W333" s="21">
        <f t="shared" si="125"/>
        <v>8.1411902560126592E-2</v>
      </c>
      <c r="Y333" s="23">
        <f t="shared" si="114"/>
        <v>1.8931733906829423E-2</v>
      </c>
      <c r="Z333" s="6">
        <f t="shared" si="115"/>
        <v>6.2480168653297169E-2</v>
      </c>
      <c r="AA333" s="6">
        <f t="shared" si="116"/>
        <v>0.91858809743987346</v>
      </c>
      <c r="AB333" s="6">
        <f t="shared" si="117"/>
        <v>1</v>
      </c>
    </row>
    <row r="334" spans="1:28" x14ac:dyDescent="0.35">
      <c r="A334">
        <v>325</v>
      </c>
      <c r="B334" s="17">
        <f t="shared" si="118"/>
        <v>9861.75</v>
      </c>
      <c r="C334" s="17">
        <f t="shared" si="111"/>
        <v>9892.1875</v>
      </c>
      <c r="D334" s="17">
        <f t="shared" si="119"/>
        <v>9876.96875</v>
      </c>
      <c r="E334" s="17">
        <f t="shared" si="105"/>
        <v>324.5</v>
      </c>
      <c r="F334" s="17">
        <f t="shared" si="106"/>
        <v>87.041666666666671</v>
      </c>
      <c r="G334" s="21">
        <f>INDEX('Life Tables'!$F$8:$F$123,MATCH(Engine!F334,'Life Tables'!$B$8:$B$123,1))</f>
        <v>9.5730280347814389E-3</v>
      </c>
      <c r="H334" s="8">
        <f t="shared" si="107"/>
        <v>0.39501224231136206</v>
      </c>
      <c r="I334">
        <f t="shared" si="108"/>
        <v>1</v>
      </c>
      <c r="K334" s="22" t="e">
        <f>$I334*IF($E334&gt;_xlfn.AGGREGATE(4,6,'KM Data'!$B$6:$B$310),NA(),INDEX('KM Data'!$C$6:$C$310,MATCH($E334,'KM Data'!$B$6:$B$310,1)))</f>
        <v>#N/A</v>
      </c>
      <c r="L334" s="21">
        <f t="shared" si="109"/>
        <v>2.0580378909817898E-2</v>
      </c>
      <c r="M334" s="20">
        <f t="shared" si="112"/>
        <v>4.8869646727194294E-3</v>
      </c>
      <c r="N334" s="21">
        <f t="shared" si="120"/>
        <v>1.8771665351065499E-2</v>
      </c>
      <c r="O334" s="21">
        <f t="shared" si="121"/>
        <v>0.40650688431197279</v>
      </c>
      <c r="P334" s="21">
        <f t="shared" si="122"/>
        <v>1.8771665351065499E-2</v>
      </c>
      <c r="R334" s="22" t="e">
        <f>$I334*IF($E334&gt;_xlfn.AGGREGATE(4,6,'KM Data'!$E$6:$E$205),NA(),INDEX('KM Data'!$F$6:$F$205,MATCH($E334,'KM Data'!$E$6:$E$205,1)))</f>
        <v>#N/A</v>
      </c>
      <c r="S334" s="21">
        <f t="shared" si="110"/>
        <v>0.10052714165836263</v>
      </c>
      <c r="T334" s="8">
        <f t="shared" si="113"/>
        <v>3.1279968368070898E-3</v>
      </c>
      <c r="U334" s="21">
        <f t="shared" si="123"/>
        <v>8.0723561717764986E-2</v>
      </c>
      <c r="V334" s="21">
        <f t="shared" si="124"/>
        <v>0.40650688431197279</v>
      </c>
      <c r="W334" s="21">
        <f t="shared" si="125"/>
        <v>8.0723561717764986E-2</v>
      </c>
      <c r="Y334" s="23">
        <f t="shared" si="114"/>
        <v>1.8771665351065499E-2</v>
      </c>
      <c r="Z334" s="6">
        <f t="shared" si="115"/>
        <v>6.1951896366699483E-2</v>
      </c>
      <c r="AA334" s="6">
        <f t="shared" si="116"/>
        <v>0.91927643828223504</v>
      </c>
      <c r="AB334" s="6">
        <f t="shared" si="117"/>
        <v>1</v>
      </c>
    </row>
    <row r="335" spans="1:28" x14ac:dyDescent="0.35">
      <c r="A335">
        <v>326</v>
      </c>
      <c r="B335" s="17">
        <f t="shared" si="118"/>
        <v>9892.1875</v>
      </c>
      <c r="C335" s="17">
        <f t="shared" si="111"/>
        <v>9922.625</v>
      </c>
      <c r="D335" s="17">
        <f t="shared" si="119"/>
        <v>9907.40625</v>
      </c>
      <c r="E335" s="17">
        <f t="shared" si="105"/>
        <v>325.5</v>
      </c>
      <c r="F335" s="17">
        <f t="shared" si="106"/>
        <v>87.125</v>
      </c>
      <c r="G335" s="21">
        <f>INDEX('Life Tables'!$F$8:$F$123,MATCH(Engine!F335,'Life Tables'!$B$8:$B$123,1))</f>
        <v>9.5730280347814389E-3</v>
      </c>
      <c r="H335" s="8">
        <f t="shared" si="107"/>
        <v>0.39501224231136206</v>
      </c>
      <c r="I335">
        <f t="shared" si="108"/>
        <v>1</v>
      </c>
      <c r="K335" s="22" t="e">
        <f>$I335*IF($E335&gt;_xlfn.AGGREGATE(4,6,'KM Data'!$B$6:$B$310),NA(),INDEX('KM Data'!$C$6:$C$310,MATCH($E335,'KM Data'!$B$6:$B$310,1)))</f>
        <v>#N/A</v>
      </c>
      <c r="L335" s="21">
        <f t="shared" si="109"/>
        <v>2.0479803325134438E-2</v>
      </c>
      <c r="M335" s="20">
        <f t="shared" si="112"/>
        <v>4.8756424865474823E-3</v>
      </c>
      <c r="N335" s="21">
        <f t="shared" si="120"/>
        <v>1.8591963672400215E-2</v>
      </c>
      <c r="O335" s="21">
        <f t="shared" si="121"/>
        <v>0.40261538251212264</v>
      </c>
      <c r="P335" s="21">
        <f t="shared" si="122"/>
        <v>1.8591963672400215E-2</v>
      </c>
      <c r="R335" s="22" t="e">
        <f>$I335*IF($E335&gt;_xlfn.AGGREGATE(4,6,'KM Data'!$E$6:$E$205),NA(),INDEX('KM Data'!$F$6:$F$205,MATCH($E335,'KM Data'!$E$6:$E$205,1)))</f>
        <v>#N/A</v>
      </c>
      <c r="S335" s="21">
        <f t="shared" si="110"/>
        <v>0.10021269307724201</v>
      </c>
      <c r="T335" s="8">
        <f t="shared" si="113"/>
        <v>3.1210489460110624E-3</v>
      </c>
      <c r="U335" s="21">
        <f t="shared" si="123"/>
        <v>7.9950792798373416E-2</v>
      </c>
      <c r="V335" s="21">
        <f t="shared" si="124"/>
        <v>0.40261538251212264</v>
      </c>
      <c r="W335" s="21">
        <f t="shared" si="125"/>
        <v>7.9950792798373416E-2</v>
      </c>
      <c r="Y335" s="23">
        <f t="shared" si="114"/>
        <v>1.8591963672400215E-2</v>
      </c>
      <c r="Z335" s="6">
        <f t="shared" si="115"/>
        <v>6.1358829125973201E-2</v>
      </c>
      <c r="AA335" s="6">
        <f t="shared" si="116"/>
        <v>0.92004920720162664</v>
      </c>
      <c r="AB335" s="6">
        <f t="shared" si="117"/>
        <v>1</v>
      </c>
    </row>
    <row r="336" spans="1:28" x14ac:dyDescent="0.35">
      <c r="A336">
        <v>327</v>
      </c>
      <c r="B336" s="17">
        <f t="shared" si="118"/>
        <v>9922.625</v>
      </c>
      <c r="C336" s="17">
        <f t="shared" si="111"/>
        <v>9953.0625</v>
      </c>
      <c r="D336" s="17">
        <f t="shared" si="119"/>
        <v>9937.84375</v>
      </c>
      <c r="E336" s="17">
        <f t="shared" si="105"/>
        <v>326.5</v>
      </c>
      <c r="F336" s="17">
        <f t="shared" si="106"/>
        <v>87.208333333333329</v>
      </c>
      <c r="G336" s="21">
        <f>INDEX('Life Tables'!$F$8:$F$123,MATCH(Engine!F336,'Life Tables'!$B$8:$B$123,1))</f>
        <v>9.5730280347814389E-3</v>
      </c>
      <c r="H336" s="8">
        <f t="shared" si="107"/>
        <v>0.39501224231136206</v>
      </c>
      <c r="I336">
        <f t="shared" si="108"/>
        <v>1</v>
      </c>
      <c r="K336" s="22" t="e">
        <f>$I336*IF($E336&gt;_xlfn.AGGREGATE(4,6,'KM Data'!$B$6:$B$310),NA(),INDEX('KM Data'!$C$6:$C$310,MATCH($E336,'KM Data'!$B$6:$B$310,1)))</f>
        <v>#N/A</v>
      </c>
      <c r="L336" s="21">
        <f t="shared" si="109"/>
        <v>2.0379951125926277E-2</v>
      </c>
      <c r="M336" s="20">
        <f t="shared" si="112"/>
        <v>4.8643788059165027E-3</v>
      </c>
      <c r="N336" s="21">
        <f t="shared" si="120"/>
        <v>1.8413982282942689E-2</v>
      </c>
      <c r="O336" s="21">
        <f t="shared" si="121"/>
        <v>0.39876113416809983</v>
      </c>
      <c r="P336" s="21">
        <f t="shared" si="122"/>
        <v>1.8413982282942689E-2</v>
      </c>
      <c r="R336" s="22" t="e">
        <f>$I336*IF($E336&gt;_xlfn.AGGREGATE(4,6,'KM Data'!$E$6:$E$205),NA(),INDEX('KM Data'!$F$6:$F$205,MATCH($E336,'KM Data'!$E$6:$E$205,1)))</f>
        <v>#N/A</v>
      </c>
      <c r="S336" s="21">
        <f t="shared" si="110"/>
        <v>9.9899924357136349E-2</v>
      </c>
      <c r="T336" s="8">
        <f t="shared" si="113"/>
        <v>3.1141360063401402E-3</v>
      </c>
      <c r="U336" s="21">
        <f t="shared" si="123"/>
        <v>7.9185421617511589E-2</v>
      </c>
      <c r="V336" s="21">
        <f t="shared" si="124"/>
        <v>0.39876113416809983</v>
      </c>
      <c r="W336" s="21">
        <f t="shared" si="125"/>
        <v>7.9185421617511589E-2</v>
      </c>
      <c r="Y336" s="23">
        <f t="shared" si="114"/>
        <v>1.8413982282942689E-2</v>
      </c>
      <c r="Z336" s="6">
        <f t="shared" si="115"/>
        <v>6.0771439334568897E-2</v>
      </c>
      <c r="AA336" s="6">
        <f t="shared" si="116"/>
        <v>0.92081457838248837</v>
      </c>
      <c r="AB336" s="6">
        <f t="shared" si="117"/>
        <v>1</v>
      </c>
    </row>
    <row r="337" spans="1:28" x14ac:dyDescent="0.35">
      <c r="A337">
        <v>328</v>
      </c>
      <c r="B337" s="17">
        <f t="shared" si="118"/>
        <v>9953.0625</v>
      </c>
      <c r="C337" s="17">
        <f t="shared" si="111"/>
        <v>9983.5</v>
      </c>
      <c r="D337" s="17">
        <f t="shared" si="119"/>
        <v>9968.28125</v>
      </c>
      <c r="E337" s="17">
        <f t="shared" si="105"/>
        <v>327.5</v>
      </c>
      <c r="F337" s="17">
        <f t="shared" si="106"/>
        <v>87.291666666666671</v>
      </c>
      <c r="G337" s="21">
        <f>INDEX('Life Tables'!$F$8:$F$123,MATCH(Engine!F337,'Life Tables'!$B$8:$B$123,1))</f>
        <v>9.5730280347814389E-3</v>
      </c>
      <c r="H337" s="8">
        <f t="shared" si="107"/>
        <v>0.39501224231136206</v>
      </c>
      <c r="I337">
        <f t="shared" si="108"/>
        <v>1</v>
      </c>
      <c r="K337" s="22" t="e">
        <f>$I337*IF($E337&gt;_xlfn.AGGREGATE(4,6,'KM Data'!$B$6:$B$310),NA(),INDEX('KM Data'!$C$6:$C$310,MATCH($E337,'KM Data'!$B$6:$B$310,1)))</f>
        <v>#N/A</v>
      </c>
      <c r="L337" s="21">
        <f t="shared" si="109"/>
        <v>2.0280815323603707E-2</v>
      </c>
      <c r="M337" s="20">
        <f t="shared" si="112"/>
        <v>4.8531731590877314E-3</v>
      </c>
      <c r="N337" s="21">
        <f t="shared" si="120"/>
        <v>1.823770471431611E-2</v>
      </c>
      <c r="O337" s="21">
        <f t="shared" si="121"/>
        <v>0.39494378265152735</v>
      </c>
      <c r="P337" s="21">
        <f t="shared" si="122"/>
        <v>1.823770471431611E-2</v>
      </c>
      <c r="R337" s="22" t="e">
        <f>$I337*IF($E337&gt;_xlfn.AGGREGATE(4,6,'KM Data'!$E$6:$E$205),NA(),INDEX('KM Data'!$F$6:$F$205,MATCH($E337,'KM Data'!$E$6:$E$205,1)))</f>
        <v>#N/A</v>
      </c>
      <c r="S337" s="21">
        <f t="shared" si="110"/>
        <v>9.9588822405665134E-2</v>
      </c>
      <c r="T337" s="8">
        <f t="shared" si="113"/>
        <v>3.107257741741476E-3</v>
      </c>
      <c r="U337" s="21">
        <f t="shared" si="123"/>
        <v>7.8427377356421163E-2</v>
      </c>
      <c r="V337" s="21">
        <f t="shared" si="124"/>
        <v>0.39494378265152735</v>
      </c>
      <c r="W337" s="21">
        <f t="shared" si="125"/>
        <v>7.8427377356421163E-2</v>
      </c>
      <c r="Y337" s="23">
        <f t="shared" si="114"/>
        <v>1.823770471431611E-2</v>
      </c>
      <c r="Z337" s="6">
        <f t="shared" si="115"/>
        <v>6.0189672642105049E-2</v>
      </c>
      <c r="AA337" s="6">
        <f t="shared" si="116"/>
        <v>0.92157262264357886</v>
      </c>
      <c r="AB337" s="6">
        <f t="shared" si="117"/>
        <v>1</v>
      </c>
    </row>
    <row r="338" spans="1:28" x14ac:dyDescent="0.35">
      <c r="A338">
        <v>329</v>
      </c>
      <c r="B338" s="17">
        <f t="shared" si="118"/>
        <v>9983.5</v>
      </c>
      <c r="C338" s="17">
        <f t="shared" si="111"/>
        <v>10013.9375</v>
      </c>
      <c r="D338" s="17">
        <f t="shared" si="119"/>
        <v>9998.71875</v>
      </c>
      <c r="E338" s="17">
        <f t="shared" si="105"/>
        <v>328.5</v>
      </c>
      <c r="F338" s="17">
        <f t="shared" si="106"/>
        <v>87.375</v>
      </c>
      <c r="G338" s="21">
        <f>INDEX('Life Tables'!$F$8:$F$123,MATCH(Engine!F338,'Life Tables'!$B$8:$B$123,1))</f>
        <v>9.5730280347814389E-3</v>
      </c>
      <c r="H338" s="8">
        <f t="shared" si="107"/>
        <v>0.39501224231136206</v>
      </c>
      <c r="I338">
        <f t="shared" si="108"/>
        <v>1</v>
      </c>
      <c r="K338" s="22" t="e">
        <f>$I338*IF($E338&gt;_xlfn.AGGREGATE(4,6,'KM Data'!$B$6:$B$310),NA(),INDEX('KM Data'!$C$6:$C$310,MATCH($E338,'KM Data'!$B$6:$B$310,1)))</f>
        <v>#N/A</v>
      </c>
      <c r="L338" s="21">
        <f t="shared" si="109"/>
        <v>2.0182389015030777E-2</v>
      </c>
      <c r="M338" s="20">
        <f t="shared" si="112"/>
        <v>4.8420250794900532E-3</v>
      </c>
      <c r="N338" s="21">
        <f t="shared" si="120"/>
        <v>1.8063114655795895E-2</v>
      </c>
      <c r="O338" s="21">
        <f t="shared" si="121"/>
        <v>0.39116297474804168</v>
      </c>
      <c r="P338" s="21">
        <f t="shared" si="122"/>
        <v>1.8063114655795895E-2</v>
      </c>
      <c r="R338" s="22" t="e">
        <f>$I338*IF($E338&gt;_xlfn.AGGREGATE(4,6,'KM Data'!$E$6:$E$205),NA(),INDEX('KM Data'!$F$6:$F$205,MATCH($E338,'KM Data'!$E$6:$E$205,1)))</f>
        <v>#N/A</v>
      </c>
      <c r="S338" s="21">
        <f t="shared" si="110"/>
        <v>9.9279374266254217E-2</v>
      </c>
      <c r="T338" s="8">
        <f t="shared" si="113"/>
        <v>3.1004138791344005E-3</v>
      </c>
      <c r="U338" s="21">
        <f t="shared" si="123"/>
        <v>7.7676589874293767E-2</v>
      </c>
      <c r="V338" s="21">
        <f t="shared" si="124"/>
        <v>0.39116297474804168</v>
      </c>
      <c r="W338" s="21">
        <f t="shared" si="125"/>
        <v>7.7676589874293767E-2</v>
      </c>
      <c r="Y338" s="23">
        <f t="shared" si="114"/>
        <v>1.8063114655795895E-2</v>
      </c>
      <c r="Z338" s="6">
        <f t="shared" si="115"/>
        <v>5.9613475218497872E-2</v>
      </c>
      <c r="AA338" s="6">
        <f t="shared" si="116"/>
        <v>0.92232341012570629</v>
      </c>
      <c r="AB338" s="6">
        <f t="shared" si="117"/>
        <v>1</v>
      </c>
    </row>
    <row r="339" spans="1:28" x14ac:dyDescent="0.35">
      <c r="A339">
        <v>330</v>
      </c>
      <c r="B339" s="17">
        <f t="shared" si="118"/>
        <v>10013.9375</v>
      </c>
      <c r="C339" s="17">
        <f t="shared" si="111"/>
        <v>10044.375</v>
      </c>
      <c r="D339" s="17">
        <f t="shared" si="119"/>
        <v>10029.15625</v>
      </c>
      <c r="E339" s="17">
        <f t="shared" si="105"/>
        <v>329.5</v>
      </c>
      <c r="F339" s="17">
        <f t="shared" si="106"/>
        <v>87.458333333333329</v>
      </c>
      <c r="G339" s="21">
        <f>INDEX('Life Tables'!$F$8:$F$123,MATCH(Engine!F339,'Life Tables'!$B$8:$B$123,1))</f>
        <v>9.5730280347814389E-3</v>
      </c>
      <c r="H339" s="8">
        <f t="shared" si="107"/>
        <v>0.39501224231136206</v>
      </c>
      <c r="I339">
        <f t="shared" si="108"/>
        <v>1</v>
      </c>
      <c r="K339" s="22" t="e">
        <f>$I339*IF($E339&gt;_xlfn.AGGREGATE(4,6,'KM Data'!$B$6:$B$310),NA(),INDEX('KM Data'!$C$6:$C$310,MATCH($E339,'KM Data'!$B$6:$B$310,1)))</f>
        <v>#N/A</v>
      </c>
      <c r="L339" s="21">
        <f t="shared" si="109"/>
        <v>2.0084665381255973E-2</v>
      </c>
      <c r="M339" s="20">
        <f t="shared" si="112"/>
        <v>4.8309341056496091E-3</v>
      </c>
      <c r="N339" s="21">
        <f t="shared" si="120"/>
        <v>1.7890195952800489E-2</v>
      </c>
      <c r="O339" s="21">
        <f t="shared" si="121"/>
        <v>0.38741836062461016</v>
      </c>
      <c r="P339" s="21">
        <f t="shared" si="122"/>
        <v>1.7890195952800489E-2</v>
      </c>
      <c r="R339" s="22" t="e">
        <f>$I339*IF($E339&gt;_xlfn.AGGREGATE(4,6,'KM Data'!$E$6:$E$205),NA(),INDEX('KM Data'!$F$6:$F$205,MATCH($E339,'KM Data'!$E$6:$E$205,1)))</f>
        <v>#N/A</v>
      </c>
      <c r="S339" s="21">
        <f t="shared" si="110"/>
        <v>9.8971567116367343E-2</v>
      </c>
      <c r="T339" s="8">
        <f t="shared" si="113"/>
        <v>3.0936041483748955E-3</v>
      </c>
      <c r="U339" s="21">
        <f t="shared" si="123"/>
        <v>7.6932989701780932E-2</v>
      </c>
      <c r="V339" s="21">
        <f t="shared" si="124"/>
        <v>0.38741836062461016</v>
      </c>
      <c r="W339" s="21">
        <f t="shared" si="125"/>
        <v>7.6932989701780932E-2</v>
      </c>
      <c r="Y339" s="23">
        <f t="shared" si="114"/>
        <v>1.7890195952800489E-2</v>
      </c>
      <c r="Z339" s="6">
        <f t="shared" si="115"/>
        <v>5.9042793748980443E-2</v>
      </c>
      <c r="AA339" s="6">
        <f t="shared" si="116"/>
        <v>0.92306701029821903</v>
      </c>
      <c r="AB339" s="6">
        <f t="shared" si="117"/>
        <v>1</v>
      </c>
    </row>
    <row r="340" spans="1:28" x14ac:dyDescent="0.35">
      <c r="A340">
        <v>331</v>
      </c>
      <c r="B340" s="17">
        <f t="shared" si="118"/>
        <v>10044.375</v>
      </c>
      <c r="C340" s="17">
        <f t="shared" si="111"/>
        <v>10074.8125</v>
      </c>
      <c r="D340" s="17">
        <f t="shared" si="119"/>
        <v>10059.59375</v>
      </c>
      <c r="E340" s="17">
        <f t="shared" si="105"/>
        <v>330.5</v>
      </c>
      <c r="F340" s="17">
        <f t="shared" si="106"/>
        <v>87.541666666666671</v>
      </c>
      <c r="G340" s="21">
        <f>INDEX('Life Tables'!$F$8:$F$123,MATCH(Engine!F340,'Life Tables'!$B$8:$B$123,1))</f>
        <v>9.5730280347814389E-3</v>
      </c>
      <c r="H340" s="8">
        <f t="shared" si="107"/>
        <v>0.39501224231136206</v>
      </c>
      <c r="I340">
        <f t="shared" si="108"/>
        <v>1</v>
      </c>
      <c r="K340" s="22" t="e">
        <f>$I340*IF($E340&gt;_xlfn.AGGREGATE(4,6,'KM Data'!$B$6:$B$310),NA(),INDEX('KM Data'!$C$6:$C$310,MATCH($E340,'KM Data'!$B$6:$B$310,1)))</f>
        <v>#N/A</v>
      </c>
      <c r="L340" s="21">
        <f t="shared" si="109"/>
        <v>1.9987637686265103E-2</v>
      </c>
      <c r="M340" s="20">
        <f t="shared" si="112"/>
        <v>4.8198997811377264E-3</v>
      </c>
      <c r="N340" s="21">
        <f t="shared" si="120"/>
        <v>1.7718932605396597E-2</v>
      </c>
      <c r="O340" s="21">
        <f t="shared" si="121"/>
        <v>0.38370959379716169</v>
      </c>
      <c r="P340" s="21">
        <f t="shared" si="122"/>
        <v>1.7718932605396597E-2</v>
      </c>
      <c r="R340" s="22" t="e">
        <f>$I340*IF($E340&gt;_xlfn.AGGREGATE(4,6,'KM Data'!$E$6:$E$205),NA(),INDEX('KM Data'!$F$6:$F$205,MATCH($E340,'KM Data'!$E$6:$E$205,1)))</f>
        <v>#N/A</v>
      </c>
      <c r="S340" s="21">
        <f t="shared" si="110"/>
        <v>9.8665388265764986E-2</v>
      </c>
      <c r="T340" s="8">
        <f t="shared" si="113"/>
        <v>3.086828282217291E-3</v>
      </c>
      <c r="U340" s="21">
        <f t="shared" si="123"/>
        <v>7.6196508034566235E-2</v>
      </c>
      <c r="V340" s="21">
        <f t="shared" si="124"/>
        <v>0.38370959379716169</v>
      </c>
      <c r="W340" s="21">
        <f t="shared" si="125"/>
        <v>7.6196508034566235E-2</v>
      </c>
      <c r="Y340" s="23">
        <f t="shared" si="114"/>
        <v>1.7718932605396597E-2</v>
      </c>
      <c r="Z340" s="6">
        <f t="shared" si="115"/>
        <v>5.8477575429169634E-2</v>
      </c>
      <c r="AA340" s="6">
        <f t="shared" si="116"/>
        <v>0.92380349196543377</v>
      </c>
      <c r="AB340" s="6">
        <f t="shared" si="117"/>
        <v>1</v>
      </c>
    </row>
    <row r="341" spans="1:28" x14ac:dyDescent="0.35">
      <c r="A341">
        <v>332</v>
      </c>
      <c r="B341" s="17">
        <f t="shared" si="118"/>
        <v>10074.8125</v>
      </c>
      <c r="C341" s="17">
        <f t="shared" si="111"/>
        <v>10105.25</v>
      </c>
      <c r="D341" s="17">
        <f t="shared" si="119"/>
        <v>10090.03125</v>
      </c>
      <c r="E341" s="17">
        <f t="shared" si="105"/>
        <v>331.5</v>
      </c>
      <c r="F341" s="17">
        <f t="shared" si="106"/>
        <v>87.625</v>
      </c>
      <c r="G341" s="21">
        <f>INDEX('Life Tables'!$F$8:$F$123,MATCH(Engine!F341,'Life Tables'!$B$8:$B$123,1))</f>
        <v>9.5730280347814389E-3</v>
      </c>
      <c r="H341" s="8">
        <f t="shared" si="107"/>
        <v>0.39501224231136206</v>
      </c>
      <c r="I341">
        <f t="shared" si="108"/>
        <v>1</v>
      </c>
      <c r="K341" s="22" t="e">
        <f>$I341*IF($E341&gt;_xlfn.AGGREGATE(4,6,'KM Data'!$B$6:$B$310),NA(),INDEX('KM Data'!$C$6:$C$310,MATCH($E341,'KM Data'!$B$6:$B$310,1)))</f>
        <v>#N/A</v>
      </c>
      <c r="L341" s="21">
        <f t="shared" si="109"/>
        <v>1.9891299275755614E-2</v>
      </c>
      <c r="M341" s="20">
        <f t="shared" si="112"/>
        <v>4.8089216544757729E-3</v>
      </c>
      <c r="N341" s="21">
        <f t="shared" si="120"/>
        <v>1.7549308766818733E-2</v>
      </c>
      <c r="O341" s="21">
        <f t="shared" si="121"/>
        <v>0.38003633109852686</v>
      </c>
      <c r="P341" s="21">
        <f t="shared" si="122"/>
        <v>1.7549308766818733E-2</v>
      </c>
      <c r="R341" s="22" t="e">
        <f>$I341*IF($E341&gt;_xlfn.AGGREGATE(4,6,'KM Data'!$E$6:$E$205),NA(),INDEX('KM Data'!$F$6:$F$205,MATCH($E341,'KM Data'!$E$6:$E$205,1)))</f>
        <v>#N/A</v>
      </c>
      <c r="S341" s="21">
        <f t="shared" si="110"/>
        <v>9.8360825154790277E-2</v>
      </c>
      <c r="T341" s="8">
        <f t="shared" si="113"/>
        <v>3.0800860162665256E-3</v>
      </c>
      <c r="U341" s="21">
        <f t="shared" si="123"/>
        <v>7.5467076726998886E-2</v>
      </c>
      <c r="V341" s="21">
        <f t="shared" si="124"/>
        <v>0.38003633109852686</v>
      </c>
      <c r="W341" s="21">
        <f t="shared" si="125"/>
        <v>7.5467076726998886E-2</v>
      </c>
      <c r="Y341" s="23">
        <f t="shared" si="114"/>
        <v>1.7549308766818733E-2</v>
      </c>
      <c r="Z341" s="6">
        <f t="shared" si="115"/>
        <v>5.7917767960180153E-2</v>
      </c>
      <c r="AA341" s="6">
        <f t="shared" si="116"/>
        <v>0.92453292327300107</v>
      </c>
      <c r="AB341" s="6">
        <f t="shared" si="117"/>
        <v>1</v>
      </c>
    </row>
    <row r="342" spans="1:28" x14ac:dyDescent="0.35">
      <c r="A342">
        <v>333</v>
      </c>
      <c r="B342" s="17">
        <f t="shared" si="118"/>
        <v>10105.25</v>
      </c>
      <c r="C342" s="17">
        <f t="shared" si="111"/>
        <v>10135.6875</v>
      </c>
      <c r="D342" s="17">
        <f t="shared" si="119"/>
        <v>10120.46875</v>
      </c>
      <c r="E342" s="17">
        <f t="shared" si="105"/>
        <v>332.5</v>
      </c>
      <c r="F342" s="17">
        <f t="shared" si="106"/>
        <v>87.708333333333329</v>
      </c>
      <c r="G342" s="21">
        <f>INDEX('Life Tables'!$F$8:$F$123,MATCH(Engine!F342,'Life Tables'!$B$8:$B$123,1))</f>
        <v>9.5730280347814389E-3</v>
      </c>
      <c r="H342" s="8">
        <f t="shared" si="107"/>
        <v>0.39501224231136206</v>
      </c>
      <c r="I342">
        <f t="shared" si="108"/>
        <v>1</v>
      </c>
      <c r="K342" s="22" t="e">
        <f>$I342*IF($E342&gt;_xlfn.AGGREGATE(4,6,'KM Data'!$B$6:$B$310),NA(),INDEX('KM Data'!$C$6:$C$310,MATCH($E342,'KM Data'!$B$6:$B$310,1)))</f>
        <v>#N/A</v>
      </c>
      <c r="L342" s="21">
        <f t="shared" si="109"/>
        <v>1.9795643575932775E-2</v>
      </c>
      <c r="M342" s="20">
        <f t="shared" si="112"/>
        <v>4.7979992790749826E-3</v>
      </c>
      <c r="N342" s="21">
        <f t="shared" si="120"/>
        <v>1.7381308742002943E-2</v>
      </c>
      <c r="O342" s="21">
        <f t="shared" si="121"/>
        <v>0.3763982326466852</v>
      </c>
      <c r="P342" s="21">
        <f t="shared" si="122"/>
        <v>1.7381308742002943E-2</v>
      </c>
      <c r="R342" s="22" t="e">
        <f>$I342*IF($E342&gt;_xlfn.AGGREGATE(4,6,'KM Data'!$E$6:$E$205),NA(),INDEX('KM Data'!$F$6:$F$205,MATCH($E342,'KM Data'!$E$6:$E$205,1)))</f>
        <v>#N/A</v>
      </c>
      <c r="S342" s="21">
        <f t="shared" si="110"/>
        <v>9.8057865352682572E-2</v>
      </c>
      <c r="T342" s="8">
        <f t="shared" si="113"/>
        <v>3.0733770889495027E-3</v>
      </c>
      <c r="U342" s="21">
        <f t="shared" si="123"/>
        <v>7.4744628285788317E-2</v>
      </c>
      <c r="V342" s="21">
        <f t="shared" si="124"/>
        <v>0.3763982326466852</v>
      </c>
      <c r="W342" s="21">
        <f t="shared" si="125"/>
        <v>7.4744628285788317E-2</v>
      </c>
      <c r="Y342" s="23">
        <f t="shared" si="114"/>
        <v>1.7381308742002943E-2</v>
      </c>
      <c r="Z342" s="6">
        <f t="shared" si="115"/>
        <v>5.7363319543785374E-2</v>
      </c>
      <c r="AA342" s="6">
        <f t="shared" si="116"/>
        <v>0.92525537171421168</v>
      </c>
      <c r="AB342" s="6">
        <f t="shared" si="117"/>
        <v>1</v>
      </c>
    </row>
    <row r="343" spans="1:28" x14ac:dyDescent="0.35">
      <c r="A343">
        <v>334</v>
      </c>
      <c r="B343" s="17">
        <f t="shared" si="118"/>
        <v>10135.6875</v>
      </c>
      <c r="C343" s="17">
        <f t="shared" si="111"/>
        <v>10166.125</v>
      </c>
      <c r="D343" s="17">
        <f t="shared" si="119"/>
        <v>10150.90625</v>
      </c>
      <c r="E343" s="17">
        <f t="shared" si="105"/>
        <v>333.5</v>
      </c>
      <c r="F343" s="17">
        <f t="shared" si="106"/>
        <v>87.791666666666671</v>
      </c>
      <c r="G343" s="21">
        <f>INDEX('Life Tables'!$F$8:$F$123,MATCH(Engine!F343,'Life Tables'!$B$8:$B$123,1))</f>
        <v>9.5730280347814389E-3</v>
      </c>
      <c r="H343" s="8">
        <f t="shared" si="107"/>
        <v>0.39501224231136206</v>
      </c>
      <c r="I343">
        <f t="shared" si="108"/>
        <v>1</v>
      </c>
      <c r="K343" s="22" t="e">
        <f>$I343*IF($E343&gt;_xlfn.AGGREGATE(4,6,'KM Data'!$B$6:$B$310),NA(),INDEX('KM Data'!$C$6:$C$310,MATCH($E343,'KM Data'!$B$6:$B$310,1)))</f>
        <v>#N/A</v>
      </c>
      <c r="L343" s="21">
        <f t="shared" si="109"/>
        <v>1.9700664092326625E-2</v>
      </c>
      <c r="M343" s="20">
        <f t="shared" si="112"/>
        <v>4.7871322131957106E-3</v>
      </c>
      <c r="N343" s="21">
        <f t="shared" si="120"/>
        <v>1.7214916986134556E-2</v>
      </c>
      <c r="O343" s="21">
        <f t="shared" si="121"/>
        <v>0.37279496181331628</v>
      </c>
      <c r="P343" s="21">
        <f t="shared" si="122"/>
        <v>1.7214916986134556E-2</v>
      </c>
      <c r="R343" s="22" t="e">
        <f>$I343*IF($E343&gt;_xlfn.AGGREGATE(4,6,'KM Data'!$E$6:$E$205),NA(),INDEX('KM Data'!$F$6:$F$205,MATCH($E343,'KM Data'!$E$6:$E$205,1)))</f>
        <v>#N/A</v>
      </c>
      <c r="S343" s="21">
        <f t="shared" si="110"/>
        <v>9.7756496555916339E-2</v>
      </c>
      <c r="T343" s="8">
        <f t="shared" si="113"/>
        <v>3.0667012414709038E-3</v>
      </c>
      <c r="U343" s="21">
        <f t="shared" si="123"/>
        <v>7.4029095863759151E-2</v>
      </c>
      <c r="V343" s="21">
        <f t="shared" si="124"/>
        <v>0.37279496181331628</v>
      </c>
      <c r="W343" s="21">
        <f t="shared" si="125"/>
        <v>7.4029095863759151E-2</v>
      </c>
      <c r="Y343" s="23">
        <f t="shared" si="114"/>
        <v>1.7214916986134556E-2</v>
      </c>
      <c r="Z343" s="6">
        <f t="shared" si="115"/>
        <v>5.6814178877624591E-2</v>
      </c>
      <c r="AA343" s="6">
        <f t="shared" si="116"/>
        <v>0.92597090413624084</v>
      </c>
      <c r="AB343" s="6">
        <f t="shared" si="117"/>
        <v>1</v>
      </c>
    </row>
    <row r="344" spans="1:28" x14ac:dyDescent="0.35">
      <c r="A344">
        <v>335</v>
      </c>
      <c r="B344" s="17">
        <f t="shared" si="118"/>
        <v>10166.125</v>
      </c>
      <c r="C344" s="17">
        <f t="shared" si="111"/>
        <v>10196.5625</v>
      </c>
      <c r="D344" s="17">
        <f t="shared" si="119"/>
        <v>10181.34375</v>
      </c>
      <c r="E344" s="17">
        <f t="shared" si="105"/>
        <v>334.5</v>
      </c>
      <c r="F344" s="17">
        <f t="shared" si="106"/>
        <v>87.875</v>
      </c>
      <c r="G344" s="21">
        <f>INDEX('Life Tables'!$F$8:$F$123,MATCH(Engine!F344,'Life Tables'!$B$8:$B$123,1))</f>
        <v>9.5730280347814389E-3</v>
      </c>
      <c r="H344" s="8">
        <f t="shared" si="107"/>
        <v>0.39501224231136206</v>
      </c>
      <c r="I344">
        <f t="shared" si="108"/>
        <v>1</v>
      </c>
      <c r="K344" s="22" t="e">
        <f>$I344*IF($E344&gt;_xlfn.AGGREGATE(4,6,'KM Data'!$B$6:$B$310),NA(),INDEX('KM Data'!$C$6:$C$310,MATCH($E344,'KM Data'!$B$6:$B$310,1)))</f>
        <v>#N/A</v>
      </c>
      <c r="L344" s="21">
        <f t="shared" si="109"/>
        <v>1.9606354408628901E-2</v>
      </c>
      <c r="M344" s="20">
        <f t="shared" si="112"/>
        <v>4.7763200198310818E-3</v>
      </c>
      <c r="N344" s="21">
        <f t="shared" si="120"/>
        <v>1.7050118103209853E-2</v>
      </c>
      <c r="O344" s="21">
        <f t="shared" si="121"/>
        <v>0.36922618519265216</v>
      </c>
      <c r="P344" s="21">
        <f t="shared" si="122"/>
        <v>1.7050118103209853E-2</v>
      </c>
      <c r="R344" s="22" t="e">
        <f>$I344*IF($E344&gt;_xlfn.AGGREGATE(4,6,'KM Data'!$E$6:$E$205),NA(),INDEX('KM Data'!$F$6:$F$205,MATCH($E344,'KM Data'!$E$6:$E$205,1)))</f>
        <v>#N/A</v>
      </c>
      <c r="S344" s="21">
        <f t="shared" si="110"/>
        <v>9.7456706586566466E-2</v>
      </c>
      <c r="T344" s="8">
        <f t="shared" si="113"/>
        <v>3.0600582177735536E-3</v>
      </c>
      <c r="U344" s="21">
        <f t="shared" si="123"/>
        <v>7.3320413253665867E-2</v>
      </c>
      <c r="V344" s="21">
        <f t="shared" si="124"/>
        <v>0.36922618519265216</v>
      </c>
      <c r="W344" s="21">
        <f t="shared" si="125"/>
        <v>7.3320413253665867E-2</v>
      </c>
      <c r="Y344" s="23">
        <f t="shared" si="114"/>
        <v>1.7050118103209853E-2</v>
      </c>
      <c r="Z344" s="6">
        <f t="shared" si="115"/>
        <v>5.6270295150456014E-2</v>
      </c>
      <c r="AA344" s="6">
        <f t="shared" si="116"/>
        <v>0.92667958674633411</v>
      </c>
      <c r="AB344" s="6">
        <f t="shared" si="117"/>
        <v>1</v>
      </c>
    </row>
    <row r="345" spans="1:28" x14ac:dyDescent="0.35">
      <c r="A345">
        <v>336</v>
      </c>
      <c r="B345" s="17">
        <f t="shared" si="118"/>
        <v>10196.5625</v>
      </c>
      <c r="C345" s="17">
        <f t="shared" si="111"/>
        <v>10227</v>
      </c>
      <c r="D345" s="17">
        <f t="shared" si="119"/>
        <v>10211.78125</v>
      </c>
      <c r="E345" s="17">
        <f t="shared" si="105"/>
        <v>335.5</v>
      </c>
      <c r="F345" s="17">
        <f t="shared" si="106"/>
        <v>87.958333333333329</v>
      </c>
      <c r="G345" s="21">
        <f>INDEX('Life Tables'!$F$8:$F$123,MATCH(Engine!F345,'Life Tables'!$B$8:$B$123,1))</f>
        <v>9.5730280347814389E-3</v>
      </c>
      <c r="H345" s="8">
        <f t="shared" si="107"/>
        <v>0.38165434039745127</v>
      </c>
      <c r="I345">
        <f t="shared" si="108"/>
        <v>1</v>
      </c>
      <c r="K345" s="22" t="e">
        <f>$I345*IF($E345&gt;_xlfn.AGGREGATE(4,6,'KM Data'!$B$6:$B$310),NA(),INDEX('KM Data'!$C$6:$C$310,MATCH($E345,'KM Data'!$B$6:$B$310,1)))</f>
        <v>#N/A</v>
      </c>
      <c r="L345" s="21">
        <f t="shared" si="109"/>
        <v>1.9512708185551064E-2</v>
      </c>
      <c r="M345" s="20">
        <f t="shared" si="112"/>
        <v>4.7655622666947783E-3</v>
      </c>
      <c r="N345" s="21">
        <f t="shared" si="120"/>
        <v>1.688689684461149E-2</v>
      </c>
      <c r="O345" s="21">
        <f t="shared" si="121"/>
        <v>0.36569157257062751</v>
      </c>
      <c r="P345" s="21">
        <f t="shared" si="122"/>
        <v>1.688689684461149E-2</v>
      </c>
      <c r="R345" s="22" t="e">
        <f>$I345*IF($E345&gt;_xlfn.AGGREGATE(4,6,'KM Data'!$E$6:$E$205),NA(),INDEX('KM Data'!$F$6:$F$205,MATCH($E345,'KM Data'!$E$6:$E$205,1)))</f>
        <v>#N/A</v>
      </c>
      <c r="S345" s="21">
        <f t="shared" si="110"/>
        <v>9.7158483390699102E-2</v>
      </c>
      <c r="T345" s="8">
        <f t="shared" si="113"/>
        <v>3.0534477645134395E-3</v>
      </c>
      <c r="U345" s="21">
        <f t="shared" si="123"/>
        <v>7.2618514882066762E-2</v>
      </c>
      <c r="V345" s="21">
        <f t="shared" si="124"/>
        <v>0.36569157257062751</v>
      </c>
      <c r="W345" s="21">
        <f t="shared" si="125"/>
        <v>7.2618514882066762E-2</v>
      </c>
      <c r="Y345" s="23">
        <f t="shared" si="114"/>
        <v>1.688689684461149E-2</v>
      </c>
      <c r="Z345" s="6">
        <f t="shared" si="115"/>
        <v>5.5731618037455272E-2</v>
      </c>
      <c r="AA345" s="6">
        <f t="shared" si="116"/>
        <v>0.92738148511793328</v>
      </c>
      <c r="AB345" s="6">
        <f t="shared" si="117"/>
        <v>1</v>
      </c>
    </row>
    <row r="346" spans="1:28" x14ac:dyDescent="0.35">
      <c r="A346">
        <v>337</v>
      </c>
      <c r="B346" s="17">
        <f t="shared" si="118"/>
        <v>10227</v>
      </c>
      <c r="C346" s="17">
        <f t="shared" si="111"/>
        <v>10257.4375</v>
      </c>
      <c r="D346" s="17">
        <f t="shared" si="119"/>
        <v>10242.21875</v>
      </c>
      <c r="E346" s="17">
        <f t="shared" si="105"/>
        <v>336.5</v>
      </c>
      <c r="F346" s="17">
        <f t="shared" si="106"/>
        <v>88.041666666666671</v>
      </c>
      <c r="G346" s="21">
        <f>INDEX('Life Tables'!$F$8:$F$123,MATCH(Engine!F346,'Life Tables'!$B$8:$B$123,1))</f>
        <v>1.0949990159130452E-2</v>
      </c>
      <c r="H346" s="8">
        <f t="shared" si="107"/>
        <v>0.38165434039745127</v>
      </c>
      <c r="I346">
        <f t="shared" si="108"/>
        <v>1</v>
      </c>
      <c r="K346" s="22" t="e">
        <f>$I346*IF($E346&gt;_xlfn.AGGREGATE(4,6,'KM Data'!$B$6:$B$310),NA(),INDEX('KM Data'!$C$6:$C$310,MATCH($E346,'KM Data'!$B$6:$B$310,1)))</f>
        <v>#N/A</v>
      </c>
      <c r="L346" s="21">
        <f t="shared" si="109"/>
        <v>1.9419719159700977E-2</v>
      </c>
      <c r="M346" s="20">
        <f t="shared" si="112"/>
        <v>4.7548585261171228E-3</v>
      </c>
      <c r="N346" s="21">
        <f t="shared" si="120"/>
        <v>1.6725238107697563E-2</v>
      </c>
      <c r="O346" s="21">
        <f t="shared" si="121"/>
        <v>0.3621907968943256</v>
      </c>
      <c r="P346" s="21">
        <f t="shared" si="122"/>
        <v>1.6725238107697563E-2</v>
      </c>
      <c r="R346" s="22" t="e">
        <f>$I346*IF($E346&gt;_xlfn.AGGREGATE(4,6,'KM Data'!$E$6:$E$205),NA(),INDEX('KM Data'!$F$6:$F$205,MATCH($E346,'KM Data'!$E$6:$E$205,1)))</f>
        <v>#N/A</v>
      </c>
      <c r="S346" s="21">
        <f t="shared" si="110"/>
        <v>9.6861815036786258E-2</v>
      </c>
      <c r="T346" s="8">
        <f t="shared" si="113"/>
        <v>3.0468696310065324E-3</v>
      </c>
      <c r="U346" s="21">
        <f t="shared" si="123"/>
        <v>7.192333580325655E-2</v>
      </c>
      <c r="V346" s="21">
        <f t="shared" si="124"/>
        <v>0.3621907968943256</v>
      </c>
      <c r="W346" s="21">
        <f t="shared" si="125"/>
        <v>7.192333580325655E-2</v>
      </c>
      <c r="Y346" s="23">
        <f t="shared" si="114"/>
        <v>1.6725238107697563E-2</v>
      </c>
      <c r="Z346" s="6">
        <f t="shared" si="115"/>
        <v>5.5198097695558987E-2</v>
      </c>
      <c r="AA346" s="6">
        <f t="shared" si="116"/>
        <v>0.92807666419674351</v>
      </c>
      <c r="AB346" s="6">
        <f t="shared" si="117"/>
        <v>1</v>
      </c>
    </row>
    <row r="347" spans="1:28" x14ac:dyDescent="0.35">
      <c r="A347">
        <v>338</v>
      </c>
      <c r="B347" s="17">
        <f t="shared" si="118"/>
        <v>10257.4375</v>
      </c>
      <c r="C347" s="17">
        <f t="shared" si="111"/>
        <v>10287.875</v>
      </c>
      <c r="D347" s="17">
        <f t="shared" si="119"/>
        <v>10272.65625</v>
      </c>
      <c r="E347" s="17">
        <f t="shared" si="105"/>
        <v>337.5</v>
      </c>
      <c r="F347" s="17">
        <f t="shared" si="106"/>
        <v>88.125</v>
      </c>
      <c r="G347" s="21">
        <f>INDEX('Life Tables'!$F$8:$F$123,MATCH(Engine!F347,'Life Tables'!$B$8:$B$123,1))</f>
        <v>1.0949990159130452E-2</v>
      </c>
      <c r="H347" s="8">
        <f t="shared" si="107"/>
        <v>0.38165434039745127</v>
      </c>
      <c r="I347">
        <f t="shared" si="108"/>
        <v>1</v>
      </c>
      <c r="K347" s="22" t="e">
        <f>$I347*IF($E347&gt;_xlfn.AGGREGATE(4,6,'KM Data'!$B$6:$B$310),NA(),INDEX('KM Data'!$C$6:$C$310,MATCH($E347,'KM Data'!$B$6:$B$310,1)))</f>
        <v>#N/A</v>
      </c>
      <c r="L347" s="21">
        <f t="shared" si="109"/>
        <v>1.9327381142479672E-2</v>
      </c>
      <c r="M347" s="20">
        <f t="shared" si="112"/>
        <v>4.7442083750018904E-3</v>
      </c>
      <c r="N347" s="21">
        <f t="shared" si="120"/>
        <v>1.6542096915009161E-2</v>
      </c>
      <c r="O347" s="21">
        <f t="shared" si="121"/>
        <v>0.35822481123260513</v>
      </c>
      <c r="P347" s="21">
        <f t="shared" si="122"/>
        <v>1.6542096915009161E-2</v>
      </c>
      <c r="R347" s="22" t="e">
        <f>$I347*IF($E347&gt;_xlfn.AGGREGATE(4,6,'KM Data'!$E$6:$E$205),NA(),INDEX('KM Data'!$F$6:$F$205,MATCH($E347,'KM Data'!$E$6:$E$205,1)))</f>
        <v>#N/A</v>
      </c>
      <c r="S347" s="21">
        <f t="shared" si="110"/>
        <v>9.6566689714146503E-2</v>
      </c>
      <c r="T347" s="8">
        <f t="shared" si="113"/>
        <v>3.0403235692068042E-3</v>
      </c>
      <c r="U347" s="21">
        <f t="shared" si="123"/>
        <v>7.1135775983999061E-2</v>
      </c>
      <c r="V347" s="21">
        <f t="shared" si="124"/>
        <v>0.35822481123260513</v>
      </c>
      <c r="W347" s="21">
        <f t="shared" si="125"/>
        <v>7.1135775983999061E-2</v>
      </c>
      <c r="Y347" s="23">
        <f t="shared" si="114"/>
        <v>1.6542096915009161E-2</v>
      </c>
      <c r="Z347" s="6">
        <f t="shared" si="115"/>
        <v>5.4593679068989903E-2</v>
      </c>
      <c r="AA347" s="6">
        <f t="shared" si="116"/>
        <v>0.92886422401600099</v>
      </c>
      <c r="AB347" s="6">
        <f t="shared" si="117"/>
        <v>1</v>
      </c>
    </row>
    <row r="348" spans="1:28" x14ac:dyDescent="0.35">
      <c r="A348">
        <v>339</v>
      </c>
      <c r="B348" s="17">
        <f t="shared" si="118"/>
        <v>10287.875</v>
      </c>
      <c r="C348" s="17">
        <f t="shared" si="111"/>
        <v>10318.3125</v>
      </c>
      <c r="D348" s="17">
        <f t="shared" si="119"/>
        <v>10303.09375</v>
      </c>
      <c r="E348" s="17">
        <f t="shared" si="105"/>
        <v>338.5</v>
      </c>
      <c r="F348" s="17">
        <f t="shared" si="106"/>
        <v>88.208333333333329</v>
      </c>
      <c r="G348" s="21">
        <f>INDEX('Life Tables'!$F$8:$F$123,MATCH(Engine!F348,'Life Tables'!$B$8:$B$123,1))</f>
        <v>1.0949990159130452E-2</v>
      </c>
      <c r="H348" s="8">
        <f t="shared" si="107"/>
        <v>0.38165434039745127</v>
      </c>
      <c r="I348">
        <f t="shared" si="108"/>
        <v>1</v>
      </c>
      <c r="K348" s="22" t="e">
        <f>$I348*IF($E348&gt;_xlfn.AGGREGATE(4,6,'KM Data'!$B$6:$B$310),NA(),INDEX('KM Data'!$C$6:$C$310,MATCH($E348,'KM Data'!$B$6:$B$310,1)))</f>
        <v>#N/A</v>
      </c>
      <c r="L348" s="21">
        <f t="shared" si="109"/>
        <v>1.9235688018996666E-2</v>
      </c>
      <c r="M348" s="20">
        <f t="shared" si="112"/>
        <v>4.7336113947642477E-3</v>
      </c>
      <c r="N348" s="21">
        <f t="shared" si="120"/>
        <v>1.6360961116578428E-2</v>
      </c>
      <c r="O348" s="21">
        <f t="shared" si="121"/>
        <v>0.35430225307485175</v>
      </c>
      <c r="P348" s="21">
        <f t="shared" si="122"/>
        <v>1.6360961116578428E-2</v>
      </c>
      <c r="R348" s="22" t="e">
        <f>$I348*IF($E348&gt;_xlfn.AGGREGATE(4,6,'KM Data'!$E$6:$E$205),NA(),INDEX('KM Data'!$F$6:$F$205,MATCH($E348,'KM Data'!$E$6:$E$205,1)))</f>
        <v>#N/A</v>
      </c>
      <c r="S348" s="21">
        <f t="shared" si="110"/>
        <v>9.6273095731408298E-2</v>
      </c>
      <c r="T348" s="8">
        <f t="shared" si="113"/>
        <v>3.0338093336694794E-3</v>
      </c>
      <c r="U348" s="21">
        <f t="shared" si="123"/>
        <v>7.0356839937012167E-2</v>
      </c>
      <c r="V348" s="21">
        <f t="shared" si="124"/>
        <v>0.35430225307485175</v>
      </c>
      <c r="W348" s="21">
        <f t="shared" si="125"/>
        <v>7.0356839937012167E-2</v>
      </c>
      <c r="Y348" s="23">
        <f t="shared" si="114"/>
        <v>1.6360961116578428E-2</v>
      </c>
      <c r="Z348" s="6">
        <f t="shared" si="115"/>
        <v>5.3995878820433739E-2</v>
      </c>
      <c r="AA348" s="6">
        <f t="shared" si="116"/>
        <v>0.92964316006298786</v>
      </c>
      <c r="AB348" s="6">
        <f t="shared" si="117"/>
        <v>1</v>
      </c>
    </row>
    <row r="349" spans="1:28" x14ac:dyDescent="0.35">
      <c r="A349">
        <v>340</v>
      </c>
      <c r="B349" s="17">
        <f t="shared" si="118"/>
        <v>10318.3125</v>
      </c>
      <c r="C349" s="17">
        <f t="shared" si="111"/>
        <v>10348.75</v>
      </c>
      <c r="D349" s="17">
        <f t="shared" si="119"/>
        <v>10333.53125</v>
      </c>
      <c r="E349" s="17">
        <f t="shared" si="105"/>
        <v>339.5</v>
      </c>
      <c r="F349" s="17">
        <f t="shared" si="106"/>
        <v>88.291666666666671</v>
      </c>
      <c r="G349" s="21">
        <f>INDEX('Life Tables'!$F$8:$F$123,MATCH(Engine!F349,'Life Tables'!$B$8:$B$123,1))</f>
        <v>1.0949990159130452E-2</v>
      </c>
      <c r="H349" s="8">
        <f t="shared" si="107"/>
        <v>0.38165434039745127</v>
      </c>
      <c r="I349">
        <f t="shared" si="108"/>
        <v>1</v>
      </c>
      <c r="K349" s="22" t="e">
        <f>$I349*IF($E349&gt;_xlfn.AGGREGATE(4,6,'KM Data'!$B$6:$B$310),NA(),INDEX('KM Data'!$C$6:$C$310,MATCH($E349,'KM Data'!$B$6:$B$310,1)))</f>
        <v>#N/A</v>
      </c>
      <c r="L349" s="21">
        <f t="shared" si="109"/>
        <v>1.9144633747003814E-2</v>
      </c>
      <c r="M349" s="20">
        <f t="shared" si="112"/>
        <v>4.7230671712692462E-3</v>
      </c>
      <c r="N349" s="21">
        <f t="shared" si="120"/>
        <v>1.6181808753357979E-2</v>
      </c>
      <c r="O349" s="21">
        <f t="shared" si="121"/>
        <v>0.35042264689032437</v>
      </c>
      <c r="P349" s="21">
        <f t="shared" si="122"/>
        <v>1.6181808753357979E-2</v>
      </c>
      <c r="R349" s="22" t="e">
        <f>$I349*IF($E349&gt;_xlfn.AGGREGATE(4,6,'KM Data'!$E$6:$E$205),NA(),INDEX('KM Data'!$F$6:$F$205,MATCH($E349,'KM Data'!$E$6:$E$205,1)))</f>
        <v>#N/A</v>
      </c>
      <c r="S349" s="21">
        <f t="shared" si="110"/>
        <v>9.59810215149971E-2</v>
      </c>
      <c r="T349" s="8">
        <f t="shared" si="113"/>
        <v>3.0273266815036282E-3</v>
      </c>
      <c r="U349" s="21">
        <f t="shared" si="123"/>
        <v>6.9586433232074363E-2</v>
      </c>
      <c r="V349" s="21">
        <f t="shared" si="124"/>
        <v>0.35042264689032437</v>
      </c>
      <c r="W349" s="21">
        <f t="shared" si="125"/>
        <v>6.9586433232074363E-2</v>
      </c>
      <c r="Y349" s="23">
        <f t="shared" si="114"/>
        <v>1.6181808753357979E-2</v>
      </c>
      <c r="Z349" s="6">
        <f t="shared" si="115"/>
        <v>5.3404624478716384E-2</v>
      </c>
      <c r="AA349" s="6">
        <f t="shared" si="116"/>
        <v>0.93041356676792564</v>
      </c>
      <c r="AB349" s="6">
        <f t="shared" si="117"/>
        <v>1</v>
      </c>
    </row>
    <row r="350" spans="1:28" x14ac:dyDescent="0.35">
      <c r="A350">
        <v>341</v>
      </c>
      <c r="B350" s="17">
        <f t="shared" si="118"/>
        <v>10348.75</v>
      </c>
      <c r="C350" s="17">
        <f t="shared" si="111"/>
        <v>10379.1875</v>
      </c>
      <c r="D350" s="17">
        <f t="shared" si="119"/>
        <v>10363.96875</v>
      </c>
      <c r="E350" s="17">
        <f t="shared" si="105"/>
        <v>340.5</v>
      </c>
      <c r="F350" s="17">
        <f t="shared" si="106"/>
        <v>88.375</v>
      </c>
      <c r="G350" s="21">
        <f>INDEX('Life Tables'!$F$8:$F$123,MATCH(Engine!F350,'Life Tables'!$B$8:$B$123,1))</f>
        <v>1.0949990159130452E-2</v>
      </c>
      <c r="H350" s="8">
        <f t="shared" si="107"/>
        <v>0.38165434039745127</v>
      </c>
      <c r="I350">
        <f t="shared" si="108"/>
        <v>1</v>
      </c>
      <c r="K350" s="22" t="e">
        <f>$I350*IF($E350&gt;_xlfn.AGGREGATE(4,6,'KM Data'!$B$6:$B$310),NA(),INDEX('KM Data'!$C$6:$C$310,MATCH($E350,'KM Data'!$B$6:$B$310,1)))</f>
        <v>#N/A</v>
      </c>
      <c r="L350" s="21">
        <f t="shared" si="109"/>
        <v>1.9054212355847366E-2</v>
      </c>
      <c r="M350" s="20">
        <f t="shared" si="112"/>
        <v>4.7125752947579924E-3</v>
      </c>
      <c r="N350" s="21">
        <f t="shared" si="120"/>
        <v>1.6004618106751779E-2</v>
      </c>
      <c r="O350" s="21">
        <f t="shared" si="121"/>
        <v>0.3465855223553389</v>
      </c>
      <c r="P350" s="21">
        <f t="shared" si="122"/>
        <v>1.6004618106751779E-2</v>
      </c>
      <c r="R350" s="22" t="e">
        <f>$I350*IF($E350&gt;_xlfn.AGGREGATE(4,6,'KM Data'!$E$6:$E$205),NA(),INDEX('KM Data'!$F$6:$F$205,MATCH($E350,'KM Data'!$E$6:$E$205,1)))</f>
        <v>#N/A</v>
      </c>
      <c r="S350" s="21">
        <f t="shared" si="110"/>
        <v>9.5690455607646774E-2</v>
      </c>
      <c r="T350" s="8">
        <f t="shared" si="113"/>
        <v>3.0208753723584003E-3</v>
      </c>
      <c r="U350" s="21">
        <f t="shared" si="123"/>
        <v>6.8824462472974163E-2</v>
      </c>
      <c r="V350" s="21">
        <f t="shared" si="124"/>
        <v>0.3465855223553389</v>
      </c>
      <c r="W350" s="21">
        <f t="shared" si="125"/>
        <v>6.8824462472974163E-2</v>
      </c>
      <c r="Y350" s="23">
        <f t="shared" si="114"/>
        <v>1.6004618106751779E-2</v>
      </c>
      <c r="Z350" s="6">
        <f t="shared" si="115"/>
        <v>5.2819844366222383E-2</v>
      </c>
      <c r="AA350" s="6">
        <f t="shared" si="116"/>
        <v>0.93117553752702587</v>
      </c>
      <c r="AB350" s="6">
        <f t="shared" si="117"/>
        <v>1</v>
      </c>
    </row>
    <row r="351" spans="1:28" x14ac:dyDescent="0.35">
      <c r="A351">
        <v>342</v>
      </c>
      <c r="B351" s="17">
        <f t="shared" si="118"/>
        <v>10379.1875</v>
      </c>
      <c r="C351" s="17">
        <f t="shared" si="111"/>
        <v>10409.625</v>
      </c>
      <c r="D351" s="17">
        <f t="shared" si="119"/>
        <v>10394.40625</v>
      </c>
      <c r="E351" s="17">
        <f t="shared" si="105"/>
        <v>341.5</v>
      </c>
      <c r="F351" s="17">
        <f t="shared" si="106"/>
        <v>88.458333333333329</v>
      </c>
      <c r="G351" s="21">
        <f>INDEX('Life Tables'!$F$8:$F$123,MATCH(Engine!F351,'Life Tables'!$B$8:$B$123,1))</f>
        <v>1.0949990159130452E-2</v>
      </c>
      <c r="H351" s="8">
        <f t="shared" si="107"/>
        <v>0.38165434039745127</v>
      </c>
      <c r="I351">
        <f t="shared" si="108"/>
        <v>1</v>
      </c>
      <c r="K351" s="22" t="e">
        <f>$I351*IF($E351&gt;_xlfn.AGGREGATE(4,6,'KM Data'!$B$6:$B$310),NA(),INDEX('KM Data'!$C$6:$C$310,MATCH($E351,'KM Data'!$B$6:$B$310,1)))</f>
        <v>#N/A</v>
      </c>
      <c r="L351" s="21">
        <f t="shared" si="109"/>
        <v>1.8964417945438128E-2</v>
      </c>
      <c r="M351" s="20">
        <f t="shared" si="112"/>
        <v>4.7021353598076798E-3</v>
      </c>
      <c r="N351" s="21">
        <f t="shared" si="120"/>
        <v>1.5829367695982206E-2</v>
      </c>
      <c r="O351" s="21">
        <f t="shared" si="121"/>
        <v>0.34279041429625084</v>
      </c>
      <c r="P351" s="21">
        <f t="shared" si="122"/>
        <v>1.5829367695982206E-2</v>
      </c>
      <c r="R351" s="22" t="e">
        <f>$I351*IF($E351&gt;_xlfn.AGGREGATE(4,6,'KM Data'!$E$6:$E$205),NA(),INDEX('KM Data'!$F$6:$F$205,MATCH($E351,'KM Data'!$E$6:$E$205,1)))</f>
        <v>#N/A</v>
      </c>
      <c r="S351" s="21">
        <f t="shared" si="110"/>
        <v>9.5401386666931876E-2</v>
      </c>
      <c r="T351" s="8">
        <f t="shared" si="113"/>
        <v>3.0144551683728427E-3</v>
      </c>
      <c r="U351" s="21">
        <f t="shared" si="123"/>
        <v>6.8070835286187653E-2</v>
      </c>
      <c r="V351" s="21">
        <f t="shared" si="124"/>
        <v>0.34279041429625084</v>
      </c>
      <c r="W351" s="21">
        <f t="shared" si="125"/>
        <v>6.8070835286187653E-2</v>
      </c>
      <c r="Y351" s="23">
        <f t="shared" si="114"/>
        <v>1.5829367695982206E-2</v>
      </c>
      <c r="Z351" s="6">
        <f t="shared" si="115"/>
        <v>5.2241467590205447E-2</v>
      </c>
      <c r="AA351" s="6">
        <f t="shared" si="116"/>
        <v>0.93192916471381237</v>
      </c>
      <c r="AB351" s="6">
        <f t="shared" si="117"/>
        <v>1</v>
      </c>
    </row>
    <row r="352" spans="1:28" x14ac:dyDescent="0.35">
      <c r="A352">
        <v>343</v>
      </c>
      <c r="B352" s="17">
        <f t="shared" si="118"/>
        <v>10409.625</v>
      </c>
      <c r="C352" s="17">
        <f t="shared" si="111"/>
        <v>10440.0625</v>
      </c>
      <c r="D352" s="17">
        <f t="shared" si="119"/>
        <v>10424.84375</v>
      </c>
      <c r="E352" s="17">
        <f t="shared" si="105"/>
        <v>342.5</v>
      </c>
      <c r="F352" s="17">
        <f t="shared" si="106"/>
        <v>88.541666666666671</v>
      </c>
      <c r="G352" s="21">
        <f>INDEX('Life Tables'!$F$8:$F$123,MATCH(Engine!F352,'Life Tables'!$B$8:$B$123,1))</f>
        <v>1.0949990159130452E-2</v>
      </c>
      <c r="H352" s="8">
        <f t="shared" si="107"/>
        <v>0.38165434039745127</v>
      </c>
      <c r="I352">
        <f t="shared" si="108"/>
        <v>1</v>
      </c>
      <c r="K352" s="22" t="e">
        <f>$I352*IF($E352&gt;_xlfn.AGGREGATE(4,6,'KM Data'!$B$6:$B$310),NA(),INDEX('KM Data'!$C$6:$C$310,MATCH($E352,'KM Data'!$B$6:$B$310,1)))</f>
        <v>#N/A</v>
      </c>
      <c r="L352" s="21">
        <f t="shared" si="109"/>
        <v>1.8875244685238712E-2</v>
      </c>
      <c r="M352" s="20">
        <f t="shared" si="112"/>
        <v>4.6917469652587585E-3</v>
      </c>
      <c r="N352" s="21">
        <f t="shared" si="120"/>
        <v>1.5656036275485945E-2</v>
      </c>
      <c r="O352" s="21">
        <f t="shared" si="121"/>
        <v>0.33903686263306265</v>
      </c>
      <c r="P352" s="21">
        <f t="shared" si="122"/>
        <v>1.5656036275485945E-2</v>
      </c>
      <c r="R352" s="22" t="e">
        <f>$I352*IF($E352&gt;_xlfn.AGGREGATE(4,6,'KM Data'!$E$6:$E$205),NA(),INDEX('KM Data'!$F$6:$F$205,MATCH($E352,'KM Data'!$E$6:$E$205,1)))</f>
        <v>#N/A</v>
      </c>
      <c r="S352" s="21">
        <f t="shared" si="110"/>
        <v>9.5113803463823809E-2</v>
      </c>
      <c r="T352" s="8">
        <f t="shared" si="113"/>
        <v>3.0080658341515853E-3</v>
      </c>
      <c r="U352" s="21">
        <f t="shared" si="123"/>
        <v>6.7325460309680105E-2</v>
      </c>
      <c r="V352" s="21">
        <f t="shared" si="124"/>
        <v>0.33903686263306265</v>
      </c>
      <c r="W352" s="21">
        <f t="shared" si="125"/>
        <v>6.7325460309680105E-2</v>
      </c>
      <c r="Y352" s="23">
        <f t="shared" si="114"/>
        <v>1.5656036275485945E-2</v>
      </c>
      <c r="Z352" s="6">
        <f t="shared" si="115"/>
        <v>5.166942403419416E-2</v>
      </c>
      <c r="AA352" s="6">
        <f t="shared" si="116"/>
        <v>0.93267453969031988</v>
      </c>
      <c r="AB352" s="6">
        <f t="shared" si="117"/>
        <v>1</v>
      </c>
    </row>
    <row r="353" spans="1:28" x14ac:dyDescent="0.35">
      <c r="A353">
        <v>344</v>
      </c>
      <c r="B353" s="17">
        <f t="shared" si="118"/>
        <v>10440.0625</v>
      </c>
      <c r="C353" s="17">
        <f t="shared" si="111"/>
        <v>10470.5</v>
      </c>
      <c r="D353" s="17">
        <f t="shared" si="119"/>
        <v>10455.28125</v>
      </c>
      <c r="E353" s="17">
        <f t="shared" si="105"/>
        <v>343.5</v>
      </c>
      <c r="F353" s="17">
        <f t="shared" si="106"/>
        <v>88.625</v>
      </c>
      <c r="G353" s="21">
        <f>INDEX('Life Tables'!$F$8:$F$123,MATCH(Engine!F353,'Life Tables'!$B$8:$B$123,1))</f>
        <v>1.0949990159130452E-2</v>
      </c>
      <c r="H353" s="8">
        <f t="shared" si="107"/>
        <v>0.38165434039745127</v>
      </c>
      <c r="I353">
        <f t="shared" si="108"/>
        <v>1</v>
      </c>
      <c r="K353" s="22" t="e">
        <f>$I353*IF($E353&gt;_xlfn.AGGREGATE(4,6,'KM Data'!$B$6:$B$310),NA(),INDEX('KM Data'!$C$6:$C$310,MATCH($E353,'KM Data'!$B$6:$B$310,1)))</f>
        <v>#N/A</v>
      </c>
      <c r="L353" s="21">
        <f t="shared" si="109"/>
        <v>1.8786686813268227E-2</v>
      </c>
      <c r="M353" s="20">
        <f t="shared" si="112"/>
        <v>4.6814097141770761E-3</v>
      </c>
      <c r="N353" s="21">
        <f t="shared" si="120"/>
        <v>1.5484602832338384E-2</v>
      </c>
      <c r="O353" s="21">
        <f t="shared" si="121"/>
        <v>0.33532441232364818</v>
      </c>
      <c r="P353" s="21">
        <f t="shared" si="122"/>
        <v>1.5484602832338384E-2</v>
      </c>
      <c r="R353" s="22" t="e">
        <f>$I353*IF($E353&gt;_xlfn.AGGREGATE(4,6,'KM Data'!$E$6:$E$205),NA(),INDEX('KM Data'!$F$6:$F$205,MATCH($E353,'KM Data'!$E$6:$E$205,1)))</f>
        <v>#N/A</v>
      </c>
      <c r="S353" s="21">
        <f t="shared" si="110"/>
        <v>9.4827694881268076E-2</v>
      </c>
      <c r="T353" s="8">
        <f t="shared" si="113"/>
        <v>3.0017071367304249E-3</v>
      </c>
      <c r="U353" s="21">
        <f t="shared" si="123"/>
        <v>6.6588247181830179E-2</v>
      </c>
      <c r="V353" s="21">
        <f t="shared" si="124"/>
        <v>0.33532441232364818</v>
      </c>
      <c r="W353" s="21">
        <f t="shared" si="125"/>
        <v>6.6588247181830179E-2</v>
      </c>
      <c r="Y353" s="23">
        <f t="shared" si="114"/>
        <v>1.5484602832338384E-2</v>
      </c>
      <c r="Z353" s="6">
        <f t="shared" si="115"/>
        <v>5.1103644349491793E-2</v>
      </c>
      <c r="AA353" s="6">
        <f t="shared" si="116"/>
        <v>0.93341175281816979</v>
      </c>
      <c r="AB353" s="6">
        <f t="shared" si="117"/>
        <v>1</v>
      </c>
    </row>
    <row r="354" spans="1:28" x14ac:dyDescent="0.35">
      <c r="A354">
        <v>345</v>
      </c>
      <c r="B354" s="17">
        <f t="shared" si="118"/>
        <v>10470.5</v>
      </c>
      <c r="C354" s="17">
        <f t="shared" si="111"/>
        <v>10500.9375</v>
      </c>
      <c r="D354" s="17">
        <f t="shared" si="119"/>
        <v>10485.71875</v>
      </c>
      <c r="E354" s="17">
        <f t="shared" si="105"/>
        <v>344.5</v>
      </c>
      <c r="F354" s="17">
        <f t="shared" si="106"/>
        <v>88.708333333333329</v>
      </c>
      <c r="G354" s="21">
        <f>INDEX('Life Tables'!$F$8:$F$123,MATCH(Engine!F354,'Life Tables'!$B$8:$B$123,1))</f>
        <v>1.0949990159130452E-2</v>
      </c>
      <c r="H354" s="8">
        <f t="shared" si="107"/>
        <v>0.38165434039745127</v>
      </c>
      <c r="I354">
        <f t="shared" si="108"/>
        <v>1</v>
      </c>
      <c r="K354" s="22" t="e">
        <f>$I354*IF($E354&gt;_xlfn.AGGREGATE(4,6,'KM Data'!$B$6:$B$310),NA(),INDEX('KM Data'!$C$6:$C$310,MATCH($E354,'KM Data'!$B$6:$B$310,1)))</f>
        <v>#N/A</v>
      </c>
      <c r="L354" s="21">
        <f t="shared" si="109"/>
        <v>1.8698738635123391E-2</v>
      </c>
      <c r="M354" s="20">
        <f t="shared" si="112"/>
        <v>4.671123213782713E-3</v>
      </c>
      <c r="N354" s="21">
        <f t="shared" si="120"/>
        <v>1.5315046583706235E-2</v>
      </c>
      <c r="O354" s="21">
        <f t="shared" si="121"/>
        <v>0.33165261330858803</v>
      </c>
      <c r="P354" s="21">
        <f t="shared" si="122"/>
        <v>1.5315046583706235E-2</v>
      </c>
      <c r="R354" s="22" t="e">
        <f>$I354*IF($E354&gt;_xlfn.AGGREGATE(4,6,'KM Data'!$E$6:$E$205),NA(),INDEX('KM Data'!$F$6:$F$205,MATCH($E354,'KM Data'!$E$6:$E$205,1)))</f>
        <v>#N/A</v>
      </c>
      <c r="S354" s="21">
        <f t="shared" si="110"/>
        <v>9.4543049912783284E-2</v>
      </c>
      <c r="T354" s="8">
        <f t="shared" si="113"/>
        <v>2.9953788455447938E-3</v>
      </c>
      <c r="U354" s="21">
        <f t="shared" si="123"/>
        <v>6.5859106530475386E-2</v>
      </c>
      <c r="V354" s="21">
        <f t="shared" si="124"/>
        <v>0.33165261330858803</v>
      </c>
      <c r="W354" s="21">
        <f t="shared" si="125"/>
        <v>6.5859106530475386E-2</v>
      </c>
      <c r="Y354" s="23">
        <f t="shared" si="114"/>
        <v>1.5315046583706235E-2</v>
      </c>
      <c r="Z354" s="6">
        <f t="shared" si="115"/>
        <v>5.0544059946769151E-2</v>
      </c>
      <c r="AA354" s="6">
        <f t="shared" si="116"/>
        <v>0.93414089346952456</v>
      </c>
      <c r="AB354" s="6">
        <f t="shared" si="117"/>
        <v>1</v>
      </c>
    </row>
    <row r="355" spans="1:28" x14ac:dyDescent="0.35">
      <c r="A355">
        <v>346</v>
      </c>
      <c r="B355" s="17">
        <f t="shared" si="118"/>
        <v>10500.9375</v>
      </c>
      <c r="C355" s="17">
        <f t="shared" si="111"/>
        <v>10531.375</v>
      </c>
      <c r="D355" s="17">
        <f t="shared" si="119"/>
        <v>10516.15625</v>
      </c>
      <c r="E355" s="17">
        <f t="shared" si="105"/>
        <v>345.5</v>
      </c>
      <c r="F355" s="17">
        <f t="shared" si="106"/>
        <v>88.791666666666671</v>
      </c>
      <c r="G355" s="21">
        <f>INDEX('Life Tables'!$F$8:$F$123,MATCH(Engine!F355,'Life Tables'!$B$8:$B$123,1))</f>
        <v>1.0949990159130452E-2</v>
      </c>
      <c r="H355" s="8">
        <f t="shared" si="107"/>
        <v>0.38165434039745127</v>
      </c>
      <c r="I355">
        <f t="shared" si="108"/>
        <v>1</v>
      </c>
      <c r="K355" s="22" t="e">
        <f>$I355*IF($E355&gt;_xlfn.AGGREGATE(4,6,'KM Data'!$B$6:$B$310),NA(),INDEX('KM Data'!$C$6:$C$310,MATCH($E355,'KM Data'!$B$6:$B$310,1)))</f>
        <v>#N/A</v>
      </c>
      <c r="L355" s="21">
        <f t="shared" si="109"/>
        <v>1.8611394523016411E-2</v>
      </c>
      <c r="M355" s="20">
        <f t="shared" si="112"/>
        <v>4.6608870753971354E-3</v>
      </c>
      <c r="N355" s="21">
        <f t="shared" si="120"/>
        <v>1.5147346974328027E-2</v>
      </c>
      <c r="O355" s="21">
        <f t="shared" si="121"/>
        <v>0.32802102045660908</v>
      </c>
      <c r="P355" s="21">
        <f t="shared" si="122"/>
        <v>1.5147346974328027E-2</v>
      </c>
      <c r="R355" s="22" t="e">
        <f>$I355*IF($E355&gt;_xlfn.AGGREGATE(4,6,'KM Data'!$E$6:$E$205),NA(),INDEX('KM Data'!$F$6:$F$205,MATCH($E355,'KM Data'!$E$6:$E$205,1)))</f>
        <v>#N/A</v>
      </c>
      <c r="S355" s="21">
        <f t="shared" si="110"/>
        <v>9.4259857661081248E-2</v>
      </c>
      <c r="T355" s="8">
        <f t="shared" si="113"/>
        <v>2.9890807323963431E-3</v>
      </c>
      <c r="U355" s="21">
        <f t="shared" si="123"/>
        <v>6.5137949962077557E-2</v>
      </c>
      <c r="V355" s="21">
        <f t="shared" si="124"/>
        <v>0.32802102045660908</v>
      </c>
      <c r="W355" s="21">
        <f t="shared" si="125"/>
        <v>6.5137949962077557E-2</v>
      </c>
      <c r="Y355" s="23">
        <f t="shared" si="114"/>
        <v>1.5147346974328027E-2</v>
      </c>
      <c r="Z355" s="6">
        <f t="shared" si="115"/>
        <v>4.999060298774953E-2</v>
      </c>
      <c r="AA355" s="6">
        <f t="shared" si="116"/>
        <v>0.93486205003792244</v>
      </c>
      <c r="AB355" s="6">
        <f t="shared" si="117"/>
        <v>1</v>
      </c>
    </row>
    <row r="356" spans="1:28" x14ac:dyDescent="0.35">
      <c r="A356">
        <v>347</v>
      </c>
      <c r="B356" s="17">
        <f t="shared" si="118"/>
        <v>10531.375</v>
      </c>
      <c r="C356" s="17">
        <f t="shared" si="111"/>
        <v>10561.8125</v>
      </c>
      <c r="D356" s="17">
        <f t="shared" si="119"/>
        <v>10546.59375</v>
      </c>
      <c r="E356" s="17">
        <f t="shared" si="105"/>
        <v>346.5</v>
      </c>
      <c r="F356" s="17">
        <f t="shared" si="106"/>
        <v>88.875</v>
      </c>
      <c r="G356" s="21">
        <f>INDEX('Life Tables'!$F$8:$F$123,MATCH(Engine!F356,'Life Tables'!$B$8:$B$123,1))</f>
        <v>1.0949990159130452E-2</v>
      </c>
      <c r="H356" s="8">
        <f t="shared" si="107"/>
        <v>0.38165434039745127</v>
      </c>
      <c r="I356">
        <f t="shared" si="108"/>
        <v>1</v>
      </c>
      <c r="K356" s="22" t="e">
        <f>$I356*IF($E356&gt;_xlfn.AGGREGATE(4,6,'KM Data'!$B$6:$B$310),NA(),INDEX('KM Data'!$C$6:$C$310,MATCH($E356,'KM Data'!$B$6:$B$310,1)))</f>
        <v>#N/A</v>
      </c>
      <c r="L356" s="21">
        <f t="shared" si="109"/>
        <v>1.8524648914828967E-2</v>
      </c>
      <c r="M356" s="20">
        <f t="shared" si="112"/>
        <v>4.6507009143816891E-3</v>
      </c>
      <c r="N356" s="21">
        <f t="shared" si="120"/>
        <v>1.4981483674022201E-2</v>
      </c>
      <c r="O356" s="21">
        <f t="shared" si="121"/>
        <v>0.32442919351062127</v>
      </c>
      <c r="P356" s="21">
        <f t="shared" si="122"/>
        <v>1.4981483674022201E-2</v>
      </c>
      <c r="R356" s="22" t="e">
        <f>$I356*IF($E356&gt;_xlfn.AGGREGATE(4,6,'KM Data'!$E$6:$E$205),NA(),INDEX('KM Data'!$F$6:$F$205,MATCH($E356,'KM Data'!$E$6:$E$205,1)))</f>
        <v>#N/A</v>
      </c>
      <c r="S356" s="21">
        <f t="shared" si="110"/>
        <v>9.3978107336708083E-2</v>
      </c>
      <c r="T356" s="8">
        <f t="shared" si="113"/>
        <v>2.9828125714277398E-3</v>
      </c>
      <c r="U356" s="21">
        <f t="shared" si="123"/>
        <v>6.4424690051006872E-2</v>
      </c>
      <c r="V356" s="21">
        <f t="shared" si="124"/>
        <v>0.32442919351062127</v>
      </c>
      <c r="W356" s="21">
        <f t="shared" si="125"/>
        <v>6.4424690051006872E-2</v>
      </c>
      <c r="Y356" s="23">
        <f t="shared" si="114"/>
        <v>1.4981483674022201E-2</v>
      </c>
      <c r="Z356" s="6">
        <f t="shared" si="115"/>
        <v>4.9443206376984669E-2</v>
      </c>
      <c r="AA356" s="6">
        <f t="shared" si="116"/>
        <v>0.93557530994899318</v>
      </c>
      <c r="AB356" s="6">
        <f t="shared" si="117"/>
        <v>1</v>
      </c>
    </row>
    <row r="357" spans="1:28" x14ac:dyDescent="0.35">
      <c r="A357">
        <v>348</v>
      </c>
      <c r="B357" s="17">
        <f t="shared" si="118"/>
        <v>10561.8125</v>
      </c>
      <c r="C357" s="17">
        <f t="shared" si="111"/>
        <v>10592.25</v>
      </c>
      <c r="D357" s="17">
        <f t="shared" si="119"/>
        <v>10577.03125</v>
      </c>
      <c r="E357" s="17">
        <f t="shared" si="105"/>
        <v>347.5</v>
      </c>
      <c r="F357" s="17">
        <f t="shared" si="106"/>
        <v>88.958333333333329</v>
      </c>
      <c r="G357" s="21">
        <f>INDEX('Life Tables'!$F$8:$F$123,MATCH(Engine!F357,'Life Tables'!$B$8:$B$123,1))</f>
        <v>1.0949990159130452E-2</v>
      </c>
      <c r="H357" s="8">
        <f t="shared" si="107"/>
        <v>0.36874815497338298</v>
      </c>
      <c r="I357">
        <f t="shared" si="108"/>
        <v>1</v>
      </c>
      <c r="K357" s="22" t="e">
        <f>$I357*IF($E357&gt;_xlfn.AGGREGATE(4,6,'KM Data'!$B$6:$B$310),NA(),INDEX('KM Data'!$C$6:$C$310,MATCH($E357,'KM Data'!$B$6:$B$310,1)))</f>
        <v>#N/A</v>
      </c>
      <c r="L357" s="21">
        <f t="shared" si="109"/>
        <v>1.8438496313182173E-2</v>
      </c>
      <c r="M357" s="20">
        <f t="shared" si="112"/>
        <v>4.6405643501127303E-3</v>
      </c>
      <c r="N357" s="21">
        <f t="shared" si="120"/>
        <v>1.4817436575222484E-2</v>
      </c>
      <c r="O357" s="21">
        <f t="shared" si="121"/>
        <v>0.32087669703434535</v>
      </c>
      <c r="P357" s="21">
        <f t="shared" si="122"/>
        <v>1.4817436575222484E-2</v>
      </c>
      <c r="R357" s="22" t="e">
        <f>$I357*IF($E357&gt;_xlfn.AGGREGATE(4,6,'KM Data'!$E$6:$E$205),NA(),INDEX('KM Data'!$F$6:$F$205,MATCH($E357,'KM Data'!$E$6:$E$205,1)))</f>
        <v>#N/A</v>
      </c>
      <c r="S357" s="21">
        <f t="shared" si="110"/>
        <v>9.3697788256705161E-2</v>
      </c>
      <c r="T357" s="8">
        <f t="shared" si="113"/>
        <v>2.9765741390833655E-3</v>
      </c>
      <c r="U357" s="21">
        <f t="shared" si="123"/>
        <v>6.3719240328943313E-2</v>
      </c>
      <c r="V357" s="21">
        <f t="shared" si="124"/>
        <v>0.32087669703434535</v>
      </c>
      <c r="W357" s="21">
        <f t="shared" si="125"/>
        <v>6.3719240328943313E-2</v>
      </c>
      <c r="Y357" s="23">
        <f t="shared" si="114"/>
        <v>1.4817436575222484E-2</v>
      </c>
      <c r="Z357" s="6">
        <f t="shared" si="115"/>
        <v>4.8901803753720829E-2</v>
      </c>
      <c r="AA357" s="6">
        <f t="shared" si="116"/>
        <v>0.93628075967105673</v>
      </c>
      <c r="AB357" s="6">
        <f t="shared" si="117"/>
        <v>1</v>
      </c>
    </row>
    <row r="358" spans="1:28" x14ac:dyDescent="0.35">
      <c r="A358">
        <v>349</v>
      </c>
      <c r="B358" s="17">
        <f t="shared" si="118"/>
        <v>10592.25</v>
      </c>
      <c r="C358" s="17">
        <f t="shared" si="111"/>
        <v>10622.6875</v>
      </c>
      <c r="D358" s="17">
        <f t="shared" si="119"/>
        <v>10607.46875</v>
      </c>
      <c r="E358" s="17">
        <f t="shared" si="105"/>
        <v>348.5</v>
      </c>
      <c r="F358" s="17">
        <f t="shared" si="106"/>
        <v>89.041666666666671</v>
      </c>
      <c r="G358" s="21">
        <f>INDEX('Life Tables'!$F$8:$F$123,MATCH(Engine!F358,'Life Tables'!$B$8:$B$123,1))</f>
        <v>1.2278077734983128E-2</v>
      </c>
      <c r="H358" s="8">
        <f t="shared" si="107"/>
        <v>0.36874815497338298</v>
      </c>
      <c r="I358">
        <f t="shared" si="108"/>
        <v>1</v>
      </c>
      <c r="K358" s="22" t="e">
        <f>$I358*IF($E358&gt;_xlfn.AGGREGATE(4,6,'KM Data'!$B$6:$B$310),NA(),INDEX('KM Data'!$C$6:$C$310,MATCH($E358,'KM Data'!$B$6:$B$310,1)))</f>
        <v>#N/A</v>
      </c>
      <c r="L358" s="21">
        <f t="shared" si="109"/>
        <v>1.8352931284521534E-2</v>
      </c>
      <c r="M358" s="20">
        <f t="shared" si="112"/>
        <v>4.6304770058834821E-3</v>
      </c>
      <c r="N358" s="21">
        <f t="shared" si="120"/>
        <v>1.4655185790540258E-2</v>
      </c>
      <c r="O358" s="21">
        <f t="shared" si="121"/>
        <v>0.31736310035952497</v>
      </c>
      <c r="P358" s="21">
        <f t="shared" si="122"/>
        <v>1.4655185790540258E-2</v>
      </c>
      <c r="R358" s="22" t="e">
        <f>$I358*IF($E358&gt;_xlfn.AGGREGATE(4,6,'KM Data'!$E$6:$E$205),NA(),INDEX('KM Data'!$F$6:$F$205,MATCH($E358,'KM Data'!$E$6:$E$205,1)))</f>
        <v>#N/A</v>
      </c>
      <c r="S358" s="21">
        <f t="shared" si="110"/>
        <v>9.3418889843290942E-2</v>
      </c>
      <c r="T358" s="8">
        <f t="shared" si="113"/>
        <v>2.9703652140860015E-3</v>
      </c>
      <c r="U358" s="21">
        <f t="shared" si="123"/>
        <v>6.3021515274394119E-2</v>
      </c>
      <c r="V358" s="21">
        <f t="shared" si="124"/>
        <v>0.31736310035952497</v>
      </c>
      <c r="W358" s="21">
        <f t="shared" si="125"/>
        <v>6.3021515274394119E-2</v>
      </c>
      <c r="Y358" s="23">
        <f t="shared" si="114"/>
        <v>1.4655185790540258E-2</v>
      </c>
      <c r="Z358" s="6">
        <f t="shared" si="115"/>
        <v>4.8366329483853859E-2</v>
      </c>
      <c r="AA358" s="6">
        <f t="shared" si="116"/>
        <v>0.93697848472560585</v>
      </c>
      <c r="AB358" s="6">
        <f t="shared" si="117"/>
        <v>1</v>
      </c>
    </row>
    <row r="359" spans="1:28" x14ac:dyDescent="0.35">
      <c r="A359">
        <v>350</v>
      </c>
      <c r="B359" s="17">
        <f t="shared" si="118"/>
        <v>10622.6875</v>
      </c>
      <c r="C359" s="17">
        <f t="shared" si="111"/>
        <v>10653.125</v>
      </c>
      <c r="D359" s="17">
        <f t="shared" si="119"/>
        <v>10637.90625</v>
      </c>
      <c r="E359" s="17">
        <f t="shared" si="105"/>
        <v>349.5</v>
      </c>
      <c r="F359" s="17">
        <f t="shared" si="106"/>
        <v>89.125</v>
      </c>
      <c r="G359" s="21">
        <f>INDEX('Life Tables'!$F$8:$F$123,MATCH(Engine!F359,'Life Tables'!$B$8:$B$123,1))</f>
        <v>1.2278077734983128E-2</v>
      </c>
      <c r="H359" s="8">
        <f t="shared" si="107"/>
        <v>0.36874815497338298</v>
      </c>
      <c r="I359">
        <f t="shared" si="108"/>
        <v>1</v>
      </c>
      <c r="K359" s="22" t="e">
        <f>$I359*IF($E359&gt;_xlfn.AGGREGATE(4,6,'KM Data'!$B$6:$B$310),NA(),INDEX('KM Data'!$C$6:$C$310,MATCH($E359,'KM Data'!$B$6:$B$310,1)))</f>
        <v>#N/A</v>
      </c>
      <c r="L359" s="21">
        <f t="shared" si="109"/>
        <v>1.8267948458217997E-2</v>
      </c>
      <c r="M359" s="20">
        <f t="shared" si="112"/>
        <v>4.6204385088968181E-3</v>
      </c>
      <c r="N359" s="21">
        <f t="shared" si="120"/>
        <v>1.4475248280183385E-2</v>
      </c>
      <c r="O359" s="21">
        <f t="shared" si="121"/>
        <v>0.31346649154309547</v>
      </c>
      <c r="P359" s="21">
        <f t="shared" si="122"/>
        <v>1.4475248280183385E-2</v>
      </c>
      <c r="R359" s="22" t="e">
        <f>$I359*IF($E359&gt;_xlfn.AGGREGATE(4,6,'KM Data'!$E$6:$E$205),NA(),INDEX('KM Data'!$F$6:$F$205,MATCH($E359,'KM Data'!$E$6:$E$205,1)))</f>
        <v>#N/A</v>
      </c>
      <c r="S359" s="21">
        <f t="shared" si="110"/>
        <v>9.3141401622561903E-2</v>
      </c>
      <c r="T359" s="8">
        <f t="shared" si="113"/>
        <v>2.9641855774110715E-3</v>
      </c>
      <c r="U359" s="21">
        <f t="shared" si="123"/>
        <v>6.2247732210878683E-2</v>
      </c>
      <c r="V359" s="21">
        <f t="shared" si="124"/>
        <v>0.31346649154309547</v>
      </c>
      <c r="W359" s="21">
        <f t="shared" si="125"/>
        <v>6.2247732210878683E-2</v>
      </c>
      <c r="Y359" s="23">
        <f t="shared" si="114"/>
        <v>1.4475248280183385E-2</v>
      </c>
      <c r="Z359" s="6">
        <f t="shared" si="115"/>
        <v>4.7772483930695296E-2</v>
      </c>
      <c r="AA359" s="6">
        <f t="shared" si="116"/>
        <v>0.93775226778912135</v>
      </c>
      <c r="AB359" s="6">
        <f t="shared" si="117"/>
        <v>1</v>
      </c>
    </row>
    <row r="360" spans="1:28" x14ac:dyDescent="0.35">
      <c r="A360">
        <v>351</v>
      </c>
      <c r="B360" s="17">
        <f t="shared" si="118"/>
        <v>10653.125</v>
      </c>
      <c r="C360" s="17">
        <f t="shared" si="111"/>
        <v>10683.5625</v>
      </c>
      <c r="D360" s="17">
        <f t="shared" si="119"/>
        <v>10668.34375</v>
      </c>
      <c r="E360" s="17">
        <f t="shared" si="105"/>
        <v>350.5</v>
      </c>
      <c r="F360" s="17">
        <f t="shared" si="106"/>
        <v>89.208333333333329</v>
      </c>
      <c r="G360" s="21">
        <f>INDEX('Life Tables'!$F$8:$F$123,MATCH(Engine!F360,'Life Tables'!$B$8:$B$123,1))</f>
        <v>1.2278077734983128E-2</v>
      </c>
      <c r="H360" s="8">
        <f t="shared" si="107"/>
        <v>0.36874815497338298</v>
      </c>
      <c r="I360">
        <f t="shared" si="108"/>
        <v>1</v>
      </c>
      <c r="K360" s="22" t="e">
        <f>$I360*IF($E360&gt;_xlfn.AGGREGATE(4,6,'KM Data'!$B$6:$B$310),NA(),INDEX('KM Data'!$C$6:$C$310,MATCH($E360,'KM Data'!$B$6:$B$310,1)))</f>
        <v>#N/A</v>
      </c>
      <c r="L360" s="21">
        <f t="shared" si="109"/>
        <v>1.8183542525683105E-2</v>
      </c>
      <c r="M360" s="20">
        <f t="shared" si="112"/>
        <v>4.6104484902093068E-3</v>
      </c>
      <c r="N360" s="21">
        <f t="shared" si="120"/>
        <v>1.4297520056566112E-2</v>
      </c>
      <c r="O360" s="21">
        <f t="shared" si="121"/>
        <v>0.30961772559261691</v>
      </c>
      <c r="P360" s="21">
        <f t="shared" si="122"/>
        <v>1.4297520056566112E-2</v>
      </c>
      <c r="R360" s="22" t="e">
        <f>$I360*IF($E360&gt;_xlfn.AGGREGATE(4,6,'KM Data'!$E$6:$E$205),NA(),INDEX('KM Data'!$F$6:$F$205,MATCH($E360,'KM Data'!$E$6:$E$205,1)))</f>
        <v>#N/A</v>
      </c>
      <c r="S360" s="21">
        <f t="shared" si="110"/>
        <v>9.2865313223212453E-2</v>
      </c>
      <c r="T360" s="8">
        <f t="shared" si="113"/>
        <v>2.9580350122454524E-3</v>
      </c>
      <c r="U360" s="21">
        <f t="shared" si="123"/>
        <v>6.1483449715967101E-2</v>
      </c>
      <c r="V360" s="21">
        <f t="shared" si="124"/>
        <v>0.30961772559261691</v>
      </c>
      <c r="W360" s="21">
        <f t="shared" si="125"/>
        <v>6.1483449715967101E-2</v>
      </c>
      <c r="Y360" s="23">
        <f t="shared" si="114"/>
        <v>1.4297520056566112E-2</v>
      </c>
      <c r="Z360" s="6">
        <f t="shared" si="115"/>
        <v>4.7185929659400987E-2</v>
      </c>
      <c r="AA360" s="6">
        <f t="shared" si="116"/>
        <v>0.93851655028403291</v>
      </c>
      <c r="AB360" s="6">
        <f t="shared" si="117"/>
        <v>1</v>
      </c>
    </row>
    <row r="361" spans="1:28" x14ac:dyDescent="0.35">
      <c r="A361">
        <v>352</v>
      </c>
      <c r="B361" s="17">
        <f t="shared" si="118"/>
        <v>10683.5625</v>
      </c>
      <c r="C361" s="17">
        <f t="shared" si="111"/>
        <v>10714</v>
      </c>
      <c r="D361" s="17">
        <f t="shared" si="119"/>
        <v>10698.78125</v>
      </c>
      <c r="E361" s="17">
        <f t="shared" si="105"/>
        <v>351.5</v>
      </c>
      <c r="F361" s="17">
        <f t="shared" si="106"/>
        <v>89.291666666666671</v>
      </c>
      <c r="G361" s="21">
        <f>INDEX('Life Tables'!$F$8:$F$123,MATCH(Engine!F361,'Life Tables'!$B$8:$B$123,1))</f>
        <v>1.2278077734983128E-2</v>
      </c>
      <c r="H361" s="8">
        <f t="shared" si="107"/>
        <v>0.36874815497338298</v>
      </c>
      <c r="I361">
        <f t="shared" si="108"/>
        <v>1</v>
      </c>
      <c r="K361" s="22" t="e">
        <f>$I361*IF($E361&gt;_xlfn.AGGREGATE(4,6,'KM Data'!$B$6:$B$310),NA(),INDEX('KM Data'!$C$6:$C$310,MATCH($E361,'KM Data'!$B$6:$B$310,1)))</f>
        <v>#N/A</v>
      </c>
      <c r="L361" s="21">
        <f t="shared" si="109"/>
        <v>1.8099708239498913E-2</v>
      </c>
      <c r="M361" s="20">
        <f t="shared" si="112"/>
        <v>4.6005065846231874E-3</v>
      </c>
      <c r="N361" s="21">
        <f t="shared" si="120"/>
        <v>1.4121973993894112E-2</v>
      </c>
      <c r="O361" s="21">
        <f t="shared" si="121"/>
        <v>0.30581621508966206</v>
      </c>
      <c r="P361" s="21">
        <f t="shared" si="122"/>
        <v>1.4121973993894112E-2</v>
      </c>
      <c r="R361" s="22" t="e">
        <f>$I361*IF($E361&gt;_xlfn.AGGREGATE(4,6,'KM Data'!$E$6:$E$205),NA(),INDEX('KM Data'!$F$6:$F$205,MATCH($E361,'KM Data'!$E$6:$E$205,1)))</f>
        <v>#N/A</v>
      </c>
      <c r="S361" s="21">
        <f t="shared" si="110"/>
        <v>9.2590614375275049E-2</v>
      </c>
      <c r="T361" s="8">
        <f t="shared" si="113"/>
        <v>2.9519133039707102E-3</v>
      </c>
      <c r="U361" s="21">
        <f t="shared" si="123"/>
        <v>6.072855114093953E-2</v>
      </c>
      <c r="V361" s="21">
        <f t="shared" si="124"/>
        <v>0.30581621508966206</v>
      </c>
      <c r="W361" s="21">
        <f t="shared" si="125"/>
        <v>6.072855114093953E-2</v>
      </c>
      <c r="Y361" s="23">
        <f t="shared" si="114"/>
        <v>1.4121973993894112E-2</v>
      </c>
      <c r="Z361" s="6">
        <f t="shared" si="115"/>
        <v>4.6606577147045414E-2</v>
      </c>
      <c r="AA361" s="6">
        <f t="shared" si="116"/>
        <v>0.93927144885906044</v>
      </c>
      <c r="AB361" s="6">
        <f t="shared" si="117"/>
        <v>1</v>
      </c>
    </row>
    <row r="362" spans="1:28" x14ac:dyDescent="0.35">
      <c r="A362">
        <v>353</v>
      </c>
      <c r="B362" s="17">
        <f t="shared" si="118"/>
        <v>10714</v>
      </c>
      <c r="C362" s="17">
        <f t="shared" si="111"/>
        <v>10744.4375</v>
      </c>
      <c r="D362" s="17">
        <f t="shared" si="119"/>
        <v>10729.21875</v>
      </c>
      <c r="E362" s="17">
        <f t="shared" si="105"/>
        <v>352.5</v>
      </c>
      <c r="F362" s="17">
        <f t="shared" si="106"/>
        <v>89.375</v>
      </c>
      <c r="G362" s="21">
        <f>INDEX('Life Tables'!$F$8:$F$123,MATCH(Engine!F362,'Life Tables'!$B$8:$B$123,1))</f>
        <v>1.2278077734983128E-2</v>
      </c>
      <c r="H362" s="8">
        <f t="shared" si="107"/>
        <v>0.36874815497338298</v>
      </c>
      <c r="I362">
        <f t="shared" si="108"/>
        <v>1</v>
      </c>
      <c r="K362" s="22" t="e">
        <f>$I362*IF($E362&gt;_xlfn.AGGREGATE(4,6,'KM Data'!$B$6:$B$310),NA(),INDEX('KM Data'!$C$6:$C$310,MATCH($E362,'KM Data'!$B$6:$B$310,1)))</f>
        <v>#N/A</v>
      </c>
      <c r="L362" s="21">
        <f t="shared" si="109"/>
        <v>1.8016440412563339E-2</v>
      </c>
      <c r="M362" s="20">
        <f t="shared" si="112"/>
        <v>4.5906124307221186E-3</v>
      </c>
      <c r="N362" s="21">
        <f t="shared" si="120"/>
        <v>1.3948583299425671E-2</v>
      </c>
      <c r="O362" s="21">
        <f t="shared" si="121"/>
        <v>0.30206137982817288</v>
      </c>
      <c r="P362" s="21">
        <f t="shared" si="122"/>
        <v>1.3948583299425671E-2</v>
      </c>
      <c r="R362" s="22" t="e">
        <f>$I362*IF($E362&gt;_xlfn.AGGREGATE(4,6,'KM Data'!$E$6:$E$205),NA(),INDEX('KM Data'!$F$6:$F$205,MATCH($E362,'KM Data'!$E$6:$E$205,1)))</f>
        <v>#N/A</v>
      </c>
      <c r="S362" s="21">
        <f t="shared" si="110"/>
        <v>9.2317294908877856E-2</v>
      </c>
      <c r="T362" s="8">
        <f t="shared" si="113"/>
        <v>2.9458202401282385E-3</v>
      </c>
      <c r="U362" s="21">
        <f t="shared" si="123"/>
        <v>5.9982921269298176E-2</v>
      </c>
      <c r="V362" s="21">
        <f t="shared" si="124"/>
        <v>0.30206137982817288</v>
      </c>
      <c r="W362" s="21">
        <f t="shared" si="125"/>
        <v>5.9982921269298176E-2</v>
      </c>
      <c r="Y362" s="23">
        <f t="shared" si="114"/>
        <v>1.3948583299425671E-2</v>
      </c>
      <c r="Z362" s="6">
        <f t="shared" si="115"/>
        <v>4.6034337969872503E-2</v>
      </c>
      <c r="AA362" s="6">
        <f t="shared" si="116"/>
        <v>0.94001707873070184</v>
      </c>
      <c r="AB362" s="6">
        <f t="shared" si="117"/>
        <v>1</v>
      </c>
    </row>
    <row r="363" spans="1:28" x14ac:dyDescent="0.35">
      <c r="A363">
        <v>354</v>
      </c>
      <c r="B363" s="17">
        <f t="shared" si="118"/>
        <v>10744.4375</v>
      </c>
      <c r="C363" s="17">
        <f t="shared" si="111"/>
        <v>10774.875</v>
      </c>
      <c r="D363" s="17">
        <f t="shared" si="119"/>
        <v>10759.65625</v>
      </c>
      <c r="E363" s="17">
        <f t="shared" si="105"/>
        <v>353.5</v>
      </c>
      <c r="F363" s="17">
        <f t="shared" si="106"/>
        <v>89.458333333333329</v>
      </c>
      <c r="G363" s="21">
        <f>INDEX('Life Tables'!$F$8:$F$123,MATCH(Engine!F363,'Life Tables'!$B$8:$B$123,1))</f>
        <v>1.2278077734983128E-2</v>
      </c>
      <c r="H363" s="8">
        <f t="shared" si="107"/>
        <v>0.36874815497338298</v>
      </c>
      <c r="I363">
        <f t="shared" si="108"/>
        <v>1</v>
      </c>
      <c r="K363" s="22" t="e">
        <f>$I363*IF($E363&gt;_xlfn.AGGREGATE(4,6,'KM Data'!$B$6:$B$310),NA(),INDEX('KM Data'!$C$6:$C$310,MATCH($E363,'KM Data'!$B$6:$B$310,1)))</f>
        <v>#N/A</v>
      </c>
      <c r="L363" s="21">
        <f t="shared" si="109"/>
        <v>1.7933733917248063E-2</v>
      </c>
      <c r="M363" s="20">
        <f t="shared" si="112"/>
        <v>4.5807656707714806E-3</v>
      </c>
      <c r="N363" s="21">
        <f t="shared" si="120"/>
        <v>1.3777321509382434E-2</v>
      </c>
      <c r="O363" s="21">
        <f t="shared" si="121"/>
        <v>0.29835264672590633</v>
      </c>
      <c r="P363" s="21">
        <f t="shared" si="122"/>
        <v>1.3777321509382434E-2</v>
      </c>
      <c r="R363" s="22" t="e">
        <f>$I363*IF($E363&gt;_xlfn.AGGREGATE(4,6,'KM Data'!$E$6:$E$205),NA(),INDEX('KM Data'!$F$6:$F$205,MATCH($E363,'KM Data'!$E$6:$E$205,1)))</f>
        <v>#N/A</v>
      </c>
      <c r="S363" s="21">
        <f t="shared" si="110"/>
        <v>9.2045344753021396E-2</v>
      </c>
      <c r="T363" s="8">
        <f t="shared" si="113"/>
        <v>2.9397556103950562E-3</v>
      </c>
      <c r="U363" s="21">
        <f t="shared" si="123"/>
        <v>5.9246446299182361E-2</v>
      </c>
      <c r="V363" s="21">
        <f t="shared" si="124"/>
        <v>0.29835264672590633</v>
      </c>
      <c r="W363" s="21">
        <f t="shared" si="125"/>
        <v>5.9246446299182361E-2</v>
      </c>
      <c r="Y363" s="23">
        <f t="shared" si="114"/>
        <v>1.3777321509382434E-2</v>
      </c>
      <c r="Z363" s="6">
        <f t="shared" si="115"/>
        <v>4.5469124789799927E-2</v>
      </c>
      <c r="AA363" s="6">
        <f t="shared" si="116"/>
        <v>0.94075355370081759</v>
      </c>
      <c r="AB363" s="6">
        <f t="shared" si="117"/>
        <v>1</v>
      </c>
    </row>
    <row r="364" spans="1:28" x14ac:dyDescent="0.35">
      <c r="A364">
        <v>355</v>
      </c>
      <c r="B364" s="17">
        <f t="shared" si="118"/>
        <v>10774.875</v>
      </c>
      <c r="C364" s="17">
        <f t="shared" si="111"/>
        <v>10805.3125</v>
      </c>
      <c r="D364" s="17">
        <f t="shared" si="119"/>
        <v>10790.09375</v>
      </c>
      <c r="E364" s="17">
        <f t="shared" si="105"/>
        <v>354.5</v>
      </c>
      <c r="F364" s="17">
        <f t="shared" si="106"/>
        <v>89.541666666666671</v>
      </c>
      <c r="G364" s="21">
        <f>INDEX('Life Tables'!$F$8:$F$123,MATCH(Engine!F364,'Life Tables'!$B$8:$B$123,1))</f>
        <v>1.2278077734983128E-2</v>
      </c>
      <c r="H364" s="8">
        <f t="shared" si="107"/>
        <v>0.36874815497338298</v>
      </c>
      <c r="I364">
        <f t="shared" si="108"/>
        <v>1</v>
      </c>
      <c r="K364" s="22" t="e">
        <f>$I364*IF($E364&gt;_xlfn.AGGREGATE(4,6,'KM Data'!$B$6:$B$310),NA(),INDEX('KM Data'!$C$6:$C$310,MATCH($E364,'KM Data'!$B$6:$B$310,1)))</f>
        <v>#N/A</v>
      </c>
      <c r="L364" s="21">
        <f t="shared" si="109"/>
        <v>1.7851583684571182E-2</v>
      </c>
      <c r="M364" s="20">
        <f t="shared" si="112"/>
        <v>4.5709659506726341E-3</v>
      </c>
      <c r="N364" s="21">
        <f t="shared" si="120"/>
        <v>1.3608162484910381E-2</v>
      </c>
      <c r="O364" s="21">
        <f t="shared" si="121"/>
        <v>0.2946894497369677</v>
      </c>
      <c r="P364" s="21">
        <f t="shared" si="122"/>
        <v>1.3608162484910381E-2</v>
      </c>
      <c r="R364" s="22" t="e">
        <f>$I364*IF($E364&gt;_xlfn.AGGREGATE(4,6,'KM Data'!$E$6:$E$205),NA(),INDEX('KM Data'!$F$6:$F$205,MATCH($E364,'KM Data'!$E$6:$E$205,1)))</f>
        <v>#N/A</v>
      </c>
      <c r="S364" s="21">
        <f t="shared" si="110"/>
        <v>9.1774753934372955E-2</v>
      </c>
      <c r="T364" s="8">
        <f t="shared" si="113"/>
        <v>2.933719206559493E-3</v>
      </c>
      <c r="U364" s="21">
        <f t="shared" si="123"/>
        <v>5.8519013825999493E-2</v>
      </c>
      <c r="V364" s="21">
        <f t="shared" si="124"/>
        <v>0.2946894497369677</v>
      </c>
      <c r="W364" s="21">
        <f t="shared" si="125"/>
        <v>5.8519013825999493E-2</v>
      </c>
      <c r="Y364" s="23">
        <f t="shared" si="114"/>
        <v>1.3608162484910381E-2</v>
      </c>
      <c r="Z364" s="6">
        <f t="shared" si="115"/>
        <v>4.491085134108911E-2</v>
      </c>
      <c r="AA364" s="6">
        <f t="shared" si="116"/>
        <v>0.94148098617400056</v>
      </c>
      <c r="AB364" s="6">
        <f t="shared" si="117"/>
        <v>1</v>
      </c>
    </row>
    <row r="365" spans="1:28" x14ac:dyDescent="0.35">
      <c r="A365">
        <v>356</v>
      </c>
      <c r="B365" s="17">
        <f t="shared" si="118"/>
        <v>10805.3125</v>
      </c>
      <c r="C365" s="17">
        <f t="shared" si="111"/>
        <v>10835.75</v>
      </c>
      <c r="D365" s="17">
        <f t="shared" si="119"/>
        <v>10820.53125</v>
      </c>
      <c r="E365" s="17">
        <f t="shared" si="105"/>
        <v>355.5</v>
      </c>
      <c r="F365" s="17">
        <f t="shared" si="106"/>
        <v>89.625</v>
      </c>
      <c r="G365" s="21">
        <f>INDEX('Life Tables'!$F$8:$F$123,MATCH(Engine!F365,'Life Tables'!$B$8:$B$123,1))</f>
        <v>1.2278077734983128E-2</v>
      </c>
      <c r="H365" s="8">
        <f t="shared" si="107"/>
        <v>0.36874815497338298</v>
      </c>
      <c r="I365">
        <f t="shared" si="108"/>
        <v>1</v>
      </c>
      <c r="K365" s="22" t="e">
        <f>$I365*IF($E365&gt;_xlfn.AGGREGATE(4,6,'KM Data'!$B$6:$B$310),NA(),INDEX('KM Data'!$C$6:$C$310,MATCH($E365,'KM Data'!$B$6:$B$310,1)))</f>
        <v>#N/A</v>
      </c>
      <c r="L365" s="21">
        <f t="shared" si="109"/>
        <v>1.7769984703383424E-2</v>
      </c>
      <c r="M365" s="20">
        <f t="shared" si="112"/>
        <v>4.5612129199392726E-3</v>
      </c>
      <c r="N365" s="21">
        <f t="shared" si="120"/>
        <v>1.344108040809037E-2</v>
      </c>
      <c r="O365" s="21">
        <f t="shared" si="121"/>
        <v>0.29107122976541783</v>
      </c>
      <c r="P365" s="21">
        <f t="shared" si="122"/>
        <v>1.344108040809037E-2</v>
      </c>
      <c r="R365" s="22" t="e">
        <f>$I365*IF($E365&gt;_xlfn.AGGREGATE(4,6,'KM Data'!$E$6:$E$205),NA(),INDEX('KM Data'!$F$6:$F$205,MATCH($E365,'KM Data'!$E$6:$E$205,1)))</f>
        <v>#N/A</v>
      </c>
      <c r="S365" s="21">
        <f t="shared" si="110"/>
        <v>9.1505512576078418E-2</v>
      </c>
      <c r="T365" s="8">
        <f t="shared" si="113"/>
        <v>2.927710822480889E-3</v>
      </c>
      <c r="U365" s="21">
        <f t="shared" si="123"/>
        <v>5.7800512825269316E-2</v>
      </c>
      <c r="V365" s="21">
        <f t="shared" si="124"/>
        <v>0.29107122976541783</v>
      </c>
      <c r="W365" s="21">
        <f t="shared" si="125"/>
        <v>5.7800512825269316E-2</v>
      </c>
      <c r="Y365" s="23">
        <f t="shared" si="114"/>
        <v>1.344108040809037E-2</v>
      </c>
      <c r="Z365" s="6">
        <f t="shared" si="115"/>
        <v>4.4359432417178948E-2</v>
      </c>
      <c r="AA365" s="6">
        <f t="shared" si="116"/>
        <v>0.94219948717473068</v>
      </c>
      <c r="AB365" s="6">
        <f t="shared" si="117"/>
        <v>1</v>
      </c>
    </row>
    <row r="366" spans="1:28" x14ac:dyDescent="0.35">
      <c r="A366">
        <v>357</v>
      </c>
      <c r="B366" s="17">
        <f t="shared" si="118"/>
        <v>10835.75</v>
      </c>
      <c r="C366" s="17">
        <f t="shared" si="111"/>
        <v>10866.1875</v>
      </c>
      <c r="D366" s="17">
        <f t="shared" si="119"/>
        <v>10850.96875</v>
      </c>
      <c r="E366" s="17">
        <f t="shared" si="105"/>
        <v>356.5</v>
      </c>
      <c r="F366" s="17">
        <f t="shared" si="106"/>
        <v>89.708333333333329</v>
      </c>
      <c r="G366" s="21">
        <f>INDEX('Life Tables'!$F$8:$F$123,MATCH(Engine!F366,'Life Tables'!$B$8:$B$123,1))</f>
        <v>1.2278077734983128E-2</v>
      </c>
      <c r="H366" s="8">
        <f t="shared" si="107"/>
        <v>0.36874815497338298</v>
      </c>
      <c r="I366">
        <f t="shared" si="108"/>
        <v>1</v>
      </c>
      <c r="K366" s="22" t="e">
        <f>$I366*IF($E366&gt;_xlfn.AGGREGATE(4,6,'KM Data'!$B$6:$B$310),NA(),INDEX('KM Data'!$C$6:$C$310,MATCH($E366,'KM Data'!$B$6:$B$310,1)))</f>
        <v>#N/A</v>
      </c>
      <c r="L366" s="21">
        <f t="shared" si="109"/>
        <v>1.7688932019567227E-2</v>
      </c>
      <c r="M366" s="20">
        <f t="shared" si="112"/>
        <v>4.5515062316124899E-3</v>
      </c>
      <c r="N366" s="21">
        <f t="shared" si="120"/>
        <v>1.3276049777997678E-2</v>
      </c>
      <c r="O366" s="21">
        <f t="shared" si="121"/>
        <v>0.28749743457994087</v>
      </c>
      <c r="P366" s="21">
        <f t="shared" si="122"/>
        <v>1.3276049777997678E-2</v>
      </c>
      <c r="R366" s="22" t="e">
        <f>$I366*IF($E366&gt;_xlfn.AGGREGATE(4,6,'KM Data'!$E$6:$E$205),NA(),INDEX('KM Data'!$F$6:$F$205,MATCH($E366,'KM Data'!$E$6:$E$205,1)))</f>
        <v>#N/A</v>
      </c>
      <c r="S366" s="21">
        <f t="shared" si="110"/>
        <v>9.1237610896592769E-2</v>
      </c>
      <c r="T366" s="8">
        <f t="shared" si="113"/>
        <v>2.9217302540786028E-3</v>
      </c>
      <c r="U366" s="21">
        <f t="shared" si="123"/>
        <v>5.7090833635678767E-2</v>
      </c>
      <c r="V366" s="21">
        <f t="shared" si="124"/>
        <v>0.28749743457994087</v>
      </c>
      <c r="W366" s="21">
        <f t="shared" si="125"/>
        <v>5.7090833635678767E-2</v>
      </c>
      <c r="Y366" s="23">
        <f t="shared" si="114"/>
        <v>1.3276049777997678E-2</v>
      </c>
      <c r="Z366" s="6">
        <f t="shared" si="115"/>
        <v>4.3814783857681089E-2</v>
      </c>
      <c r="AA366" s="6">
        <f t="shared" si="116"/>
        <v>0.94290916636432121</v>
      </c>
      <c r="AB366" s="6">
        <f t="shared" si="117"/>
        <v>1</v>
      </c>
    </row>
    <row r="367" spans="1:28" x14ac:dyDescent="0.35">
      <c r="A367">
        <v>358</v>
      </c>
      <c r="B367" s="17">
        <f t="shared" si="118"/>
        <v>10866.1875</v>
      </c>
      <c r="C367" s="17">
        <f t="shared" si="111"/>
        <v>10896.625</v>
      </c>
      <c r="D367" s="17">
        <f t="shared" si="119"/>
        <v>10881.40625</v>
      </c>
      <c r="E367" s="17">
        <f t="shared" si="105"/>
        <v>357.5</v>
      </c>
      <c r="F367" s="17">
        <f t="shared" si="106"/>
        <v>89.791666666666671</v>
      </c>
      <c r="G367" s="21">
        <f>INDEX('Life Tables'!$F$8:$F$123,MATCH(Engine!F367,'Life Tables'!$B$8:$B$123,1))</f>
        <v>1.2278077734983128E-2</v>
      </c>
      <c r="H367" s="8">
        <f t="shared" si="107"/>
        <v>0.36874815497338298</v>
      </c>
      <c r="I367">
        <f t="shared" si="108"/>
        <v>1</v>
      </c>
      <c r="K367" s="22" t="e">
        <f>$I367*IF($E367&gt;_xlfn.AGGREGATE(4,6,'KM Data'!$B$6:$B$310),NA(),INDEX('KM Data'!$C$6:$C$310,MATCH($E367,'KM Data'!$B$6:$B$310,1)))</f>
        <v>#N/A</v>
      </c>
      <c r="L367" s="21">
        <f t="shared" si="109"/>
        <v>1.7608420735249597E-2</v>
      </c>
      <c r="M367" s="20">
        <f t="shared" si="112"/>
        <v>4.541845542267553E-3</v>
      </c>
      <c r="N367" s="21">
        <f t="shared" si="120"/>
        <v>1.3113045406809918E-2</v>
      </c>
      <c r="O367" s="21">
        <f t="shared" si="121"/>
        <v>0.28396751872956011</v>
      </c>
      <c r="P367" s="21">
        <f t="shared" si="122"/>
        <v>1.3113045406809918E-2</v>
      </c>
      <c r="R367" s="22" t="e">
        <f>$I367*IF($E367&gt;_xlfn.AGGREGATE(4,6,'KM Data'!$E$6:$E$205),NA(),INDEX('KM Data'!$F$6:$F$205,MATCH($E367,'KM Data'!$E$6:$E$205,1)))</f>
        <v>#N/A</v>
      </c>
      <c r="S367" s="21">
        <f t="shared" si="110"/>
        <v>9.0971039208526339E-2</v>
      </c>
      <c r="T367" s="8">
        <f t="shared" si="113"/>
        <v>2.9157772993037012E-3</v>
      </c>
      <c r="U367" s="21">
        <f t="shared" si="123"/>
        <v>5.6389867942344914E-2</v>
      </c>
      <c r="V367" s="21">
        <f t="shared" si="124"/>
        <v>0.28396751872956011</v>
      </c>
      <c r="W367" s="21">
        <f t="shared" si="125"/>
        <v>5.6389867942344914E-2</v>
      </c>
      <c r="Y367" s="23">
        <f t="shared" si="114"/>
        <v>1.3113045406809918E-2</v>
      </c>
      <c r="Z367" s="6">
        <f t="shared" si="115"/>
        <v>4.3276822535534998E-2</v>
      </c>
      <c r="AA367" s="6">
        <f t="shared" si="116"/>
        <v>0.94361013205765509</v>
      </c>
      <c r="AB367" s="6">
        <f t="shared" si="117"/>
        <v>1</v>
      </c>
    </row>
    <row r="368" spans="1:28" x14ac:dyDescent="0.35">
      <c r="A368">
        <v>359</v>
      </c>
      <c r="B368" s="17">
        <f t="shared" si="118"/>
        <v>10896.625</v>
      </c>
      <c r="C368" s="17">
        <f t="shared" si="111"/>
        <v>10927.0625</v>
      </c>
      <c r="D368" s="17">
        <f t="shared" si="119"/>
        <v>10911.84375</v>
      </c>
      <c r="E368" s="17">
        <f t="shared" si="105"/>
        <v>358.5</v>
      </c>
      <c r="F368" s="17">
        <f t="shared" si="106"/>
        <v>89.875</v>
      </c>
      <c r="G368" s="21">
        <f>INDEX('Life Tables'!$F$8:$F$123,MATCH(Engine!F368,'Life Tables'!$B$8:$B$123,1))</f>
        <v>1.2278077734983128E-2</v>
      </c>
      <c r="H368" s="8">
        <f t="shared" si="107"/>
        <v>0.36874815497338298</v>
      </c>
      <c r="I368">
        <f t="shared" si="108"/>
        <v>1</v>
      </c>
      <c r="K368" s="22" t="e">
        <f>$I368*IF($E368&gt;_xlfn.AGGREGATE(4,6,'KM Data'!$B$6:$B$310),NA(),INDEX('KM Data'!$C$6:$C$310,MATCH($E368,'KM Data'!$B$6:$B$310,1)))</f>
        <v>#N/A</v>
      </c>
      <c r="L368" s="21">
        <f t="shared" si="109"/>
        <v>1.7528446008026832E-2</v>
      </c>
      <c r="M368" s="20">
        <f t="shared" si="112"/>
        <v>4.5322305119336326E-3</v>
      </c>
      <c r="N368" s="21">
        <f t="shared" si="120"/>
        <v>1.2952042415962742E-2</v>
      </c>
      <c r="O368" s="21">
        <f t="shared" si="121"/>
        <v>0.28048094346038827</v>
      </c>
      <c r="P368" s="21">
        <f t="shared" si="122"/>
        <v>1.2952042415962742E-2</v>
      </c>
      <c r="R368" s="22" t="e">
        <f>$I368*IF($E368&gt;_xlfn.AGGREGATE(4,6,'KM Data'!$E$6:$E$205),NA(),INDEX('KM Data'!$F$6:$F$205,MATCH($E368,'KM Data'!$E$6:$E$205,1)))</f>
        <v>#N/A</v>
      </c>
      <c r="S368" s="21">
        <f t="shared" si="110"/>
        <v>9.0705787917508052E-2</v>
      </c>
      <c r="T368" s="8">
        <f t="shared" si="113"/>
        <v>2.9098517581050976E-3</v>
      </c>
      <c r="U368" s="21">
        <f t="shared" si="123"/>
        <v>5.5697508760283371E-2</v>
      </c>
      <c r="V368" s="21">
        <f t="shared" si="124"/>
        <v>0.28048094346038827</v>
      </c>
      <c r="W368" s="21">
        <f t="shared" si="125"/>
        <v>5.5697508760283371E-2</v>
      </c>
      <c r="Y368" s="23">
        <f t="shared" si="114"/>
        <v>1.2952042415962742E-2</v>
      </c>
      <c r="Z368" s="6">
        <f t="shared" si="115"/>
        <v>4.274546634432063E-2</v>
      </c>
      <c r="AA368" s="6">
        <f t="shared" si="116"/>
        <v>0.94430249123971666</v>
      </c>
      <c r="AB368" s="6">
        <f t="shared" si="117"/>
        <v>1</v>
      </c>
    </row>
    <row r="369" spans="1:28" x14ac:dyDescent="0.35">
      <c r="A369">
        <v>360</v>
      </c>
      <c r="B369" s="17">
        <f t="shared" si="118"/>
        <v>10927.0625</v>
      </c>
      <c r="C369" s="17">
        <f t="shared" si="111"/>
        <v>10957.5</v>
      </c>
      <c r="D369" s="17">
        <f t="shared" si="119"/>
        <v>10942.28125</v>
      </c>
      <c r="E369" s="17">
        <f t="shared" si="105"/>
        <v>359.5</v>
      </c>
      <c r="F369" s="17">
        <f t="shared" si="106"/>
        <v>89.958333333333329</v>
      </c>
      <c r="G369" s="21">
        <f>INDEX('Life Tables'!$F$8:$F$123,MATCH(Engine!F369,'Life Tables'!$B$8:$B$123,1))</f>
        <v>1.2278077734983128E-2</v>
      </c>
      <c r="H369" s="8">
        <f t="shared" si="107"/>
        <v>0.35627841060230236</v>
      </c>
      <c r="I369">
        <f t="shared" si="108"/>
        <v>1</v>
      </c>
      <c r="K369" s="22" t="e">
        <f>$I369*IF($E369&gt;_xlfn.AGGREGATE(4,6,'KM Data'!$B$6:$B$310),NA(),INDEX('KM Data'!$C$6:$C$310,MATCH($E369,'KM Data'!$B$6:$B$310,1)))</f>
        <v>#N/A</v>
      </c>
      <c r="L369" s="21">
        <f t="shared" si="109"/>
        <v>1.7449003050202472E-2</v>
      </c>
      <c r="M369" s="20">
        <f t="shared" si="112"/>
        <v>4.52266080403807E-3</v>
      </c>
      <c r="N369" s="21">
        <f t="shared" si="120"/>
        <v>1.2793016232352752E-2</v>
      </c>
      <c r="O369" s="21">
        <f t="shared" si="121"/>
        <v>0.27703717663340022</v>
      </c>
      <c r="P369" s="21">
        <f t="shared" si="122"/>
        <v>1.2793016232352752E-2</v>
      </c>
      <c r="R369" s="22" t="e">
        <f>$I369*IF($E369&gt;_xlfn.AGGREGATE(4,6,'KM Data'!$E$6:$E$205),NA(),INDEX('KM Data'!$F$6:$F$205,MATCH($E369,'KM Data'!$E$6:$E$205,1)))</f>
        <v>#N/A</v>
      </c>
      <c r="S369" s="21">
        <f t="shared" si="110"/>
        <v>9.0441847521065988E-2</v>
      </c>
      <c r="T369" s="8">
        <f t="shared" si="113"/>
        <v>2.9039534324085681E-3</v>
      </c>
      <c r="U369" s="21">
        <f t="shared" si="123"/>
        <v>5.5013650418079707E-2</v>
      </c>
      <c r="V369" s="21">
        <f t="shared" si="124"/>
        <v>0.27703717663340022</v>
      </c>
      <c r="W369" s="21">
        <f t="shared" si="125"/>
        <v>5.5013650418079707E-2</v>
      </c>
      <c r="Y369" s="23">
        <f t="shared" si="114"/>
        <v>1.2793016232352752E-2</v>
      </c>
      <c r="Z369" s="6">
        <f t="shared" si="115"/>
        <v>4.2220634185726955E-2</v>
      </c>
      <c r="AA369" s="6">
        <f t="shared" si="116"/>
        <v>0.94498634958192029</v>
      </c>
      <c r="AB369" s="6">
        <f t="shared" si="117"/>
        <v>1</v>
      </c>
    </row>
    <row r="370" spans="1:28" x14ac:dyDescent="0.35">
      <c r="A370">
        <v>361</v>
      </c>
      <c r="B370" s="17">
        <f t="shared" si="118"/>
        <v>10957.5</v>
      </c>
      <c r="C370" s="17">
        <f t="shared" si="111"/>
        <v>10987.9375</v>
      </c>
      <c r="D370" s="17">
        <f t="shared" si="119"/>
        <v>10972.71875</v>
      </c>
      <c r="E370" s="17">
        <f t="shared" si="105"/>
        <v>360.5</v>
      </c>
      <c r="F370" s="17">
        <f t="shared" si="106"/>
        <v>90.041666666666671</v>
      </c>
      <c r="G370" s="21">
        <f>INDEX('Life Tables'!$F$8:$F$123,MATCH(Engine!F370,'Life Tables'!$B$8:$B$123,1))</f>
        <v>1.4030555072235273E-2</v>
      </c>
      <c r="H370" s="8">
        <f t="shared" si="107"/>
        <v>0.35627841060230236</v>
      </c>
      <c r="I370">
        <f t="shared" si="108"/>
        <v>1</v>
      </c>
      <c r="K370" s="22" t="e">
        <f>$I370*IF($E370&gt;_xlfn.AGGREGATE(4,6,'KM Data'!$B$6:$B$310),NA(),INDEX('KM Data'!$C$6:$C$310,MATCH($E370,'KM Data'!$B$6:$B$310,1)))</f>
        <v>#N/A</v>
      </c>
      <c r="L370" s="21">
        <f t="shared" si="109"/>
        <v>1.7370087128037781E-2</v>
      </c>
      <c r="M370" s="20">
        <f t="shared" si="112"/>
        <v>4.5131360854135938E-3</v>
      </c>
      <c r="N370" s="21">
        <f t="shared" si="120"/>
        <v>1.2635942584587024E-2</v>
      </c>
      <c r="O370" s="21">
        <f t="shared" si="121"/>
        <v>0.27363569264321508</v>
      </c>
      <c r="P370" s="21">
        <f t="shared" si="122"/>
        <v>1.2635942584587024E-2</v>
      </c>
      <c r="R370" s="22" t="e">
        <f>$I370*IF($E370&gt;_xlfn.AGGREGATE(4,6,'KM Data'!$E$6:$E$205),NA(),INDEX('KM Data'!$F$6:$F$205,MATCH($E370,'KM Data'!$E$6:$E$205,1)))</f>
        <v>#N/A</v>
      </c>
      <c r="S370" s="21">
        <f t="shared" si="110"/>
        <v>9.017920860752382E-2</v>
      </c>
      <c r="T370" s="8">
        <f t="shared" si="113"/>
        <v>2.898082126095658E-3</v>
      </c>
      <c r="U370" s="21">
        <f t="shared" si="123"/>
        <v>5.433818854176134E-2</v>
      </c>
      <c r="V370" s="21">
        <f t="shared" si="124"/>
        <v>0.27363569264321508</v>
      </c>
      <c r="W370" s="21">
        <f t="shared" si="125"/>
        <v>5.433818854176134E-2</v>
      </c>
      <c r="Y370" s="23">
        <f t="shared" si="114"/>
        <v>1.2635942584587024E-2</v>
      </c>
      <c r="Z370" s="6">
        <f t="shared" si="115"/>
        <v>4.1702245957174318E-2</v>
      </c>
      <c r="AA370" s="6">
        <f t="shared" si="116"/>
        <v>0.94566181145823869</v>
      </c>
      <c r="AB370" s="6">
        <f t="shared" si="117"/>
        <v>1</v>
      </c>
    </row>
    <row r="371" spans="1:28" x14ac:dyDescent="0.35">
      <c r="A371">
        <v>362</v>
      </c>
      <c r="B371" s="17">
        <f t="shared" si="118"/>
        <v>10987.9375</v>
      </c>
      <c r="C371" s="17">
        <f t="shared" si="111"/>
        <v>11018.375</v>
      </c>
      <c r="D371" s="17">
        <f t="shared" si="119"/>
        <v>11003.15625</v>
      </c>
      <c r="E371" s="17">
        <f t="shared" si="105"/>
        <v>361.5</v>
      </c>
      <c r="F371" s="17">
        <f t="shared" si="106"/>
        <v>90.125</v>
      </c>
      <c r="G371" s="21">
        <f>INDEX('Life Tables'!$F$8:$F$123,MATCH(Engine!F371,'Life Tables'!$B$8:$B$123,1))</f>
        <v>1.4030555072235273E-2</v>
      </c>
      <c r="H371" s="8">
        <f t="shared" si="107"/>
        <v>0.35627841060230236</v>
      </c>
      <c r="I371">
        <f t="shared" si="108"/>
        <v>1</v>
      </c>
      <c r="K371" s="22" t="e">
        <f>$I371*IF($E371&gt;_xlfn.AGGREGATE(4,6,'KM Data'!$B$6:$B$310),NA(),INDEX('KM Data'!$C$6:$C$310,MATCH($E371,'KM Data'!$B$6:$B$310,1)))</f>
        <v>#N/A</v>
      </c>
      <c r="L371" s="21">
        <f t="shared" si="109"/>
        <v>1.7291693561013455E-2</v>
      </c>
      <c r="M371" s="20">
        <f t="shared" si="112"/>
        <v>4.5036560261934033E-3</v>
      </c>
      <c r="N371" s="21">
        <f t="shared" si="120"/>
        <v>1.2458653296264372E-2</v>
      </c>
      <c r="O371" s="21">
        <f t="shared" si="121"/>
        <v>0.26979643198785519</v>
      </c>
      <c r="P371" s="21">
        <f t="shared" si="122"/>
        <v>1.2458653296264372E-2</v>
      </c>
      <c r="R371" s="22" t="e">
        <f>$I371*IF($E371&gt;_xlfn.AGGREGATE(4,6,'KM Data'!$E$6:$E$205),NA(),INDEX('KM Data'!$F$6:$F$205,MATCH($E371,'KM Data'!$E$6:$E$205,1)))</f>
        <v>#N/A</v>
      </c>
      <c r="S371" s="21">
        <f t="shared" si="110"/>
        <v>8.9917861854912906E-2</v>
      </c>
      <c r="T371" s="8">
        <f t="shared" si="113"/>
        <v>2.8922376449748155E-3</v>
      </c>
      <c r="U371" s="21">
        <f t="shared" si="123"/>
        <v>5.3575793594900653E-2</v>
      </c>
      <c r="V371" s="21">
        <f t="shared" si="124"/>
        <v>0.26979643198785519</v>
      </c>
      <c r="W371" s="21">
        <f t="shared" si="125"/>
        <v>5.3575793594900653E-2</v>
      </c>
      <c r="Y371" s="23">
        <f t="shared" si="114"/>
        <v>1.2458653296264372E-2</v>
      </c>
      <c r="Z371" s="6">
        <f t="shared" si="115"/>
        <v>4.1117140298636279E-2</v>
      </c>
      <c r="AA371" s="6">
        <f t="shared" si="116"/>
        <v>0.94642420640509939</v>
      </c>
      <c r="AB371" s="6">
        <f t="shared" si="117"/>
        <v>1</v>
      </c>
    </row>
    <row r="372" spans="1:28" x14ac:dyDescent="0.35">
      <c r="A372">
        <v>363</v>
      </c>
      <c r="B372" s="17">
        <f t="shared" si="118"/>
        <v>11018.375</v>
      </c>
      <c r="C372" s="17">
        <f t="shared" si="111"/>
        <v>11048.8125</v>
      </c>
      <c r="D372" s="17">
        <f t="shared" si="119"/>
        <v>11033.59375</v>
      </c>
      <c r="E372" s="17">
        <f t="shared" si="105"/>
        <v>362.5</v>
      </c>
      <c r="F372" s="17">
        <f t="shared" si="106"/>
        <v>90.208333333333329</v>
      </c>
      <c r="G372" s="21">
        <f>INDEX('Life Tables'!$F$8:$F$123,MATCH(Engine!F372,'Life Tables'!$B$8:$B$123,1))</f>
        <v>1.4030555072235273E-2</v>
      </c>
      <c r="H372" s="8">
        <f t="shared" si="107"/>
        <v>0.35627841060230236</v>
      </c>
      <c r="I372">
        <f t="shared" si="108"/>
        <v>1</v>
      </c>
      <c r="K372" s="22" t="e">
        <f>$I372*IF($E372&gt;_xlfn.AGGREGATE(4,6,'KM Data'!$B$6:$B$310),NA(),INDEX('KM Data'!$C$6:$C$310,MATCH($E372,'KM Data'!$B$6:$B$310,1)))</f>
        <v>#N/A</v>
      </c>
      <c r="L372" s="21">
        <f t="shared" si="109"/>
        <v>1.7213817721104308E-2</v>
      </c>
      <c r="M372" s="20">
        <f t="shared" si="112"/>
        <v>4.4942202998191627E-3</v>
      </c>
      <c r="N372" s="21">
        <f t="shared" si="120"/>
        <v>1.2283851475065249E-2</v>
      </c>
      <c r="O372" s="21">
        <f t="shared" si="121"/>
        <v>0.266011038290557</v>
      </c>
      <c r="P372" s="21">
        <f t="shared" si="122"/>
        <v>1.2283851475065249E-2</v>
      </c>
      <c r="R372" s="22" t="e">
        <f>$I372*IF($E372&gt;_xlfn.AGGREGATE(4,6,'KM Data'!$E$6:$E$205),NA(),INDEX('KM Data'!$F$6:$F$205,MATCH($E372,'KM Data'!$E$6:$E$205,1)))</f>
        <v>#N/A</v>
      </c>
      <c r="S372" s="21">
        <f t="shared" si="110"/>
        <v>8.9657798029900482E-2</v>
      </c>
      <c r="T372" s="8">
        <f t="shared" si="113"/>
        <v>2.8864197967625183E-3</v>
      </c>
      <c r="U372" s="21">
        <f t="shared" si="123"/>
        <v>5.2824095472328692E-2</v>
      </c>
      <c r="V372" s="21">
        <f t="shared" si="124"/>
        <v>0.266011038290557</v>
      </c>
      <c r="W372" s="21">
        <f t="shared" si="125"/>
        <v>5.2824095472328692E-2</v>
      </c>
      <c r="Y372" s="23">
        <f t="shared" si="114"/>
        <v>1.2283851475065249E-2</v>
      </c>
      <c r="Z372" s="6">
        <f t="shared" si="115"/>
        <v>4.0540243997263442E-2</v>
      </c>
      <c r="AA372" s="6">
        <f t="shared" si="116"/>
        <v>0.94717590452767131</v>
      </c>
      <c r="AB372" s="6">
        <f t="shared" si="117"/>
        <v>1</v>
      </c>
    </row>
    <row r="373" spans="1:28" x14ac:dyDescent="0.35">
      <c r="A373">
        <v>364</v>
      </c>
      <c r="B373" s="17">
        <f t="shared" si="118"/>
        <v>11048.8125</v>
      </c>
      <c r="C373" s="17">
        <f t="shared" si="111"/>
        <v>11079.25</v>
      </c>
      <c r="D373" s="17">
        <f t="shared" si="119"/>
        <v>11064.03125</v>
      </c>
      <c r="E373" s="17">
        <f t="shared" si="105"/>
        <v>363.5</v>
      </c>
      <c r="F373" s="17">
        <f t="shared" si="106"/>
        <v>90.291666666666671</v>
      </c>
      <c r="G373" s="21">
        <f>INDEX('Life Tables'!$F$8:$F$123,MATCH(Engine!F373,'Life Tables'!$B$8:$B$123,1))</f>
        <v>1.4030555072235273E-2</v>
      </c>
      <c r="H373" s="8">
        <f t="shared" si="107"/>
        <v>0.35627841060230236</v>
      </c>
      <c r="I373">
        <f t="shared" si="108"/>
        <v>1</v>
      </c>
      <c r="K373" s="22" t="e">
        <f>$I373*IF($E373&gt;_xlfn.AGGREGATE(4,6,'KM Data'!$B$6:$B$310),NA(),INDEX('KM Data'!$C$6:$C$310,MATCH($E373,'KM Data'!$B$6:$B$310,1)))</f>
        <v>#N/A</v>
      </c>
      <c r="L373" s="21">
        <f t="shared" si="109"/>
        <v>1.7136455032064735E-2</v>
      </c>
      <c r="M373" s="20">
        <f t="shared" si="112"/>
        <v>4.4848285829692802E-3</v>
      </c>
      <c r="N373" s="21">
        <f t="shared" si="120"/>
        <v>1.2111502220445188E-2</v>
      </c>
      <c r="O373" s="21">
        <f t="shared" si="121"/>
        <v>0.26227875576799886</v>
      </c>
      <c r="P373" s="21">
        <f t="shared" si="122"/>
        <v>1.2111502220445188E-2</v>
      </c>
      <c r="R373" s="22" t="e">
        <f>$I373*IF($E373&gt;_xlfn.AGGREGATE(4,6,'KM Data'!$E$6:$E$205),NA(),INDEX('KM Data'!$F$6:$F$205,MATCH($E373,'KM Data'!$E$6:$E$205,1)))</f>
        <v>#N/A</v>
      </c>
      <c r="S373" s="21">
        <f t="shared" si="110"/>
        <v>8.9399007986732837E-2</v>
      </c>
      <c r="T373" s="8">
        <f t="shared" si="113"/>
        <v>2.880628391048301E-3</v>
      </c>
      <c r="U373" s="21">
        <f t="shared" si="123"/>
        <v>5.2082944091663169E-2</v>
      </c>
      <c r="V373" s="21">
        <f t="shared" si="124"/>
        <v>0.26227875576799886</v>
      </c>
      <c r="W373" s="21">
        <f t="shared" si="125"/>
        <v>5.2082944091663169E-2</v>
      </c>
      <c r="Y373" s="23">
        <f t="shared" si="114"/>
        <v>1.2111502220445188E-2</v>
      </c>
      <c r="Z373" s="6">
        <f t="shared" si="115"/>
        <v>3.9971441871217983E-2</v>
      </c>
      <c r="AA373" s="6">
        <f t="shared" si="116"/>
        <v>0.94791705590833686</v>
      </c>
      <c r="AB373" s="6">
        <f t="shared" si="117"/>
        <v>1</v>
      </c>
    </row>
    <row r="374" spans="1:28" x14ac:dyDescent="0.35">
      <c r="A374">
        <v>365</v>
      </c>
      <c r="B374" s="17">
        <f t="shared" si="118"/>
        <v>11079.25</v>
      </c>
      <c r="C374" s="17">
        <f t="shared" si="111"/>
        <v>11109.6875</v>
      </c>
      <c r="D374" s="17">
        <f t="shared" si="119"/>
        <v>11094.46875</v>
      </c>
      <c r="E374" s="17">
        <f t="shared" si="105"/>
        <v>364.5</v>
      </c>
      <c r="F374" s="17">
        <f t="shared" si="106"/>
        <v>90.375</v>
      </c>
      <c r="G374" s="21">
        <f>INDEX('Life Tables'!$F$8:$F$123,MATCH(Engine!F374,'Life Tables'!$B$8:$B$123,1))</f>
        <v>1.4030555072235273E-2</v>
      </c>
      <c r="H374" s="8">
        <f t="shared" si="107"/>
        <v>0.35627841060230236</v>
      </c>
      <c r="I374">
        <f t="shared" si="108"/>
        <v>1</v>
      </c>
      <c r="K374" s="22" t="e">
        <f>$I374*IF($E374&gt;_xlfn.AGGREGATE(4,6,'KM Data'!$B$6:$B$310),NA(),INDEX('KM Data'!$C$6:$C$310,MATCH($E374,'KM Data'!$B$6:$B$310,1)))</f>
        <v>#N/A</v>
      </c>
      <c r="L374" s="21">
        <f t="shared" si="109"/>
        <v>1.7059600968726163E-2</v>
      </c>
      <c r="M374" s="20">
        <f t="shared" si="112"/>
        <v>4.4754805555385913E-3</v>
      </c>
      <c r="N374" s="21">
        <f t="shared" si="120"/>
        <v>1.1941571121533733E-2</v>
      </c>
      <c r="O374" s="21">
        <f t="shared" si="121"/>
        <v>0.25859883924091859</v>
      </c>
      <c r="P374" s="21">
        <f t="shared" si="122"/>
        <v>1.1941571121533733E-2</v>
      </c>
      <c r="R374" s="22" t="e">
        <f>$I374*IF($E374&gt;_xlfn.AGGREGATE(4,6,'KM Data'!$E$6:$E$205),NA(),INDEX('KM Data'!$F$6:$F$205,MATCH($E374,'KM Data'!$E$6:$E$205,1)))</f>
        <v>#N/A</v>
      </c>
      <c r="S374" s="21">
        <f t="shared" si="110"/>
        <v>8.9141482666194705E-2</v>
      </c>
      <c r="T374" s="8">
        <f t="shared" si="113"/>
        <v>2.8748632392886497E-3</v>
      </c>
      <c r="U374" s="21">
        <f t="shared" si="123"/>
        <v>5.1352191476260939E-2</v>
      </c>
      <c r="V374" s="21">
        <f t="shared" si="124"/>
        <v>0.25859883924091859</v>
      </c>
      <c r="W374" s="21">
        <f t="shared" si="125"/>
        <v>5.1352191476260939E-2</v>
      </c>
      <c r="Y374" s="23">
        <f t="shared" si="114"/>
        <v>1.1941571121533733E-2</v>
      </c>
      <c r="Z374" s="6">
        <f t="shared" si="115"/>
        <v>3.9410620354727206E-2</v>
      </c>
      <c r="AA374" s="6">
        <f t="shared" si="116"/>
        <v>0.94864780852373909</v>
      </c>
      <c r="AB374" s="6">
        <f t="shared" si="117"/>
        <v>1</v>
      </c>
    </row>
    <row r="375" spans="1:28" x14ac:dyDescent="0.35">
      <c r="A375">
        <v>366</v>
      </c>
      <c r="B375" s="17">
        <f t="shared" si="118"/>
        <v>11109.6875</v>
      </c>
      <c r="C375" s="17">
        <f t="shared" si="111"/>
        <v>11140.125</v>
      </c>
      <c r="D375" s="17">
        <f t="shared" si="119"/>
        <v>11124.90625</v>
      </c>
      <c r="E375" s="17">
        <f t="shared" si="105"/>
        <v>365.5</v>
      </c>
      <c r="F375" s="17">
        <f t="shared" si="106"/>
        <v>90.458333333333329</v>
      </c>
      <c r="G375" s="21">
        <f>INDEX('Life Tables'!$F$8:$F$123,MATCH(Engine!F375,'Life Tables'!$B$8:$B$123,1))</f>
        <v>1.4030555072235273E-2</v>
      </c>
      <c r="H375" s="8">
        <f t="shared" si="107"/>
        <v>0.35627841060230236</v>
      </c>
      <c r="I375">
        <f t="shared" si="108"/>
        <v>1</v>
      </c>
      <c r="K375" s="22" t="e">
        <f>$I375*IF($E375&gt;_xlfn.AGGREGATE(4,6,'KM Data'!$B$6:$B$310),NA(),INDEX('KM Data'!$C$6:$C$310,MATCH($E375,'KM Data'!$B$6:$B$310,1)))</f>
        <v>#N/A</v>
      </c>
      <c r="L375" s="21">
        <f t="shared" si="109"/>
        <v>1.6983251056305382E-2</v>
      </c>
      <c r="M375" s="20">
        <f t="shared" si="112"/>
        <v>4.4661759005872881E-3</v>
      </c>
      <c r="N375" s="21">
        <f t="shared" si="120"/>
        <v>1.177402425026404E-2</v>
      </c>
      <c r="O375" s="21">
        <f t="shared" si="121"/>
        <v>0.25497055398533275</v>
      </c>
      <c r="P375" s="21">
        <f t="shared" si="122"/>
        <v>1.177402425026404E-2</v>
      </c>
      <c r="R375" s="22" t="e">
        <f>$I375*IF($E375&gt;_xlfn.AGGREGATE(4,6,'KM Data'!$E$6:$E$205),NA(),INDEX('KM Data'!$F$6:$F$205,MATCH($E375,'KM Data'!$E$6:$E$205,1)))</f>
        <v>#N/A</v>
      </c>
      <c r="S375" s="21">
        <f t="shared" si="110"/>
        <v>8.8885213094581972E-2</v>
      </c>
      <c r="T375" s="8">
        <f t="shared" si="113"/>
        <v>2.8691241547618151E-3</v>
      </c>
      <c r="U375" s="21">
        <f t="shared" si="123"/>
        <v>5.0631691725673292E-2</v>
      </c>
      <c r="V375" s="21">
        <f t="shared" si="124"/>
        <v>0.25497055398533275</v>
      </c>
      <c r="W375" s="21">
        <f t="shared" si="125"/>
        <v>5.0631691725673292E-2</v>
      </c>
      <c r="Y375" s="23">
        <f t="shared" si="114"/>
        <v>1.177402425026404E-2</v>
      </c>
      <c r="Z375" s="6">
        <f t="shared" si="115"/>
        <v>3.8857667475409252E-2</v>
      </c>
      <c r="AA375" s="6">
        <f t="shared" si="116"/>
        <v>0.94936830827432672</v>
      </c>
      <c r="AB375" s="6">
        <f t="shared" si="117"/>
        <v>1</v>
      </c>
    </row>
    <row r="376" spans="1:28" x14ac:dyDescent="0.35">
      <c r="A376">
        <v>367</v>
      </c>
      <c r="B376" s="17">
        <f t="shared" si="118"/>
        <v>11140.125</v>
      </c>
      <c r="C376" s="17">
        <f t="shared" si="111"/>
        <v>11170.5625</v>
      </c>
      <c r="D376" s="17">
        <f t="shared" si="119"/>
        <v>11155.34375</v>
      </c>
      <c r="E376" s="17">
        <f t="shared" si="105"/>
        <v>366.5</v>
      </c>
      <c r="F376" s="17">
        <f t="shared" si="106"/>
        <v>90.541666666666671</v>
      </c>
      <c r="G376" s="21">
        <f>INDEX('Life Tables'!$F$8:$F$123,MATCH(Engine!F376,'Life Tables'!$B$8:$B$123,1))</f>
        <v>1.4030555072235273E-2</v>
      </c>
      <c r="H376" s="8">
        <f t="shared" si="107"/>
        <v>0.35627841060230236</v>
      </c>
      <c r="I376">
        <f t="shared" si="108"/>
        <v>1</v>
      </c>
      <c r="K376" s="22" t="e">
        <f>$I376*IF($E376&gt;_xlfn.AGGREGATE(4,6,'KM Data'!$B$6:$B$310),NA(),INDEX('KM Data'!$C$6:$C$310,MATCH($E376,'KM Data'!$B$6:$B$310,1)))</f>
        <v>#N/A</v>
      </c>
      <c r="L376" s="21">
        <f t="shared" si="109"/>
        <v>1.6907400869724087E-2</v>
      </c>
      <c r="M376" s="20">
        <f t="shared" si="112"/>
        <v>4.4569143042851866E-3</v>
      </c>
      <c r="N376" s="21">
        <f t="shared" si="120"/>
        <v>1.1608828154598877E-2</v>
      </c>
      <c r="O376" s="21">
        <f t="shared" si="121"/>
        <v>0.25139317558584318</v>
      </c>
      <c r="P376" s="21">
        <f t="shared" si="122"/>
        <v>1.1608828154598877E-2</v>
      </c>
      <c r="R376" s="22" t="e">
        <f>$I376*IF($E376&gt;_xlfn.AGGREGATE(4,6,'KM Data'!$E$6:$E$205),NA(),INDEX('KM Data'!$F$6:$F$205,MATCH($E376,'KM Data'!$E$6:$E$205,1)))</f>
        <v>#N/A</v>
      </c>
      <c r="S376" s="21">
        <f t="shared" si="110"/>
        <v>8.8630190382691154E-2</v>
      </c>
      <c r="T376" s="8">
        <f t="shared" si="113"/>
        <v>2.8634109525740303E-3</v>
      </c>
      <c r="U376" s="21">
        <f t="shared" si="123"/>
        <v>4.9921300986515794E-2</v>
      </c>
      <c r="V376" s="21">
        <f t="shared" si="124"/>
        <v>0.25139317558584318</v>
      </c>
      <c r="W376" s="21">
        <f t="shared" si="125"/>
        <v>4.9921300986515794E-2</v>
      </c>
      <c r="Y376" s="23">
        <f t="shared" si="114"/>
        <v>1.1608828154598877E-2</v>
      </c>
      <c r="Z376" s="6">
        <f t="shared" si="115"/>
        <v>3.8312472831916917E-2</v>
      </c>
      <c r="AA376" s="6">
        <f t="shared" si="116"/>
        <v>0.95007869901348418</v>
      </c>
      <c r="AB376" s="6">
        <f t="shared" si="117"/>
        <v>1</v>
      </c>
    </row>
    <row r="377" spans="1:28" x14ac:dyDescent="0.35">
      <c r="A377">
        <v>368</v>
      </c>
      <c r="B377" s="17">
        <f t="shared" si="118"/>
        <v>11170.5625</v>
      </c>
      <c r="C377" s="17">
        <f t="shared" si="111"/>
        <v>11201</v>
      </c>
      <c r="D377" s="17">
        <f t="shared" si="119"/>
        <v>11185.78125</v>
      </c>
      <c r="E377" s="17">
        <f t="shared" si="105"/>
        <v>367.5</v>
      </c>
      <c r="F377" s="17">
        <f t="shared" si="106"/>
        <v>90.625</v>
      </c>
      <c r="G377" s="21">
        <f>INDEX('Life Tables'!$F$8:$F$123,MATCH(Engine!F377,'Life Tables'!$B$8:$B$123,1))</f>
        <v>1.4030555072235273E-2</v>
      </c>
      <c r="H377" s="8">
        <f t="shared" si="107"/>
        <v>0.35627841060230236</v>
      </c>
      <c r="I377">
        <f t="shared" si="108"/>
        <v>1</v>
      </c>
      <c r="K377" s="22" t="e">
        <f>$I377*IF($E377&gt;_xlfn.AGGREGATE(4,6,'KM Data'!$B$6:$B$310),NA(),INDEX('KM Data'!$C$6:$C$310,MATCH($E377,'KM Data'!$B$6:$B$310,1)))</f>
        <v>#N/A</v>
      </c>
      <c r="L377" s="21">
        <f t="shared" si="109"/>
        <v>1.6832046032939529E-2</v>
      </c>
      <c r="M377" s="20">
        <f t="shared" si="112"/>
        <v>4.4476954559170556E-3</v>
      </c>
      <c r="N377" s="21">
        <f t="shared" si="120"/>
        <v>1.1445949851851663E-2</v>
      </c>
      <c r="O377" s="21">
        <f t="shared" si="121"/>
        <v>0.24786598979100188</v>
      </c>
      <c r="P377" s="21">
        <f t="shared" si="122"/>
        <v>1.1445949851851663E-2</v>
      </c>
      <c r="R377" s="22" t="e">
        <f>$I377*IF($E377&gt;_xlfn.AGGREGATE(4,6,'KM Data'!$E$6:$E$205),NA(),INDEX('KM Data'!$F$6:$F$205,MATCH($E377,'KM Data'!$E$6:$E$205,1)))</f>
        <v>#N/A</v>
      </c>
      <c r="S377" s="21">
        <f t="shared" si="110"/>
        <v>8.8376405724820639E-2</v>
      </c>
      <c r="T377" s="8">
        <f t="shared" si="113"/>
        <v>2.8577234496086623E-3</v>
      </c>
      <c r="U377" s="21">
        <f t="shared" si="123"/>
        <v>4.9220877423746853E-2</v>
      </c>
      <c r="V377" s="21">
        <f t="shared" si="124"/>
        <v>0.24786598979100188</v>
      </c>
      <c r="W377" s="21">
        <f t="shared" si="125"/>
        <v>4.9220877423746853E-2</v>
      </c>
      <c r="Y377" s="23">
        <f t="shared" si="114"/>
        <v>1.1445949851851663E-2</v>
      </c>
      <c r="Z377" s="6">
        <f t="shared" si="115"/>
        <v>3.7774927571895191E-2</v>
      </c>
      <c r="AA377" s="6">
        <f t="shared" si="116"/>
        <v>0.95077912257625319</v>
      </c>
      <c r="AB377" s="6">
        <f t="shared" si="117"/>
        <v>1</v>
      </c>
    </row>
    <row r="378" spans="1:28" x14ac:dyDescent="0.35">
      <c r="A378">
        <v>369</v>
      </c>
      <c r="B378" s="17">
        <f t="shared" si="118"/>
        <v>11201</v>
      </c>
      <c r="C378" s="17">
        <f t="shared" si="111"/>
        <v>11231.4375</v>
      </c>
      <c r="D378" s="17">
        <f t="shared" si="119"/>
        <v>11216.21875</v>
      </c>
      <c r="E378" s="17">
        <f t="shared" si="105"/>
        <v>368.5</v>
      </c>
      <c r="F378" s="17">
        <f t="shared" si="106"/>
        <v>90.708333333333329</v>
      </c>
      <c r="G378" s="21">
        <f>INDEX('Life Tables'!$F$8:$F$123,MATCH(Engine!F378,'Life Tables'!$B$8:$B$123,1))</f>
        <v>1.4030555072235273E-2</v>
      </c>
      <c r="H378" s="8">
        <f t="shared" si="107"/>
        <v>0.35627841060230236</v>
      </c>
      <c r="I378">
        <f t="shared" si="108"/>
        <v>1</v>
      </c>
      <c r="K378" s="22" t="e">
        <f>$I378*IF($E378&gt;_xlfn.AGGREGATE(4,6,'KM Data'!$B$6:$B$310),NA(),INDEX('KM Data'!$C$6:$C$310,MATCH($E378,'KM Data'!$B$6:$B$310,1)))</f>
        <v>#N/A</v>
      </c>
      <c r="L378" s="21">
        <f t="shared" si="109"/>
        <v>1.6757182218285038E-2</v>
      </c>
      <c r="M378" s="20">
        <f t="shared" si="112"/>
        <v>4.438519047790912E-3</v>
      </c>
      <c r="N378" s="21">
        <f t="shared" si="120"/>
        <v>1.1285356822101215E-2</v>
      </c>
      <c r="O378" s="21">
        <f t="shared" si="121"/>
        <v>0.24438829237070511</v>
      </c>
      <c r="P378" s="21">
        <f t="shared" si="122"/>
        <v>1.1285356822101215E-2</v>
      </c>
      <c r="R378" s="22" t="e">
        <f>$I378*IF($E378&gt;_xlfn.AGGREGATE(4,6,'KM Data'!$E$6:$E$205),NA(),INDEX('KM Data'!$F$6:$F$205,MATCH($E378,'KM Data'!$E$6:$E$205,1)))</f>
        <v>#N/A</v>
      </c>
      <c r="S378" s="21">
        <f t="shared" si="110"/>
        <v>8.8123850397788694E-2</v>
      </c>
      <c r="T378" s="8">
        <f t="shared" si="113"/>
        <v>2.8520614645202169E-3</v>
      </c>
      <c r="U378" s="21">
        <f t="shared" si="123"/>
        <v>4.8530281192349228E-2</v>
      </c>
      <c r="V378" s="21">
        <f t="shared" si="124"/>
        <v>0.24438829237070511</v>
      </c>
      <c r="W378" s="21">
        <f t="shared" si="125"/>
        <v>4.8530281192349228E-2</v>
      </c>
      <c r="Y378" s="23">
        <f t="shared" si="114"/>
        <v>1.1285356822101215E-2</v>
      </c>
      <c r="Z378" s="6">
        <f t="shared" si="115"/>
        <v>3.7244924370248012E-2</v>
      </c>
      <c r="AA378" s="6">
        <f t="shared" si="116"/>
        <v>0.95146971880765074</v>
      </c>
      <c r="AB378" s="6">
        <f t="shared" si="117"/>
        <v>1</v>
      </c>
    </row>
    <row r="379" spans="1:28" x14ac:dyDescent="0.35">
      <c r="A379">
        <v>370</v>
      </c>
      <c r="B379" s="17">
        <f t="shared" si="118"/>
        <v>11231.4375</v>
      </c>
      <c r="C379" s="17">
        <f t="shared" si="111"/>
        <v>11261.875</v>
      </c>
      <c r="D379" s="17">
        <f t="shared" si="119"/>
        <v>11246.65625</v>
      </c>
      <c r="E379" s="17">
        <f t="shared" si="105"/>
        <v>369.5</v>
      </c>
      <c r="F379" s="17">
        <f t="shared" si="106"/>
        <v>90.791666666666671</v>
      </c>
      <c r="G379" s="21">
        <f>INDEX('Life Tables'!$F$8:$F$123,MATCH(Engine!F379,'Life Tables'!$B$8:$B$123,1))</f>
        <v>1.4030555072235273E-2</v>
      </c>
      <c r="H379" s="8">
        <f t="shared" si="107"/>
        <v>0.35627841060230236</v>
      </c>
      <c r="I379">
        <f t="shared" si="108"/>
        <v>1</v>
      </c>
      <c r="K379" s="22" t="e">
        <f>$I379*IF($E379&gt;_xlfn.AGGREGATE(4,6,'KM Data'!$B$6:$B$310),NA(),INDEX('KM Data'!$C$6:$C$310,MATCH($E379,'KM Data'!$B$6:$B$310,1)))</f>
        <v>#N/A</v>
      </c>
      <c r="L379" s="21">
        <f t="shared" si="109"/>
        <v>1.6682805145821877E-2</v>
      </c>
      <c r="M379" s="20">
        <f t="shared" si="112"/>
        <v>4.4293847752487903E-3</v>
      </c>
      <c r="N379" s="21">
        <f t="shared" si="120"/>
        <v>1.1127017001698897E-2</v>
      </c>
      <c r="O379" s="21">
        <f t="shared" si="121"/>
        <v>0.24095938897558841</v>
      </c>
      <c r="P379" s="21">
        <f t="shared" si="122"/>
        <v>1.1127017001698897E-2</v>
      </c>
      <c r="R379" s="22" t="e">
        <f>$I379*IF($E379&gt;_xlfn.AGGREGATE(4,6,'KM Data'!$E$6:$E$205),NA(),INDEX('KM Data'!$F$6:$F$205,MATCH($E379,'KM Data'!$E$6:$E$205,1)))</f>
        <v>#N/A</v>
      </c>
      <c r="S379" s="21">
        <f t="shared" si="110"/>
        <v>8.7872515759964021E-2</v>
      </c>
      <c r="T379" s="8">
        <f t="shared" si="113"/>
        <v>2.8464248177094698E-3</v>
      </c>
      <c r="U379" s="21">
        <f t="shared" si="123"/>
        <v>4.784937440940891E-2</v>
      </c>
      <c r="V379" s="21">
        <f t="shared" si="124"/>
        <v>0.24095938897558841</v>
      </c>
      <c r="W379" s="21">
        <f t="shared" si="125"/>
        <v>4.784937440940891E-2</v>
      </c>
      <c r="Y379" s="23">
        <f t="shared" si="114"/>
        <v>1.1127017001698897E-2</v>
      </c>
      <c r="Z379" s="6">
        <f t="shared" si="115"/>
        <v>3.6722357407710016E-2</v>
      </c>
      <c r="AA379" s="6">
        <f t="shared" si="116"/>
        <v>0.95215062559059105</v>
      </c>
      <c r="AB379" s="6">
        <f t="shared" si="117"/>
        <v>1</v>
      </c>
    </row>
    <row r="380" spans="1:28" x14ac:dyDescent="0.35">
      <c r="A380">
        <v>371</v>
      </c>
      <c r="B380" s="17">
        <f t="shared" si="118"/>
        <v>11261.875</v>
      </c>
      <c r="C380" s="17">
        <f t="shared" si="111"/>
        <v>11292.3125</v>
      </c>
      <c r="D380" s="17">
        <f t="shared" si="119"/>
        <v>11277.09375</v>
      </c>
      <c r="E380" s="17">
        <f t="shared" si="105"/>
        <v>370.5</v>
      </c>
      <c r="F380" s="17">
        <f t="shared" si="106"/>
        <v>90.875</v>
      </c>
      <c r="G380" s="21">
        <f>INDEX('Life Tables'!$F$8:$F$123,MATCH(Engine!F380,'Life Tables'!$B$8:$B$123,1))</f>
        <v>1.4030555072235273E-2</v>
      </c>
      <c r="H380" s="8">
        <f t="shared" si="107"/>
        <v>0.35627841060230236</v>
      </c>
      <c r="I380">
        <f t="shared" si="108"/>
        <v>1</v>
      </c>
      <c r="K380" s="22" t="e">
        <f>$I380*IF($E380&gt;_xlfn.AGGREGATE(4,6,'KM Data'!$B$6:$B$310),NA(),INDEX('KM Data'!$C$6:$C$310,MATCH($E380,'KM Data'!$B$6:$B$310,1)))</f>
        <v>#N/A</v>
      </c>
      <c r="L380" s="21">
        <f t="shared" si="109"/>
        <v>1.6608910582700531E-2</v>
      </c>
      <c r="M380" s="20">
        <f t="shared" si="112"/>
        <v>4.4202923365935787E-3</v>
      </c>
      <c r="N380" s="21">
        <f t="shared" si="120"/>
        <v>1.0970898776866862E-2</v>
      </c>
      <c r="O380" s="21">
        <f t="shared" si="121"/>
        <v>0.23757859499839426</v>
      </c>
      <c r="P380" s="21">
        <f t="shared" si="122"/>
        <v>1.0970898776866862E-2</v>
      </c>
      <c r="R380" s="22" t="e">
        <f>$I380*IF($E380&gt;_xlfn.AGGREGATE(4,6,'KM Data'!$E$6:$E$205),NA(),INDEX('KM Data'!$F$6:$F$205,MATCH($E380,'KM Data'!$E$6:$E$205,1)))</f>
        <v>#N/A</v>
      </c>
      <c r="S380" s="21">
        <f t="shared" si="110"/>
        <v>8.7622393250310293E-2</v>
      </c>
      <c r="T380" s="8">
        <f t="shared" si="113"/>
        <v>2.8408133313054806E-3</v>
      </c>
      <c r="U380" s="21">
        <f t="shared" si="123"/>
        <v>4.7178021126585694E-2</v>
      </c>
      <c r="V380" s="21">
        <f t="shared" si="124"/>
        <v>0.23757859499839426</v>
      </c>
      <c r="W380" s="21">
        <f t="shared" si="125"/>
        <v>4.7178021126585694E-2</v>
      </c>
      <c r="Y380" s="23">
        <f t="shared" si="114"/>
        <v>1.0970898776866862E-2</v>
      </c>
      <c r="Z380" s="6">
        <f t="shared" si="115"/>
        <v>3.6207122349718832E-2</v>
      </c>
      <c r="AA380" s="6">
        <f t="shared" si="116"/>
        <v>0.95282197887341435</v>
      </c>
      <c r="AB380" s="6">
        <f t="shared" si="117"/>
        <v>1</v>
      </c>
    </row>
    <row r="381" spans="1:28" x14ac:dyDescent="0.35">
      <c r="A381">
        <v>372</v>
      </c>
      <c r="B381" s="17">
        <f t="shared" si="118"/>
        <v>11292.3125</v>
      </c>
      <c r="C381" s="17">
        <f t="shared" si="111"/>
        <v>11322.75</v>
      </c>
      <c r="D381" s="17">
        <f t="shared" si="119"/>
        <v>11307.53125</v>
      </c>
      <c r="E381" s="17">
        <f t="shared" si="105"/>
        <v>371.5</v>
      </c>
      <c r="F381" s="17">
        <f t="shared" si="106"/>
        <v>90.958333333333329</v>
      </c>
      <c r="G381" s="21">
        <f>INDEX('Life Tables'!$F$8:$F$123,MATCH(Engine!F381,'Life Tables'!$B$8:$B$123,1))</f>
        <v>1.4030555072235273E-2</v>
      </c>
      <c r="H381" s="8">
        <f t="shared" si="107"/>
        <v>0.34423034840802164</v>
      </c>
      <c r="I381">
        <f t="shared" si="108"/>
        <v>1</v>
      </c>
      <c r="K381" s="22" t="e">
        <f>$I381*IF($E381&gt;_xlfn.AGGREGATE(4,6,'KM Data'!$B$6:$B$310),NA(),INDEX('KM Data'!$C$6:$C$310,MATCH($E381,'KM Data'!$B$6:$B$310,1)))</f>
        <v>#N/A</v>
      </c>
      <c r="L381" s="21">
        <f t="shared" si="109"/>
        <v>1.6535494342532653E-2</v>
      </c>
      <c r="M381" s="20">
        <f t="shared" si="112"/>
        <v>4.4112414330644834E-3</v>
      </c>
      <c r="N381" s="21">
        <f t="shared" si="120"/>
        <v>1.0816970977386113E-2</v>
      </c>
      <c r="O381" s="21">
        <f t="shared" si="121"/>
        <v>0.23424523543728501</v>
      </c>
      <c r="P381" s="21">
        <f t="shared" si="122"/>
        <v>1.0816970977386113E-2</v>
      </c>
      <c r="R381" s="22" t="e">
        <f>$I381*IF($E381&gt;_xlfn.AGGREGATE(4,6,'KM Data'!$E$6:$E$205),NA(),INDEX('KM Data'!$F$6:$F$205,MATCH($E381,'KM Data'!$E$6:$E$205,1)))</f>
        <v>#N/A</v>
      </c>
      <c r="S381" s="21">
        <f t="shared" si="110"/>
        <v>8.7373474387443917E-2</v>
      </c>
      <c r="T381" s="8">
        <f t="shared" si="113"/>
        <v>2.8352268291313987E-3</v>
      </c>
      <c r="U381" s="21">
        <f t="shared" si="123"/>
        <v>4.6516087302970056E-2</v>
      </c>
      <c r="V381" s="21">
        <f t="shared" si="124"/>
        <v>0.23424523543728501</v>
      </c>
      <c r="W381" s="21">
        <f t="shared" si="125"/>
        <v>4.6516087302970056E-2</v>
      </c>
      <c r="Y381" s="23">
        <f t="shared" si="114"/>
        <v>1.0816970977386113E-2</v>
      </c>
      <c r="Z381" s="6">
        <f t="shared" si="115"/>
        <v>3.5699116325583945E-2</v>
      </c>
      <c r="AA381" s="6">
        <f t="shared" si="116"/>
        <v>0.95348391269702992</v>
      </c>
      <c r="AB381" s="6">
        <f t="shared" si="117"/>
        <v>1</v>
      </c>
    </row>
    <row r="382" spans="1:28" x14ac:dyDescent="0.35">
      <c r="A382">
        <v>373</v>
      </c>
      <c r="B382" s="17">
        <f t="shared" si="118"/>
        <v>11322.75</v>
      </c>
      <c r="C382" s="17">
        <f t="shared" si="111"/>
        <v>11353.1875</v>
      </c>
      <c r="D382" s="17">
        <f t="shared" si="119"/>
        <v>11337.96875</v>
      </c>
      <c r="E382" s="17">
        <f t="shared" si="105"/>
        <v>372.5</v>
      </c>
      <c r="F382" s="17">
        <f t="shared" si="106"/>
        <v>91.041666666666671</v>
      </c>
      <c r="G382" s="21">
        <f>INDEX('Life Tables'!$F$8:$F$123,MATCH(Engine!F382,'Life Tables'!$B$8:$B$123,1))</f>
        <v>1.5725635995728071E-2</v>
      </c>
      <c r="H382" s="8">
        <f t="shared" si="107"/>
        <v>0.34423034840802164</v>
      </c>
      <c r="I382">
        <f t="shared" si="108"/>
        <v>1</v>
      </c>
      <c r="K382" s="22" t="e">
        <f>$I382*IF($E382&gt;_xlfn.AGGREGATE(4,6,'KM Data'!$B$6:$B$310),NA(),INDEX('KM Data'!$C$6:$C$310,MATCH($E382,'KM Data'!$B$6:$B$310,1)))</f>
        <v>#N/A</v>
      </c>
      <c r="L382" s="21">
        <f t="shared" si="109"/>
        <v>1.6462552284772669E-2</v>
      </c>
      <c r="M382" s="20">
        <f t="shared" si="112"/>
        <v>4.4022317688040546E-3</v>
      </c>
      <c r="N382" s="21">
        <f t="shared" si="120"/>
        <v>1.0665202870373126E-2</v>
      </c>
      <c r="O382" s="21">
        <f t="shared" si="121"/>
        <v>0.23095864476107347</v>
      </c>
      <c r="P382" s="21">
        <f t="shared" si="122"/>
        <v>1.0665202870373126E-2</v>
      </c>
      <c r="R382" s="22" t="e">
        <f>$I382*IF($E382&gt;_xlfn.AGGREGATE(4,6,'KM Data'!$E$6:$E$205),NA(),INDEX('KM Data'!$F$6:$F$205,MATCH($E382,'KM Data'!$E$6:$E$205,1)))</f>
        <v>#N/A</v>
      </c>
      <c r="S382" s="21">
        <f t="shared" si="110"/>
        <v>8.7125750768706212E-2</v>
      </c>
      <c r="T382" s="8">
        <f t="shared" si="113"/>
        <v>2.829665136703019E-3</v>
      </c>
      <c r="U382" s="21">
        <f t="shared" si="123"/>
        <v>4.586344077832083E-2</v>
      </c>
      <c r="V382" s="21">
        <f t="shared" si="124"/>
        <v>0.23095864476107347</v>
      </c>
      <c r="W382" s="21">
        <f t="shared" si="125"/>
        <v>4.586344077832083E-2</v>
      </c>
      <c r="Y382" s="23">
        <f t="shared" si="114"/>
        <v>1.0665202870373126E-2</v>
      </c>
      <c r="Z382" s="6">
        <f t="shared" si="115"/>
        <v>3.5198237907947703E-2</v>
      </c>
      <c r="AA382" s="6">
        <f t="shared" si="116"/>
        <v>0.95413655922167917</v>
      </c>
      <c r="AB382" s="6">
        <f t="shared" si="117"/>
        <v>1</v>
      </c>
    </row>
    <row r="383" spans="1:28" x14ac:dyDescent="0.35">
      <c r="A383">
        <v>374</v>
      </c>
      <c r="B383" s="17">
        <f t="shared" si="118"/>
        <v>11353.1875</v>
      </c>
      <c r="C383" s="17">
        <f t="shared" si="111"/>
        <v>11383.625</v>
      </c>
      <c r="D383" s="17">
        <f t="shared" si="119"/>
        <v>11368.40625</v>
      </c>
      <c r="E383" s="17">
        <f t="shared" si="105"/>
        <v>373.5</v>
      </c>
      <c r="F383" s="17">
        <f t="shared" si="106"/>
        <v>91.125</v>
      </c>
      <c r="G383" s="21">
        <f>INDEX('Life Tables'!$F$8:$F$123,MATCH(Engine!F383,'Life Tables'!$B$8:$B$123,1))</f>
        <v>1.5725635995728071E-2</v>
      </c>
      <c r="H383" s="8">
        <f t="shared" si="107"/>
        <v>0.34423034840802164</v>
      </c>
      <c r="I383">
        <f t="shared" si="108"/>
        <v>1</v>
      </c>
      <c r="K383" s="22" t="e">
        <f>$I383*IF($E383&gt;_xlfn.AGGREGATE(4,6,'KM Data'!$B$6:$B$310),NA(),INDEX('KM Data'!$C$6:$C$310,MATCH($E383,'KM Data'!$B$6:$B$310,1)))</f>
        <v>#N/A</v>
      </c>
      <c r="L383" s="21">
        <f t="shared" si="109"/>
        <v>1.6390080314109046E-2</v>
      </c>
      <c r="M383" s="20">
        <f t="shared" si="112"/>
        <v>4.3932630508402015E-3</v>
      </c>
      <c r="N383" s="21">
        <f t="shared" si="120"/>
        <v>1.0497485772213044E-2</v>
      </c>
      <c r="O383" s="21">
        <f t="shared" si="121"/>
        <v>0.22732667318349417</v>
      </c>
      <c r="P383" s="21">
        <f t="shared" si="122"/>
        <v>1.0497485772213044E-2</v>
      </c>
      <c r="R383" s="22" t="e">
        <f>$I383*IF($E383&gt;_xlfn.AGGREGATE(4,6,'KM Data'!$E$6:$E$205),NA(),INDEX('KM Data'!$F$6:$F$205,MATCH($E383,'KM Data'!$E$6:$E$205,1)))</f>
        <v>#N/A</v>
      </c>
      <c r="S383" s="21">
        <f t="shared" si="110"/>
        <v>8.6879214069246924E-2</v>
      </c>
      <c r="T383" s="8">
        <f t="shared" si="113"/>
        <v>2.8241280811972524E-3</v>
      </c>
      <c r="U383" s="21">
        <f t="shared" si="123"/>
        <v>4.5142209003129326E-2</v>
      </c>
      <c r="V383" s="21">
        <f t="shared" si="124"/>
        <v>0.22732667318349417</v>
      </c>
      <c r="W383" s="21">
        <f t="shared" si="125"/>
        <v>4.5142209003129326E-2</v>
      </c>
      <c r="Y383" s="23">
        <f t="shared" si="114"/>
        <v>1.0497485772213044E-2</v>
      </c>
      <c r="Z383" s="6">
        <f t="shared" si="115"/>
        <v>3.4644723230916281E-2</v>
      </c>
      <c r="AA383" s="6">
        <f t="shared" si="116"/>
        <v>0.95485779099687063</v>
      </c>
      <c r="AB383" s="6">
        <f t="shared" si="117"/>
        <v>1</v>
      </c>
    </row>
    <row r="384" spans="1:28" x14ac:dyDescent="0.35">
      <c r="A384">
        <v>375</v>
      </c>
      <c r="B384" s="17">
        <f t="shared" si="118"/>
        <v>11383.625</v>
      </c>
      <c r="C384" s="17">
        <f t="shared" si="111"/>
        <v>11414.0625</v>
      </c>
      <c r="D384" s="17">
        <f t="shared" si="119"/>
        <v>11398.84375</v>
      </c>
      <c r="E384" s="17">
        <f t="shared" si="105"/>
        <v>374.5</v>
      </c>
      <c r="F384" s="17">
        <f t="shared" si="106"/>
        <v>91.208333333333329</v>
      </c>
      <c r="G384" s="21">
        <f>INDEX('Life Tables'!$F$8:$F$123,MATCH(Engine!F384,'Life Tables'!$B$8:$B$123,1))</f>
        <v>1.5725635995728071E-2</v>
      </c>
      <c r="H384" s="8">
        <f t="shared" si="107"/>
        <v>0.34423034840802164</v>
      </c>
      <c r="I384">
        <f t="shared" si="108"/>
        <v>1</v>
      </c>
      <c r="K384" s="22" t="e">
        <f>$I384*IF($E384&gt;_xlfn.AGGREGATE(4,6,'KM Data'!$B$6:$B$310),NA(),INDEX('KM Data'!$C$6:$C$310,MATCH($E384,'KM Data'!$B$6:$B$310,1)))</f>
        <v>#N/A</v>
      </c>
      <c r="L384" s="21">
        <f t="shared" si="109"/>
        <v>1.6318074379864766E-2</v>
      </c>
      <c r="M384" s="20">
        <f t="shared" si="112"/>
        <v>4.3843349889928218E-3</v>
      </c>
      <c r="N384" s="21">
        <f t="shared" si="120"/>
        <v>1.0332406132088887E-2</v>
      </c>
      <c r="O384" s="21">
        <f t="shared" si="121"/>
        <v>0.22375181666889071</v>
      </c>
      <c r="P384" s="21">
        <f t="shared" si="122"/>
        <v>1.0332406132088887E-2</v>
      </c>
      <c r="R384" s="22" t="e">
        <f>$I384*IF($E384&gt;_xlfn.AGGREGATE(4,6,'KM Data'!$E$6:$E$205),NA(),INDEX('KM Data'!$F$6:$F$205,MATCH($E384,'KM Data'!$E$6:$E$205,1)))</f>
        <v>#N/A</v>
      </c>
      <c r="S384" s="21">
        <f t="shared" si="110"/>
        <v>8.6633856041121615E-2</v>
      </c>
      <c r="T384" s="8">
        <f t="shared" si="113"/>
        <v>2.8186154914284778E-3</v>
      </c>
      <c r="U384" s="21">
        <f t="shared" si="123"/>
        <v>4.4432319056303037E-2</v>
      </c>
      <c r="V384" s="21">
        <f t="shared" si="124"/>
        <v>0.22375181666889071</v>
      </c>
      <c r="W384" s="21">
        <f t="shared" si="125"/>
        <v>4.4432319056303037E-2</v>
      </c>
      <c r="Y384" s="23">
        <f t="shared" si="114"/>
        <v>1.0332406132088887E-2</v>
      </c>
      <c r="Z384" s="6">
        <f t="shared" si="115"/>
        <v>3.4099912924214146E-2</v>
      </c>
      <c r="AA384" s="6">
        <f t="shared" si="116"/>
        <v>0.95556768094369693</v>
      </c>
      <c r="AB384" s="6">
        <f t="shared" si="117"/>
        <v>1</v>
      </c>
    </row>
    <row r="385" spans="1:28" x14ac:dyDescent="0.35">
      <c r="A385">
        <v>376</v>
      </c>
      <c r="B385" s="17">
        <f t="shared" si="118"/>
        <v>11414.0625</v>
      </c>
      <c r="C385" s="17">
        <f t="shared" si="111"/>
        <v>11444.5</v>
      </c>
      <c r="D385" s="17">
        <f t="shared" si="119"/>
        <v>11429.28125</v>
      </c>
      <c r="E385" s="17">
        <f t="shared" si="105"/>
        <v>375.5</v>
      </c>
      <c r="F385" s="17">
        <f t="shared" si="106"/>
        <v>91.291666666666671</v>
      </c>
      <c r="G385" s="21">
        <f>INDEX('Life Tables'!$F$8:$F$123,MATCH(Engine!F385,'Life Tables'!$B$8:$B$123,1))</f>
        <v>1.5725635995728071E-2</v>
      </c>
      <c r="H385" s="8">
        <f t="shared" si="107"/>
        <v>0.34423034840802164</v>
      </c>
      <c r="I385">
        <f t="shared" si="108"/>
        <v>1</v>
      </c>
      <c r="K385" s="22" t="e">
        <f>$I385*IF($E385&gt;_xlfn.AGGREGATE(4,6,'KM Data'!$B$6:$B$310),NA(),INDEX('KM Data'!$C$6:$C$310,MATCH($E385,'KM Data'!$B$6:$B$310,1)))</f>
        <v>#N/A</v>
      </c>
      <c r="L385" s="21">
        <f t="shared" si="109"/>
        <v>1.6246530475408139E-2</v>
      </c>
      <c r="M385" s="20">
        <f t="shared" si="112"/>
        <v>4.3754472959103285E-3</v>
      </c>
      <c r="N385" s="21">
        <f t="shared" si="120"/>
        <v>1.0169922474295628E-2</v>
      </c>
      <c r="O385" s="21">
        <f t="shared" si="121"/>
        <v>0.22023317704657286</v>
      </c>
      <c r="P385" s="21">
        <f t="shared" si="122"/>
        <v>1.0169922474295628E-2</v>
      </c>
      <c r="R385" s="22" t="e">
        <f>$I385*IF($E385&gt;_xlfn.AGGREGATE(4,6,'KM Data'!$E$6:$E$205),NA(),INDEX('KM Data'!$F$6:$F$205,MATCH($E385,'KM Data'!$E$6:$E$205,1)))</f>
        <v>#N/A</v>
      </c>
      <c r="S385" s="21">
        <f t="shared" si="110"/>
        <v>8.6389668512401929E-2</v>
      </c>
      <c r="T385" s="8">
        <f t="shared" si="113"/>
        <v>2.8131271978375505E-3</v>
      </c>
      <c r="U385" s="21">
        <f t="shared" si="123"/>
        <v>4.373359258037756E-2</v>
      </c>
      <c r="V385" s="21">
        <f t="shared" si="124"/>
        <v>0.22023317704657286</v>
      </c>
      <c r="W385" s="21">
        <f t="shared" si="125"/>
        <v>4.373359258037756E-2</v>
      </c>
      <c r="Y385" s="23">
        <f t="shared" si="114"/>
        <v>1.0169922474295628E-2</v>
      </c>
      <c r="Z385" s="6">
        <f t="shared" si="115"/>
        <v>3.3563670106081932E-2</v>
      </c>
      <c r="AA385" s="6">
        <f t="shared" si="116"/>
        <v>0.95626640741962243</v>
      </c>
      <c r="AB385" s="6">
        <f t="shared" si="117"/>
        <v>1</v>
      </c>
    </row>
    <row r="386" spans="1:28" x14ac:dyDescent="0.35">
      <c r="A386">
        <v>377</v>
      </c>
      <c r="B386" s="17">
        <f t="shared" si="118"/>
        <v>11444.5</v>
      </c>
      <c r="C386" s="17">
        <f t="shared" si="111"/>
        <v>11474.9375</v>
      </c>
      <c r="D386" s="17">
        <f t="shared" si="119"/>
        <v>11459.71875</v>
      </c>
      <c r="E386" s="17">
        <f t="shared" si="105"/>
        <v>376.5</v>
      </c>
      <c r="F386" s="17">
        <f t="shared" si="106"/>
        <v>91.375</v>
      </c>
      <c r="G386" s="21">
        <f>INDEX('Life Tables'!$F$8:$F$123,MATCH(Engine!F386,'Life Tables'!$B$8:$B$123,1))</f>
        <v>1.5725635995728071E-2</v>
      </c>
      <c r="H386" s="8">
        <f t="shared" si="107"/>
        <v>0.34423034840802164</v>
      </c>
      <c r="I386">
        <f t="shared" si="108"/>
        <v>1</v>
      </c>
      <c r="K386" s="22" t="e">
        <f>$I386*IF($E386&gt;_xlfn.AGGREGATE(4,6,'KM Data'!$B$6:$B$310),NA(),INDEX('KM Data'!$C$6:$C$310,MATCH($E386,'KM Data'!$B$6:$B$310,1)))</f>
        <v>#N/A</v>
      </c>
      <c r="L386" s="21">
        <f t="shared" si="109"/>
        <v>1.617544463757159E-2</v>
      </c>
      <c r="M386" s="20">
        <f t="shared" si="112"/>
        <v>4.3665996869973744E-3</v>
      </c>
      <c r="N386" s="21">
        <f t="shared" si="120"/>
        <v>1.0009993975360081E-2</v>
      </c>
      <c r="O386" s="21">
        <f t="shared" si="121"/>
        <v>0.21676987027015571</v>
      </c>
      <c r="P386" s="21">
        <f t="shared" si="122"/>
        <v>1.0009993975360081E-2</v>
      </c>
      <c r="R386" s="22" t="e">
        <f>$I386*IF($E386&gt;_xlfn.AGGREGATE(4,6,'KM Data'!$E$6:$E$205),NA(),INDEX('KM Data'!$F$6:$F$205,MATCH($E386,'KM Data'!$E$6:$E$205,1)))</f>
        <v>#N/A</v>
      </c>
      <c r="S386" s="21">
        <f t="shared" si="110"/>
        <v>8.6146643386297517E-2</v>
      </c>
      <c r="T386" s="8">
        <f t="shared" si="113"/>
        <v>2.8076630324691543E-3</v>
      </c>
      <c r="U386" s="21">
        <f t="shared" si="123"/>
        <v>4.3045854022673066E-2</v>
      </c>
      <c r="V386" s="21">
        <f t="shared" si="124"/>
        <v>0.21676987027015571</v>
      </c>
      <c r="W386" s="21">
        <f t="shared" si="125"/>
        <v>4.3045854022673066E-2</v>
      </c>
      <c r="Y386" s="23">
        <f t="shared" si="114"/>
        <v>1.0009993975360081E-2</v>
      </c>
      <c r="Z386" s="6">
        <f t="shared" si="115"/>
        <v>3.3035860047312987E-2</v>
      </c>
      <c r="AA386" s="6">
        <f t="shared" si="116"/>
        <v>0.95695414597732698</v>
      </c>
      <c r="AB386" s="6">
        <f t="shared" si="117"/>
        <v>1</v>
      </c>
    </row>
    <row r="387" spans="1:28" x14ac:dyDescent="0.35">
      <c r="A387">
        <v>378</v>
      </c>
      <c r="B387" s="17">
        <f t="shared" si="118"/>
        <v>11474.9375</v>
      </c>
      <c r="C387" s="17">
        <f t="shared" si="111"/>
        <v>11505.375</v>
      </c>
      <c r="D387" s="17">
        <f t="shared" si="119"/>
        <v>11490.15625</v>
      </c>
      <c r="E387" s="17">
        <f t="shared" si="105"/>
        <v>377.5</v>
      </c>
      <c r="F387" s="17">
        <f t="shared" si="106"/>
        <v>91.458333333333329</v>
      </c>
      <c r="G387" s="21">
        <f>INDEX('Life Tables'!$F$8:$F$123,MATCH(Engine!F387,'Life Tables'!$B$8:$B$123,1))</f>
        <v>1.5725635995728071E-2</v>
      </c>
      <c r="H387" s="8">
        <f t="shared" si="107"/>
        <v>0.34423034840802164</v>
      </c>
      <c r="I387">
        <f t="shared" si="108"/>
        <v>1</v>
      </c>
      <c r="K387" s="22" t="e">
        <f>$I387*IF($E387&gt;_xlfn.AGGREGATE(4,6,'KM Data'!$B$6:$B$310),NA(),INDEX('KM Data'!$C$6:$C$310,MATCH($E387,'KM Data'!$B$6:$B$310,1)))</f>
        <v>#N/A</v>
      </c>
      <c r="L387" s="21">
        <f t="shared" si="109"/>
        <v>1.6104812946080127E-2</v>
      </c>
      <c r="M387" s="20">
        <f t="shared" si="112"/>
        <v>4.3577918803653359E-3</v>
      </c>
      <c r="N387" s="21">
        <f t="shared" si="120"/>
        <v>9.8525804537841367E-3</v>
      </c>
      <c r="O387" s="21">
        <f t="shared" si="121"/>
        <v>0.21336102619544603</v>
      </c>
      <c r="P387" s="21">
        <f t="shared" si="122"/>
        <v>9.8525804537841367E-3</v>
      </c>
      <c r="R387" s="22" t="e">
        <f>$I387*IF($E387&gt;_xlfn.AGGREGATE(4,6,'KM Data'!$E$6:$E$205),NA(),INDEX('KM Data'!$F$6:$F$205,MATCH($E387,'KM Data'!$E$6:$E$205,1)))</f>
        <v>#N/A</v>
      </c>
      <c r="S387" s="21">
        <f t="shared" si="110"/>
        <v>8.5904772640290505E-2</v>
      </c>
      <c r="T387" s="8">
        <f t="shared" si="113"/>
        <v>2.8022228289480422E-3</v>
      </c>
      <c r="U387" s="21">
        <f t="shared" si="123"/>
        <v>4.2368930591187265E-2</v>
      </c>
      <c r="V387" s="21">
        <f t="shared" si="124"/>
        <v>0.21336102619544603</v>
      </c>
      <c r="W387" s="21">
        <f t="shared" si="125"/>
        <v>4.2368930591187265E-2</v>
      </c>
      <c r="Y387" s="23">
        <f t="shared" si="114"/>
        <v>9.8525804537841367E-3</v>
      </c>
      <c r="Z387" s="6">
        <f t="shared" si="115"/>
        <v>3.251635013740313E-2</v>
      </c>
      <c r="AA387" s="6">
        <f t="shared" si="116"/>
        <v>0.95763106940881271</v>
      </c>
      <c r="AB387" s="6">
        <f t="shared" si="117"/>
        <v>1</v>
      </c>
    </row>
    <row r="388" spans="1:28" x14ac:dyDescent="0.35">
      <c r="A388">
        <v>379</v>
      </c>
      <c r="B388" s="17">
        <f t="shared" si="118"/>
        <v>11505.375</v>
      </c>
      <c r="C388" s="17">
        <f t="shared" si="111"/>
        <v>11535.8125</v>
      </c>
      <c r="D388" s="17">
        <f t="shared" si="119"/>
        <v>11520.59375</v>
      </c>
      <c r="E388" s="17">
        <f t="shared" si="105"/>
        <v>378.5</v>
      </c>
      <c r="F388" s="17">
        <f t="shared" si="106"/>
        <v>91.541666666666671</v>
      </c>
      <c r="G388" s="21">
        <f>INDEX('Life Tables'!$F$8:$F$123,MATCH(Engine!F388,'Life Tables'!$B$8:$B$123,1))</f>
        <v>1.5725635995728071E-2</v>
      </c>
      <c r="H388" s="8">
        <f t="shared" si="107"/>
        <v>0.34423034840802164</v>
      </c>
      <c r="I388">
        <f t="shared" si="108"/>
        <v>1</v>
      </c>
      <c r="K388" s="22" t="e">
        <f>$I388*IF($E388&gt;_xlfn.AGGREGATE(4,6,'KM Data'!$B$6:$B$310),NA(),INDEX('KM Data'!$C$6:$C$310,MATCH($E388,'KM Data'!$B$6:$B$310,1)))</f>
        <v>#N/A</v>
      </c>
      <c r="L388" s="21">
        <f t="shared" si="109"/>
        <v>1.6034631522988896E-2</v>
      </c>
      <c r="M388" s="20">
        <f t="shared" si="112"/>
        <v>4.3490235968498547E-3</v>
      </c>
      <c r="N388" s="21">
        <f t="shared" si="120"/>
        <v>9.6976423599493024E-3</v>
      </c>
      <c r="O388" s="21">
        <f t="shared" si="121"/>
        <v>0.21000578836182143</v>
      </c>
      <c r="P388" s="21">
        <f t="shared" si="122"/>
        <v>9.6976423599493024E-3</v>
      </c>
      <c r="R388" s="22" t="e">
        <f>$I388*IF($E388&gt;_xlfn.AGGREGATE(4,6,'KM Data'!$E$6:$E$205),NA(),INDEX('KM Data'!$F$6:$F$205,MATCH($E388,'KM Data'!$E$6:$E$205,1)))</f>
        <v>#N/A</v>
      </c>
      <c r="S388" s="21">
        <f t="shared" si="110"/>
        <v>8.5664048325282294E-2</v>
      </c>
      <c r="T388" s="8">
        <f t="shared" si="113"/>
        <v>2.7968064224715983E-3</v>
      </c>
      <c r="U388" s="21">
        <f t="shared" si="123"/>
        <v>4.1702652211181988E-2</v>
      </c>
      <c r="V388" s="21">
        <f t="shared" si="124"/>
        <v>0.21000578836182143</v>
      </c>
      <c r="W388" s="21">
        <f t="shared" si="125"/>
        <v>4.1702652211181988E-2</v>
      </c>
      <c r="Y388" s="23">
        <f t="shared" si="114"/>
        <v>9.6976423599493024E-3</v>
      </c>
      <c r="Z388" s="6">
        <f t="shared" si="115"/>
        <v>3.2005009851232682E-2</v>
      </c>
      <c r="AA388" s="6">
        <f t="shared" si="116"/>
        <v>0.95829734778881803</v>
      </c>
      <c r="AB388" s="6">
        <f t="shared" si="117"/>
        <v>1</v>
      </c>
    </row>
    <row r="389" spans="1:28" x14ac:dyDescent="0.35">
      <c r="A389">
        <v>380</v>
      </c>
      <c r="B389" s="17">
        <f t="shared" si="118"/>
        <v>11535.8125</v>
      </c>
      <c r="C389" s="17">
        <f t="shared" si="111"/>
        <v>11566.25</v>
      </c>
      <c r="D389" s="17">
        <f t="shared" si="119"/>
        <v>11551.03125</v>
      </c>
      <c r="E389" s="17">
        <f t="shared" si="105"/>
        <v>379.5</v>
      </c>
      <c r="F389" s="17">
        <f t="shared" si="106"/>
        <v>91.625</v>
      </c>
      <c r="G389" s="21">
        <f>INDEX('Life Tables'!$F$8:$F$123,MATCH(Engine!F389,'Life Tables'!$B$8:$B$123,1))</f>
        <v>1.5725635995728071E-2</v>
      </c>
      <c r="H389" s="8">
        <f t="shared" si="107"/>
        <v>0.34423034840802164</v>
      </c>
      <c r="I389">
        <f t="shared" si="108"/>
        <v>1</v>
      </c>
      <c r="K389" s="22" t="e">
        <f>$I389*IF($E389&gt;_xlfn.AGGREGATE(4,6,'KM Data'!$B$6:$B$310),NA(),INDEX('KM Data'!$C$6:$C$310,MATCH($E389,'KM Data'!$B$6:$B$310,1)))</f>
        <v>#N/A</v>
      </c>
      <c r="L389" s="21">
        <f t="shared" si="109"/>
        <v>1.5964896532128625E-2</v>
      </c>
      <c r="M389" s="20">
        <f t="shared" si="112"/>
        <v>4.3402945599360088E-3</v>
      </c>
      <c r="N389" s="21">
        <f t="shared" si="120"/>
        <v>9.5451407661799863E-3</v>
      </c>
      <c r="O389" s="21">
        <f t="shared" si="121"/>
        <v>0.20670331377704751</v>
      </c>
      <c r="P389" s="21">
        <f t="shared" si="122"/>
        <v>9.5451407661799863E-3</v>
      </c>
      <c r="R389" s="22" t="e">
        <f>$I389*IF($E389&gt;_xlfn.AGGREGATE(4,6,'KM Data'!$E$6:$E$205),NA(),INDEX('KM Data'!$F$6:$F$205,MATCH($E389,'KM Data'!$E$6:$E$205,1)))</f>
        <v>#N/A</v>
      </c>
      <c r="S389" s="21">
        <f t="shared" si="110"/>
        <v>8.5424462564751225E-2</v>
      </c>
      <c r="T389" s="8">
        <f t="shared" si="113"/>
        <v>2.791413649772867E-3</v>
      </c>
      <c r="U389" s="21">
        <f t="shared" si="123"/>
        <v>4.1046851482452497E-2</v>
      </c>
      <c r="V389" s="21">
        <f t="shared" si="124"/>
        <v>0.20670331377704751</v>
      </c>
      <c r="W389" s="21">
        <f t="shared" si="125"/>
        <v>4.1046851482452497E-2</v>
      </c>
      <c r="Y389" s="23">
        <f t="shared" si="114"/>
        <v>9.5451407661799863E-3</v>
      </c>
      <c r="Z389" s="6">
        <f t="shared" si="115"/>
        <v>3.1501710716272509E-2</v>
      </c>
      <c r="AA389" s="6">
        <f t="shared" si="116"/>
        <v>0.95895314851754754</v>
      </c>
      <c r="AB389" s="6">
        <f t="shared" si="117"/>
        <v>1</v>
      </c>
    </row>
    <row r="390" spans="1:28" x14ac:dyDescent="0.35">
      <c r="A390">
        <v>381</v>
      </c>
      <c r="B390" s="17">
        <f t="shared" si="118"/>
        <v>11566.25</v>
      </c>
      <c r="C390" s="17">
        <f t="shared" si="111"/>
        <v>11596.6875</v>
      </c>
      <c r="D390" s="17">
        <f t="shared" si="119"/>
        <v>11581.46875</v>
      </c>
      <c r="E390" s="17">
        <f t="shared" si="105"/>
        <v>380.5</v>
      </c>
      <c r="F390" s="17">
        <f t="shared" si="106"/>
        <v>91.708333333333329</v>
      </c>
      <c r="G390" s="21">
        <f>INDEX('Life Tables'!$F$8:$F$123,MATCH(Engine!F390,'Life Tables'!$B$8:$B$123,1))</f>
        <v>1.5725635995728071E-2</v>
      </c>
      <c r="H390" s="8">
        <f t="shared" si="107"/>
        <v>0.34423034840802164</v>
      </c>
      <c r="I390">
        <f t="shared" si="108"/>
        <v>1</v>
      </c>
      <c r="K390" s="22" t="e">
        <f>$I390*IF($E390&gt;_xlfn.AGGREGATE(4,6,'KM Data'!$B$6:$B$310),NA(),INDEX('KM Data'!$C$6:$C$310,MATCH($E390,'KM Data'!$B$6:$B$310,1)))</f>
        <v>#N/A</v>
      </c>
      <c r="L390" s="21">
        <f t="shared" si="109"/>
        <v>1.5895604178560285E-2</v>
      </c>
      <c r="M390" s="20">
        <f t="shared" si="112"/>
        <v>4.3316044957379951E-3</v>
      </c>
      <c r="N390" s="21">
        <f t="shared" si="120"/>
        <v>9.3950373569630548E-3</v>
      </c>
      <c r="O390" s="21">
        <f t="shared" si="121"/>
        <v>0.2034527727054789</v>
      </c>
      <c r="P390" s="21">
        <f t="shared" si="122"/>
        <v>9.3950373569630548E-3</v>
      </c>
      <c r="R390" s="22" t="e">
        <f>$I390*IF($E390&gt;_xlfn.AGGREGATE(4,6,'KM Data'!$E$6:$E$205),NA(),INDEX('KM Data'!$F$6:$F$205,MATCH($E390,'KM Data'!$E$6:$E$205,1)))</f>
        <v>#N/A</v>
      </c>
      <c r="S390" s="21">
        <f t="shared" si="110"/>
        <v>8.5186007553923471E-2</v>
      </c>
      <c r="T390" s="8">
        <f t="shared" si="113"/>
        <v>2.7860443491235509E-3</v>
      </c>
      <c r="U390" s="21">
        <f t="shared" si="123"/>
        <v>4.040136363726874E-2</v>
      </c>
      <c r="V390" s="21">
        <f t="shared" si="124"/>
        <v>0.2034527727054789</v>
      </c>
      <c r="W390" s="21">
        <f t="shared" si="125"/>
        <v>4.040136363726874E-2</v>
      </c>
      <c r="Y390" s="23">
        <f t="shared" si="114"/>
        <v>9.3950373569630548E-3</v>
      </c>
      <c r="Z390" s="6">
        <f t="shared" si="115"/>
        <v>3.1006326280305686E-2</v>
      </c>
      <c r="AA390" s="6">
        <f t="shared" si="116"/>
        <v>0.95959863636273124</v>
      </c>
      <c r="AB390" s="6">
        <f t="shared" si="117"/>
        <v>1</v>
      </c>
    </row>
    <row r="391" spans="1:28" x14ac:dyDescent="0.35">
      <c r="A391">
        <v>382</v>
      </c>
      <c r="B391" s="17">
        <f t="shared" si="118"/>
        <v>11596.6875</v>
      </c>
      <c r="C391" s="17">
        <f t="shared" si="111"/>
        <v>11627.125</v>
      </c>
      <c r="D391" s="17">
        <f t="shared" si="119"/>
        <v>11611.90625</v>
      </c>
      <c r="E391" s="17">
        <f t="shared" si="105"/>
        <v>381.5</v>
      </c>
      <c r="F391" s="17">
        <f t="shared" si="106"/>
        <v>91.791666666666671</v>
      </c>
      <c r="G391" s="21">
        <f>INDEX('Life Tables'!$F$8:$F$123,MATCH(Engine!F391,'Life Tables'!$B$8:$B$123,1))</f>
        <v>1.5725635995728071E-2</v>
      </c>
      <c r="H391" s="8">
        <f t="shared" si="107"/>
        <v>0.34423034840802164</v>
      </c>
      <c r="I391">
        <f t="shared" si="108"/>
        <v>1</v>
      </c>
      <c r="K391" s="22" t="e">
        <f>$I391*IF($E391&gt;_xlfn.AGGREGATE(4,6,'KM Data'!$B$6:$B$310),NA(),INDEX('KM Data'!$C$6:$C$310,MATCH($E391,'KM Data'!$B$6:$B$310,1)))</f>
        <v>#N/A</v>
      </c>
      <c r="L391" s="21">
        <f t="shared" si="109"/>
        <v>1.5826750708037962E-2</v>
      </c>
      <c r="M391" s="20">
        <f t="shared" si="112"/>
        <v>4.3229531329679327E-3</v>
      </c>
      <c r="N391" s="21">
        <f t="shared" si="120"/>
        <v>9.2472944193211868E-3</v>
      </c>
      <c r="O391" s="21">
        <f t="shared" si="121"/>
        <v>0.20025334845959095</v>
      </c>
      <c r="P391" s="21">
        <f t="shared" si="122"/>
        <v>9.2472944193211868E-3</v>
      </c>
      <c r="R391" s="22" t="e">
        <f>$I391*IF($E391&gt;_xlfn.AGGREGATE(4,6,'KM Data'!$E$6:$E$205),NA(),INDEX('KM Data'!$F$6:$F$205,MATCH($E391,'KM Data'!$E$6:$E$205,1)))</f>
        <v>#N/A</v>
      </c>
      <c r="S391" s="21">
        <f t="shared" si="110"/>
        <v>8.4948675558953468E-2</v>
      </c>
      <c r="T391" s="8">
        <f t="shared" si="113"/>
        <v>2.7806983603029245E-3</v>
      </c>
      <c r="U391" s="21">
        <f t="shared" si="123"/>
        <v>3.9766026498978008E-2</v>
      </c>
      <c r="V391" s="21">
        <f t="shared" si="124"/>
        <v>0.20025334845959095</v>
      </c>
      <c r="W391" s="21">
        <f t="shared" si="125"/>
        <v>3.9766026498978008E-2</v>
      </c>
      <c r="Y391" s="23">
        <f t="shared" si="114"/>
        <v>9.2472944193211868E-3</v>
      </c>
      <c r="Z391" s="6">
        <f t="shared" si="115"/>
        <v>3.0518732079656823E-2</v>
      </c>
      <c r="AA391" s="6">
        <f t="shared" si="116"/>
        <v>0.96023397350102202</v>
      </c>
      <c r="AB391" s="6">
        <f t="shared" si="117"/>
        <v>1</v>
      </c>
    </row>
    <row r="392" spans="1:28" x14ac:dyDescent="0.35">
      <c r="A392">
        <v>383</v>
      </c>
      <c r="B392" s="17">
        <f t="shared" si="118"/>
        <v>11627.125</v>
      </c>
      <c r="C392" s="17">
        <f t="shared" si="111"/>
        <v>11657.5625</v>
      </c>
      <c r="D392" s="17">
        <f t="shared" si="119"/>
        <v>11642.34375</v>
      </c>
      <c r="E392" s="17">
        <f t="shared" si="105"/>
        <v>382.5</v>
      </c>
      <c r="F392" s="17">
        <f t="shared" si="106"/>
        <v>91.875</v>
      </c>
      <c r="G392" s="21">
        <f>INDEX('Life Tables'!$F$8:$F$123,MATCH(Engine!F392,'Life Tables'!$B$8:$B$123,1))</f>
        <v>1.5725635995728071E-2</v>
      </c>
      <c r="H392" s="8">
        <f t="shared" si="107"/>
        <v>0.34423034840802164</v>
      </c>
      <c r="I392">
        <f t="shared" si="108"/>
        <v>1</v>
      </c>
      <c r="K392" s="22" t="e">
        <f>$I392*IF($E392&gt;_xlfn.AGGREGATE(4,6,'KM Data'!$B$6:$B$310),NA(),INDEX('KM Data'!$C$6:$C$310,MATCH($E392,'KM Data'!$B$6:$B$310,1)))</f>
        <v>#N/A</v>
      </c>
      <c r="L392" s="21">
        <f t="shared" si="109"/>
        <v>1.5758332406479947E-2</v>
      </c>
      <c r="M392" s="20">
        <f t="shared" si="112"/>
        <v>4.314340202919098E-3</v>
      </c>
      <c r="N392" s="21">
        <f t="shared" si="120"/>
        <v>9.1018748333376136E-3</v>
      </c>
      <c r="O392" s="21">
        <f t="shared" si="121"/>
        <v>0.19710423719478973</v>
      </c>
      <c r="P392" s="21">
        <f t="shared" si="122"/>
        <v>9.1018748333376136E-3</v>
      </c>
      <c r="R392" s="22" t="e">
        <f>$I392*IF($E392&gt;_xlfn.AGGREGATE(4,6,'KM Data'!$E$6:$E$205),NA(),INDEX('KM Data'!$F$6:$F$205,MATCH($E392,'KM Data'!$E$6:$E$205,1)))</f>
        <v>#N/A</v>
      </c>
      <c r="S392" s="21">
        <f t="shared" si="110"/>
        <v>8.4712458916116784E-2</v>
      </c>
      <c r="T392" s="8">
        <f t="shared" si="113"/>
        <v>2.7753755245737421E-3</v>
      </c>
      <c r="U392" s="21">
        <f t="shared" si="123"/>
        <v>3.9140680441258603E-2</v>
      </c>
      <c r="V392" s="21">
        <f t="shared" si="124"/>
        <v>0.19710423719478973</v>
      </c>
      <c r="W392" s="21">
        <f t="shared" si="125"/>
        <v>3.9140680441258603E-2</v>
      </c>
      <c r="Y392" s="23">
        <f t="shared" si="114"/>
        <v>9.1018748333376136E-3</v>
      </c>
      <c r="Z392" s="6">
        <f t="shared" si="115"/>
        <v>3.003880560792099E-2</v>
      </c>
      <c r="AA392" s="6">
        <f t="shared" si="116"/>
        <v>0.96085931955874138</v>
      </c>
      <c r="AB392" s="6">
        <f t="shared" si="117"/>
        <v>1</v>
      </c>
    </row>
    <row r="393" spans="1:28" x14ac:dyDescent="0.35">
      <c r="A393">
        <v>384</v>
      </c>
      <c r="B393" s="17">
        <f t="shared" si="118"/>
        <v>11657.5625</v>
      </c>
      <c r="C393" s="17">
        <f t="shared" si="111"/>
        <v>11688</v>
      </c>
      <c r="D393" s="17">
        <f t="shared" si="119"/>
        <v>11672.78125</v>
      </c>
      <c r="E393" s="17">
        <f t="shared" ref="E393:E456" si="126">D393/Days_per_Month</f>
        <v>383.5</v>
      </c>
      <c r="F393" s="17">
        <f t="shared" ref="F393:F456" si="127">Patient_Baseline_Age+(D393/365.25)</f>
        <v>91.958333333333329</v>
      </c>
      <c r="G393" s="21">
        <f>INDEX('Life Tables'!$F$8:$F$123,MATCH(Engine!F393,'Life Tables'!$B$8:$B$123,1))</f>
        <v>1.5725635995728071E-2</v>
      </c>
      <c r="H393" s="8">
        <f t="shared" ref="H393:H456" si="128">1/(1+Discount_Rate)^ROUNDDOWN(A393/12,0)</f>
        <v>0.33258970860678427</v>
      </c>
      <c r="I393">
        <f t="shared" ref="I393:I456" si="129">IF(E393&lt;Min_Time_Horizon__5_Years___60_Months,1,IF(C393/Days_per_Year&lt;Max_Time_Horizon__in_Years,1,NA()))</f>
        <v>1</v>
      </c>
      <c r="K393" s="22" t="e">
        <f>$I393*IF($E393&gt;_xlfn.AGGREGATE(4,6,'KM Data'!$B$6:$B$310),NA(),INDEX('KM Data'!$C$6:$C$310,MATCH($E393,'KM Data'!$B$6:$B$310,1)))</f>
        <v>#N/A</v>
      </c>
      <c r="L393" s="21">
        <f t="shared" ref="L393:L456" si="130">$I393*CHOOSE(MATCH(K$4,label_curves,0),
    EXP(-$E393*EXP(L$5)),
    1-((EXP(GAMMALN(EXP(L$5)))*_xlfn.GAMMA.DIST(EXP(L$6)*$E393,EXP(L$5),1,TRUE))/_xlfn.GAMMA(EXP(L$5))),
    IF($E393=0,1, IF(L$7&gt;0,1,0) + IF(L$7&gt;0,-1,1) * IFERROR(_xlfn.GAMMA.DIST((L$7^-2)*EXP(L$7*((LN($E393)-(L$5))/EXP(L$6))),L$7^-2,1,TRUE),0)),
    EXP(-(EXP(L$5)/L$6)*(EXP(L$6*$E393)-1)),
    1/(1+($E393/EXP(L$5))^EXP(L$6)),
    1-IFERROR(_xlfn.LOGNORM.DIST($E393,L$5,EXP(L$6),TRUE),0),
    EXP(-(($E393/EXP(L$5))^EXP(L$6)))
)</f>
        <v>1.5690345599447708E-2</v>
      </c>
      <c r="M393" s="20">
        <f t="shared" si="112"/>
        <v>4.3057654394039746E-3</v>
      </c>
      <c r="N393" s="21">
        <f t="shared" si="120"/>
        <v>8.9587420628298685E-3</v>
      </c>
      <c r="O393" s="21">
        <f t="shared" si="121"/>
        <v>0.19400464770744882</v>
      </c>
      <c r="P393" s="21">
        <f t="shared" si="122"/>
        <v>8.9587420628298685E-3</v>
      </c>
      <c r="R393" s="22" t="e">
        <f>$I393*IF($E393&gt;_xlfn.AGGREGATE(4,6,'KM Data'!$E$6:$E$205),NA(),INDEX('KM Data'!$F$6:$F$205,MATCH($E393,'KM Data'!$E$6:$E$205,1)))</f>
        <v>#N/A</v>
      </c>
      <c r="S393" s="21">
        <f t="shared" ref="S393:S456" si="131">$I393*CHOOSE(MATCH(R$4,label_curves,0),
    EXP(-$E393*EXP(S$5)),
    1-((EXP(GAMMALN(EXP(S$5)))*_xlfn.GAMMA.DIST(EXP(S$6)*$E393,EXP(S$5),1,TRUE))/_xlfn.GAMMA(EXP(S$5))),
    IF($E393=0,1, IF(S$7&gt;0,1,0) + IF(S$7&gt;0,-1,1) * IFERROR(_xlfn.GAMMA.DIST((S$7^-2)*EXP(S$7*((LN($E393)-(S$5))/EXP(S$6))),S$7^-2,1,TRUE),0)),
    EXP(-(EXP(S$5)/S$6)*(EXP(S$6*$E393)-1)),
    1/(1+($E393/EXP(S$5))^EXP(S$6)),
    1-IFERROR(_xlfn.LOGNORM.DIST($E393,S$5,EXP(S$6),TRUE),0),
    EXP(-(($E393/EXP(S$5))^EXP(S$6)))
)</f>
        <v>8.4477350031014531E-2</v>
      </c>
      <c r="T393" s="8">
        <f t="shared" si="113"/>
        <v>2.7700756846850139E-3</v>
      </c>
      <c r="U393" s="21">
        <f t="shared" si="123"/>
        <v>3.8525168348014255E-2</v>
      </c>
      <c r="V393" s="21">
        <f t="shared" si="124"/>
        <v>0.19400464770744882</v>
      </c>
      <c r="W393" s="21">
        <f t="shared" si="125"/>
        <v>3.8525168348014255E-2</v>
      </c>
      <c r="Y393" s="23">
        <f t="shared" si="114"/>
        <v>8.9587420628298685E-3</v>
      </c>
      <c r="Z393" s="6">
        <f t="shared" si="115"/>
        <v>2.9566426285184386E-2</v>
      </c>
      <c r="AA393" s="6">
        <f t="shared" si="116"/>
        <v>0.96147483165198577</v>
      </c>
      <c r="AB393" s="6">
        <f t="shared" si="117"/>
        <v>1</v>
      </c>
    </row>
    <row r="394" spans="1:28" x14ac:dyDescent="0.35">
      <c r="A394">
        <v>385</v>
      </c>
      <c r="B394" s="17">
        <f t="shared" si="118"/>
        <v>11688</v>
      </c>
      <c r="C394" s="17">
        <f t="shared" ref="C394:C457" si="132">B394+Days_per_Month</f>
        <v>11718.4375</v>
      </c>
      <c r="D394" s="17">
        <f t="shared" si="119"/>
        <v>11703.21875</v>
      </c>
      <c r="E394" s="17">
        <f t="shared" si="126"/>
        <v>384.5</v>
      </c>
      <c r="F394" s="17">
        <f t="shared" si="127"/>
        <v>92.041666666666657</v>
      </c>
      <c r="G394" s="21">
        <f>INDEX('Life Tables'!$F$8:$F$123,MATCH(Engine!F394,'Life Tables'!$B$8:$B$123,1))</f>
        <v>1.7804831133534038E-2</v>
      </c>
      <c r="H394" s="8">
        <f t="shared" si="128"/>
        <v>0.33258970860678427</v>
      </c>
      <c r="I394">
        <f t="shared" si="129"/>
        <v>1</v>
      </c>
      <c r="K394" s="22" t="e">
        <f>$I394*IF($E394&gt;_xlfn.AGGREGATE(4,6,'KM Data'!$B$6:$B$310),NA(),INDEX('KM Data'!$C$6:$C$310,MATCH($E394,'KM Data'!$B$6:$B$310,1)))</f>
        <v>#N/A</v>
      </c>
      <c r="L394" s="21">
        <f t="shared" si="130"/>
        <v>1.5622786651633302E-2</v>
      </c>
      <c r="M394" s="20">
        <f t="shared" ref="M394:M457" si="133">1-(L395/L394)</f>
        <v>4.2972285787408193E-3</v>
      </c>
      <c r="N394" s="21">
        <f t="shared" si="120"/>
        <v>8.8178601461701873E-3</v>
      </c>
      <c r="O394" s="21">
        <f t="shared" si="121"/>
        <v>0.19095380123612202</v>
      </c>
      <c r="P394" s="21">
        <f t="shared" si="122"/>
        <v>8.8178601461701873E-3</v>
      </c>
      <c r="R394" s="22" t="e">
        <f>$I394*IF($E394&gt;_xlfn.AGGREGATE(4,6,'KM Data'!$E$6:$E$205),NA(),INDEX('KM Data'!$F$6:$F$205,MATCH($E394,'KM Data'!$E$6:$E$205,1)))</f>
        <v>#N/A</v>
      </c>
      <c r="S394" s="21">
        <f t="shared" si="131"/>
        <v>8.4243341377786995E-2</v>
      </c>
      <c r="T394" s="8">
        <f t="shared" ref="T394:T457" si="134">1-(S395/S394)</f>
        <v>2.7647986848335915E-3</v>
      </c>
      <c r="U394" s="21">
        <f t="shared" si="123"/>
        <v>3.7919335573899239E-2</v>
      </c>
      <c r="V394" s="21">
        <f t="shared" si="124"/>
        <v>0.19095380123612202</v>
      </c>
      <c r="W394" s="21">
        <f t="shared" si="125"/>
        <v>3.7919335573899239E-2</v>
      </c>
      <c r="Y394" s="23">
        <f t="shared" ref="Y394:Y457" si="135">N394</f>
        <v>8.8178601461701873E-3</v>
      </c>
      <c r="Z394" s="6">
        <f t="shared" ref="Z394:Z457" si="136">U394-N394</f>
        <v>2.9101475427729052E-2</v>
      </c>
      <c r="AA394" s="6">
        <f t="shared" ref="AA394:AA457" si="137">1-U394</f>
        <v>0.96208066442610074</v>
      </c>
      <c r="AB394" s="6">
        <f t="shared" ref="AB394:AB457" si="138">SUM(Y394:AA394)</f>
        <v>1</v>
      </c>
    </row>
    <row r="395" spans="1:28" x14ac:dyDescent="0.35">
      <c r="A395">
        <v>386</v>
      </c>
      <c r="B395" s="17">
        <f t="shared" ref="B395:B458" si="139">C394</f>
        <v>11718.4375</v>
      </c>
      <c r="C395" s="17">
        <f t="shared" si="132"/>
        <v>11748.875</v>
      </c>
      <c r="D395" s="17">
        <f t="shared" ref="D395:D458" si="140">AVERAGE(B395:C395)</f>
        <v>11733.65625</v>
      </c>
      <c r="E395" s="17">
        <f t="shared" si="126"/>
        <v>385.5</v>
      </c>
      <c r="F395" s="17">
        <f t="shared" si="127"/>
        <v>92.125</v>
      </c>
      <c r="G395" s="21">
        <f>INDEX('Life Tables'!$F$8:$F$123,MATCH(Engine!F395,'Life Tables'!$B$8:$B$123,1))</f>
        <v>1.7804831133534038E-2</v>
      </c>
      <c r="H395" s="8">
        <f t="shared" si="128"/>
        <v>0.33258970860678427</v>
      </c>
      <c r="I395">
        <f t="shared" si="129"/>
        <v>1</v>
      </c>
      <c r="K395" s="22" t="e">
        <f>$I395*IF($E395&gt;_xlfn.AGGREGATE(4,6,'KM Data'!$B$6:$B$310),NA(),INDEX('KM Data'!$C$6:$C$310,MATCH($E395,'KM Data'!$B$6:$B$310,1)))</f>
        <v>#N/A</v>
      </c>
      <c r="L395" s="21">
        <f t="shared" si="130"/>
        <v>1.5555651966354334E-2</v>
      </c>
      <c r="M395" s="20">
        <f t="shared" si="133"/>
        <v>4.2887293597603238E-3</v>
      </c>
      <c r="N395" s="21">
        <f t="shared" ref="N395:N458" si="141">$I395*MIN(N394,U395,P395)</f>
        <v>8.6608596353085071E-3</v>
      </c>
      <c r="O395" s="21">
        <f t="shared" ref="O395:O458" si="142">I395*O394*(1-G394)</f>
        <v>0.18755390105080644</v>
      </c>
      <c r="P395" s="21">
        <f t="shared" ref="P395:P458" si="143">$I395*P394*(1-MAX($G394,M394))</f>
        <v>8.6608596353085071E-3</v>
      </c>
      <c r="R395" s="22" t="e">
        <f>$I395*IF($E395&gt;_xlfn.AGGREGATE(4,6,'KM Data'!$E$6:$E$205),NA(),INDEX('KM Data'!$F$6:$F$205,MATCH($E395,'KM Data'!$E$6:$E$205,1)))</f>
        <v>#N/A</v>
      </c>
      <c r="S395" s="21">
        <f t="shared" si="131"/>
        <v>8.4010425498339703E-2</v>
      </c>
      <c r="T395" s="8">
        <f t="shared" si="134"/>
        <v>2.7595443706677214E-3</v>
      </c>
      <c r="U395" s="21">
        <f t="shared" ref="U395:U458" si="144">$I395*MIN(U394,W395)</f>
        <v>3.7244188207310153E-2</v>
      </c>
      <c r="V395" s="21">
        <f t="shared" ref="V395:V458" si="145">I395*V394*(1-G394)</f>
        <v>0.18755390105080644</v>
      </c>
      <c r="W395" s="21">
        <f t="shared" ref="W395:W458" si="146">$I395*W394*(1-MAX($G394,T394))</f>
        <v>3.7244188207310153E-2</v>
      </c>
      <c r="Y395" s="23">
        <f t="shared" si="135"/>
        <v>8.6608596353085071E-3</v>
      </c>
      <c r="Z395" s="6">
        <f t="shared" si="136"/>
        <v>2.8583328572001646E-2</v>
      </c>
      <c r="AA395" s="6">
        <f t="shared" si="137"/>
        <v>0.96275581179268988</v>
      </c>
      <c r="AB395" s="6">
        <f t="shared" si="138"/>
        <v>1</v>
      </c>
    </row>
    <row r="396" spans="1:28" x14ac:dyDescent="0.35">
      <c r="A396">
        <v>387</v>
      </c>
      <c r="B396" s="17">
        <f t="shared" si="139"/>
        <v>11748.875</v>
      </c>
      <c r="C396" s="17">
        <f t="shared" si="132"/>
        <v>11779.3125</v>
      </c>
      <c r="D396" s="17">
        <f t="shared" si="140"/>
        <v>11764.09375</v>
      </c>
      <c r="E396" s="17">
        <f t="shared" si="126"/>
        <v>386.5</v>
      </c>
      <c r="F396" s="17">
        <f t="shared" si="127"/>
        <v>92.208333333333343</v>
      </c>
      <c r="G396" s="21">
        <f>INDEX('Life Tables'!$F$8:$F$123,MATCH(Engine!F396,'Life Tables'!$B$8:$B$123,1))</f>
        <v>1.7804831133534038E-2</v>
      </c>
      <c r="H396" s="8">
        <f t="shared" si="128"/>
        <v>0.33258970860678427</v>
      </c>
      <c r="I396">
        <f t="shared" si="129"/>
        <v>1</v>
      </c>
      <c r="K396" s="22" t="e">
        <f>$I396*IF($E396&gt;_xlfn.AGGREGATE(4,6,'KM Data'!$B$6:$B$310),NA(),INDEX('KM Data'!$C$6:$C$310,MATCH($E396,'KM Data'!$B$6:$B$310,1)))</f>
        <v>#N/A</v>
      </c>
      <c r="L396" s="21">
        <f t="shared" si="130"/>
        <v>1.5488937985056017E-2</v>
      </c>
      <c r="M396" s="20">
        <f t="shared" si="133"/>
        <v>4.2802675236831567E-3</v>
      </c>
      <c r="N396" s="21">
        <f t="shared" si="141"/>
        <v>8.5066544920305975E-3</v>
      </c>
      <c r="O396" s="21">
        <f t="shared" si="142"/>
        <v>0.18421453551416128</v>
      </c>
      <c r="P396" s="21">
        <f t="shared" si="143"/>
        <v>8.5066544920305975E-3</v>
      </c>
      <c r="R396" s="22" t="e">
        <f>$I396*IF($E396&gt;_xlfn.AGGREGATE(4,6,'KM Data'!$E$6:$E$205),NA(),INDEX('KM Data'!$F$6:$F$205,MATCH($E396,'KM Data'!$E$6:$E$205,1)))</f>
        <v>#N/A</v>
      </c>
      <c r="S396" s="21">
        <f t="shared" si="131"/>
        <v>8.377859500157836E-2</v>
      </c>
      <c r="T396" s="8">
        <f t="shared" si="134"/>
        <v>2.7543125892425246E-3</v>
      </c>
      <c r="U396" s="21">
        <f t="shared" si="144"/>
        <v>3.6581061725573433E-2</v>
      </c>
      <c r="V396" s="21">
        <f t="shared" si="145"/>
        <v>0.18421453551416128</v>
      </c>
      <c r="W396" s="21">
        <f t="shared" si="146"/>
        <v>3.6581061725573433E-2</v>
      </c>
      <c r="Y396" s="23">
        <f t="shared" si="135"/>
        <v>8.5066544920305975E-3</v>
      </c>
      <c r="Z396" s="6">
        <f t="shared" si="136"/>
        <v>2.8074407233542834E-2</v>
      </c>
      <c r="AA396" s="6">
        <f t="shared" si="137"/>
        <v>0.9634189382744266</v>
      </c>
      <c r="AB396" s="6">
        <f t="shared" si="138"/>
        <v>1</v>
      </c>
    </row>
    <row r="397" spans="1:28" x14ac:dyDescent="0.35">
      <c r="A397">
        <v>388</v>
      </c>
      <c r="B397" s="17">
        <f t="shared" si="139"/>
        <v>11779.3125</v>
      </c>
      <c r="C397" s="17">
        <f t="shared" si="132"/>
        <v>11809.75</v>
      </c>
      <c r="D397" s="17">
        <f t="shared" si="140"/>
        <v>11794.53125</v>
      </c>
      <c r="E397" s="17">
        <f t="shared" si="126"/>
        <v>387.5</v>
      </c>
      <c r="F397" s="17">
        <f t="shared" si="127"/>
        <v>92.291666666666657</v>
      </c>
      <c r="G397" s="21">
        <f>INDEX('Life Tables'!$F$8:$F$123,MATCH(Engine!F397,'Life Tables'!$B$8:$B$123,1))</f>
        <v>1.7804831133534038E-2</v>
      </c>
      <c r="H397" s="8">
        <f t="shared" si="128"/>
        <v>0.33258970860678427</v>
      </c>
      <c r="I397">
        <f t="shared" si="129"/>
        <v>1</v>
      </c>
      <c r="K397" s="22" t="e">
        <f>$I397*IF($E397&gt;_xlfn.AGGREGATE(4,6,'KM Data'!$B$6:$B$310),NA(),INDEX('KM Data'!$C$6:$C$310,MATCH($E397,'KM Data'!$B$6:$B$310,1)))</f>
        <v>#N/A</v>
      </c>
      <c r="L397" s="21">
        <f t="shared" si="130"/>
        <v>1.5422641186822239E-2</v>
      </c>
      <c r="M397" s="20">
        <f t="shared" si="133"/>
        <v>4.2718428142034526E-3</v>
      </c>
      <c r="N397" s="21">
        <f t="shared" si="141"/>
        <v>8.3551949452886735E-3</v>
      </c>
      <c r="O397" s="21">
        <f t="shared" si="142"/>
        <v>0.18093462681698924</v>
      </c>
      <c r="P397" s="21">
        <f t="shared" si="143"/>
        <v>8.3551949452886735E-3</v>
      </c>
      <c r="R397" s="22" t="e">
        <f>$I397*IF($E397&gt;_xlfn.AGGREGATE(4,6,'KM Data'!$E$6:$E$205),NA(),INDEX('KM Data'!$F$6:$F$205,MATCH($E397,'KM Data'!$E$6:$E$205,1)))</f>
        <v>#N/A</v>
      </c>
      <c r="S397" s="21">
        <f t="shared" si="131"/>
        <v>8.354784256265646E-2</v>
      </c>
      <c r="T397" s="8">
        <f t="shared" si="134"/>
        <v>2.7491031890340967E-3</v>
      </c>
      <c r="U397" s="21">
        <f t="shared" si="144"/>
        <v>3.5929742098864209E-2</v>
      </c>
      <c r="V397" s="21">
        <f t="shared" si="145"/>
        <v>0.18093462681698924</v>
      </c>
      <c r="W397" s="21">
        <f t="shared" si="146"/>
        <v>3.5929742098864209E-2</v>
      </c>
      <c r="Y397" s="23">
        <f t="shared" si="135"/>
        <v>8.3551949452886735E-3</v>
      </c>
      <c r="Z397" s="6">
        <f t="shared" si="136"/>
        <v>2.7574547153575536E-2</v>
      </c>
      <c r="AA397" s="6">
        <f t="shared" si="137"/>
        <v>0.96407025790113576</v>
      </c>
      <c r="AB397" s="6">
        <f t="shared" si="138"/>
        <v>1</v>
      </c>
    </row>
    <row r="398" spans="1:28" x14ac:dyDescent="0.35">
      <c r="A398">
        <v>389</v>
      </c>
      <c r="B398" s="17">
        <f t="shared" si="139"/>
        <v>11809.75</v>
      </c>
      <c r="C398" s="17">
        <f t="shared" si="132"/>
        <v>11840.1875</v>
      </c>
      <c r="D398" s="17">
        <f t="shared" si="140"/>
        <v>11824.96875</v>
      </c>
      <c r="E398" s="17">
        <f t="shared" si="126"/>
        <v>388.5</v>
      </c>
      <c r="F398" s="17">
        <f t="shared" si="127"/>
        <v>92.375</v>
      </c>
      <c r="G398" s="21">
        <f>INDEX('Life Tables'!$F$8:$F$123,MATCH(Engine!F398,'Life Tables'!$B$8:$B$123,1))</f>
        <v>1.7804831133534038E-2</v>
      </c>
      <c r="H398" s="8">
        <f t="shared" si="128"/>
        <v>0.33258970860678427</v>
      </c>
      <c r="I398">
        <f t="shared" si="129"/>
        <v>1</v>
      </c>
      <c r="K398" s="22" t="e">
        <f>$I398*IF($E398&gt;_xlfn.AGGREGATE(4,6,'KM Data'!$B$6:$B$310),NA(),INDEX('KM Data'!$C$6:$C$310,MATCH($E398,'KM Data'!$B$6:$B$310,1)))</f>
        <v>#N/A</v>
      </c>
      <c r="L398" s="21">
        <f t="shared" si="130"/>
        <v>1.5356758087892275E-2</v>
      </c>
      <c r="M398" s="20">
        <f t="shared" si="133"/>
        <v>4.2634549773709063E-3</v>
      </c>
      <c r="N398" s="21">
        <f t="shared" si="141"/>
        <v>8.2064321102000518E-3</v>
      </c>
      <c r="O398" s="21">
        <f t="shared" si="142"/>
        <v>0.17771311634030376</v>
      </c>
      <c r="P398" s="21">
        <f t="shared" si="143"/>
        <v>8.2064321102000518E-3</v>
      </c>
      <c r="R398" s="22" t="e">
        <f>$I398*IF($E398&gt;_xlfn.AGGREGATE(4,6,'KM Data'!$E$6:$E$205),NA(),INDEX('KM Data'!$F$6:$F$205,MATCH($E398,'KM Data'!$E$6:$E$205,1)))</f>
        <v>#N/A</v>
      </c>
      <c r="S398" s="21">
        <f t="shared" si="131"/>
        <v>8.3318160922230544E-2</v>
      </c>
      <c r="T398" s="8">
        <f t="shared" si="134"/>
        <v>2.7439160199037582E-3</v>
      </c>
      <c r="U398" s="21">
        <f t="shared" si="144"/>
        <v>3.5290019108122503E-2</v>
      </c>
      <c r="V398" s="21">
        <f t="shared" si="145"/>
        <v>0.17771311634030376</v>
      </c>
      <c r="W398" s="21">
        <f t="shared" si="146"/>
        <v>3.5290019108122503E-2</v>
      </c>
      <c r="Y398" s="23">
        <f t="shared" si="135"/>
        <v>8.2064321102000518E-3</v>
      </c>
      <c r="Z398" s="6">
        <f t="shared" si="136"/>
        <v>2.7083586997922453E-2</v>
      </c>
      <c r="AA398" s="6">
        <f t="shared" si="137"/>
        <v>0.96470998089187754</v>
      </c>
      <c r="AB398" s="6">
        <f t="shared" si="138"/>
        <v>1</v>
      </c>
    </row>
    <row r="399" spans="1:28" x14ac:dyDescent="0.35">
      <c r="A399">
        <v>390</v>
      </c>
      <c r="B399" s="17">
        <f t="shared" si="139"/>
        <v>11840.1875</v>
      </c>
      <c r="C399" s="17">
        <f t="shared" si="132"/>
        <v>11870.625</v>
      </c>
      <c r="D399" s="17">
        <f t="shared" si="140"/>
        <v>11855.40625</v>
      </c>
      <c r="E399" s="17">
        <f t="shared" si="126"/>
        <v>389.5</v>
      </c>
      <c r="F399" s="17">
        <f t="shared" si="127"/>
        <v>92.458333333333343</v>
      </c>
      <c r="G399" s="21">
        <f>INDEX('Life Tables'!$F$8:$F$123,MATCH(Engine!F399,'Life Tables'!$B$8:$B$123,1))</f>
        <v>1.7804831133534038E-2</v>
      </c>
      <c r="H399" s="8">
        <f t="shared" si="128"/>
        <v>0.33258970860678427</v>
      </c>
      <c r="I399">
        <f t="shared" si="129"/>
        <v>1</v>
      </c>
      <c r="K399" s="22" t="e">
        <f>$I399*IF($E399&gt;_xlfn.AGGREGATE(4,6,'KM Data'!$B$6:$B$310),NA(),INDEX('KM Data'!$C$6:$C$310,MATCH($E399,'KM Data'!$B$6:$B$310,1)))</f>
        <v>#N/A</v>
      </c>
      <c r="L399" s="21">
        <f t="shared" si="130"/>
        <v>1.529128524118617E-2</v>
      </c>
      <c r="M399" s="20">
        <f t="shared" si="133"/>
        <v>4.2551037616093135E-3</v>
      </c>
      <c r="N399" s="21">
        <f t="shared" si="141"/>
        <v>8.0603179722691289E-3</v>
      </c>
      <c r="O399" s="21">
        <f t="shared" si="142"/>
        <v>0.17454896431365055</v>
      </c>
      <c r="P399" s="21">
        <f t="shared" si="143"/>
        <v>8.0603179722691289E-3</v>
      </c>
      <c r="R399" s="22" t="e">
        <f>$I399*IF($E399&gt;_xlfn.AGGREGATE(4,6,'KM Data'!$E$6:$E$205),NA(),INDEX('KM Data'!$F$6:$F$205,MATCH($E399,'KM Data'!$E$6:$E$205,1)))</f>
        <v>#N/A</v>
      </c>
      <c r="S399" s="21">
        <f t="shared" si="131"/>
        <v>8.3089542885727119E-2</v>
      </c>
      <c r="T399" s="8">
        <f t="shared" si="134"/>
        <v>2.7387509330835114E-3</v>
      </c>
      <c r="U399" s="21">
        <f t="shared" si="144"/>
        <v>3.4661686277203195E-2</v>
      </c>
      <c r="V399" s="21">
        <f t="shared" si="145"/>
        <v>0.17454896431365055</v>
      </c>
      <c r="W399" s="21">
        <f t="shared" si="146"/>
        <v>3.4661686277203195E-2</v>
      </c>
      <c r="Y399" s="23">
        <f t="shared" si="135"/>
        <v>8.0603179722691289E-3</v>
      </c>
      <c r="Z399" s="6">
        <f t="shared" si="136"/>
        <v>2.6601368304934064E-2</v>
      </c>
      <c r="AA399" s="6">
        <f t="shared" si="137"/>
        <v>0.96533831372279677</v>
      </c>
      <c r="AB399" s="6">
        <f t="shared" si="138"/>
        <v>1</v>
      </c>
    </row>
    <row r="400" spans="1:28" x14ac:dyDescent="0.35">
      <c r="A400">
        <v>391</v>
      </c>
      <c r="B400" s="17">
        <f t="shared" si="139"/>
        <v>11870.625</v>
      </c>
      <c r="C400" s="17">
        <f t="shared" si="132"/>
        <v>11901.0625</v>
      </c>
      <c r="D400" s="17">
        <f t="shared" si="140"/>
        <v>11885.84375</v>
      </c>
      <c r="E400" s="17">
        <f t="shared" si="126"/>
        <v>390.5</v>
      </c>
      <c r="F400" s="17">
        <f t="shared" si="127"/>
        <v>92.541666666666657</v>
      </c>
      <c r="G400" s="21">
        <f>INDEX('Life Tables'!$F$8:$F$123,MATCH(Engine!F400,'Life Tables'!$B$8:$B$123,1))</f>
        <v>1.7804831133534038E-2</v>
      </c>
      <c r="H400" s="8">
        <f t="shared" si="128"/>
        <v>0.33258970860678427</v>
      </c>
      <c r="I400">
        <f t="shared" si="129"/>
        <v>1</v>
      </c>
      <c r="K400" s="22" t="e">
        <f>$I400*IF($E400&gt;_xlfn.AGGREGATE(4,6,'KM Data'!$B$6:$B$310),NA(),INDEX('KM Data'!$C$6:$C$310,MATCH($E400,'KM Data'!$B$6:$B$310,1)))</f>
        <v>#N/A</v>
      </c>
      <c r="L400" s="21">
        <f t="shared" si="130"/>
        <v>1.5226219235836558E-2</v>
      </c>
      <c r="M400" s="20">
        <f t="shared" si="133"/>
        <v>4.2467889176763807E-3</v>
      </c>
      <c r="N400" s="21">
        <f t="shared" si="141"/>
        <v>7.9168053718902884E-3</v>
      </c>
      <c r="O400" s="21">
        <f t="shared" si="142"/>
        <v>0.17144114947951275</v>
      </c>
      <c r="P400" s="21">
        <f t="shared" si="143"/>
        <v>7.9168053718902884E-3</v>
      </c>
      <c r="R400" s="22" t="e">
        <f>$I400*IF($E400&gt;_xlfn.AGGREGATE(4,6,'KM Data'!$E$6:$E$205),NA(),INDEX('KM Data'!$F$6:$F$205,MATCH($E400,'KM Data'!$E$6:$E$205,1)))</f>
        <v>#N/A</v>
      </c>
      <c r="S400" s="21">
        <f t="shared" si="131"/>
        <v>8.2861981322619349E-2</v>
      </c>
      <c r="T400" s="8">
        <f t="shared" si="134"/>
        <v>2.7336077811664916E-3</v>
      </c>
      <c r="U400" s="21">
        <f t="shared" si="144"/>
        <v>3.4044540806234057E-2</v>
      </c>
      <c r="V400" s="21">
        <f t="shared" si="145"/>
        <v>0.17144114947951275</v>
      </c>
      <c r="W400" s="21">
        <f t="shared" si="146"/>
        <v>3.4044540806234057E-2</v>
      </c>
      <c r="Y400" s="23">
        <f t="shared" si="135"/>
        <v>7.9168053718902884E-3</v>
      </c>
      <c r="Z400" s="6">
        <f t="shared" si="136"/>
        <v>2.6127735434343768E-2</v>
      </c>
      <c r="AA400" s="6">
        <f t="shared" si="137"/>
        <v>0.96595545919376591</v>
      </c>
      <c r="AB400" s="6">
        <f t="shared" si="138"/>
        <v>1</v>
      </c>
    </row>
    <row r="401" spans="1:28" x14ac:dyDescent="0.35">
      <c r="A401">
        <v>392</v>
      </c>
      <c r="B401" s="17">
        <f t="shared" si="139"/>
        <v>11901.0625</v>
      </c>
      <c r="C401" s="17">
        <f t="shared" si="132"/>
        <v>11931.5</v>
      </c>
      <c r="D401" s="17">
        <f t="shared" si="140"/>
        <v>11916.28125</v>
      </c>
      <c r="E401" s="17">
        <f t="shared" si="126"/>
        <v>391.5</v>
      </c>
      <c r="F401" s="17">
        <f t="shared" si="127"/>
        <v>92.625</v>
      </c>
      <c r="G401" s="21">
        <f>INDEX('Life Tables'!$F$8:$F$123,MATCH(Engine!F401,'Life Tables'!$B$8:$B$123,1))</f>
        <v>1.7804831133534038E-2</v>
      </c>
      <c r="H401" s="8">
        <f t="shared" si="128"/>
        <v>0.33258970860678427</v>
      </c>
      <c r="I401">
        <f t="shared" si="129"/>
        <v>1</v>
      </c>
      <c r="K401" s="22" t="e">
        <f>$I401*IF($E401&gt;_xlfn.AGGREGATE(4,6,'KM Data'!$B$6:$B$310),NA(),INDEX('KM Data'!$C$6:$C$310,MATCH($E401,'KM Data'!$B$6:$B$310,1)))</f>
        <v>#N/A</v>
      </c>
      <c r="L401" s="21">
        <f t="shared" si="130"/>
        <v>1.5161556696727696E-2</v>
      </c>
      <c r="M401" s="20">
        <f t="shared" si="133"/>
        <v>4.2385101986235352E-3</v>
      </c>
      <c r="N401" s="21">
        <f t="shared" si="141"/>
        <v>7.7758479891267265E-3</v>
      </c>
      <c r="O401" s="21">
        <f t="shared" si="142"/>
        <v>0.16838866876369105</v>
      </c>
      <c r="P401" s="21">
        <f t="shared" si="143"/>
        <v>7.7758479891267265E-3</v>
      </c>
      <c r="R401" s="22" t="e">
        <f>$I401*IF($E401&gt;_xlfn.AGGREGATE(4,6,'KM Data'!$E$6:$E$205),NA(),INDEX('KM Data'!$F$6:$F$205,MATCH($E401,'KM Data'!$E$6:$E$205,1)))</f>
        <v>#N/A</v>
      </c>
      <c r="S401" s="21">
        <f t="shared" si="131"/>
        <v>8.263546916571296E-2</v>
      </c>
      <c r="T401" s="8">
        <f t="shared" si="134"/>
        <v>2.7284864180915358E-3</v>
      </c>
      <c r="U401" s="21">
        <f t="shared" si="144"/>
        <v>3.3438383506160352E-2</v>
      </c>
      <c r="V401" s="21">
        <f t="shared" si="145"/>
        <v>0.16838866876369105</v>
      </c>
      <c r="W401" s="21">
        <f t="shared" si="146"/>
        <v>3.3438383506160352E-2</v>
      </c>
      <c r="Y401" s="23">
        <f t="shared" si="135"/>
        <v>7.7758479891267265E-3</v>
      </c>
      <c r="Z401" s="6">
        <f t="shared" si="136"/>
        <v>2.5662535517033624E-2</v>
      </c>
      <c r="AA401" s="6">
        <f t="shared" si="137"/>
        <v>0.96656161649383965</v>
      </c>
      <c r="AB401" s="6">
        <f t="shared" si="138"/>
        <v>1</v>
      </c>
    </row>
    <row r="402" spans="1:28" x14ac:dyDescent="0.35">
      <c r="A402">
        <v>393</v>
      </c>
      <c r="B402" s="17">
        <f t="shared" si="139"/>
        <v>11931.5</v>
      </c>
      <c r="C402" s="17">
        <f t="shared" si="132"/>
        <v>11961.9375</v>
      </c>
      <c r="D402" s="17">
        <f t="shared" si="140"/>
        <v>11946.71875</v>
      </c>
      <c r="E402" s="17">
        <f t="shared" si="126"/>
        <v>392.5</v>
      </c>
      <c r="F402" s="17">
        <f t="shared" si="127"/>
        <v>92.708333333333343</v>
      </c>
      <c r="G402" s="21">
        <f>INDEX('Life Tables'!$F$8:$F$123,MATCH(Engine!F402,'Life Tables'!$B$8:$B$123,1))</f>
        <v>1.7804831133534038E-2</v>
      </c>
      <c r="H402" s="8">
        <f t="shared" si="128"/>
        <v>0.33258970860678427</v>
      </c>
      <c r="I402">
        <f t="shared" si="129"/>
        <v>1</v>
      </c>
      <c r="K402" s="22" t="e">
        <f>$I402*IF($E402&gt;_xlfn.AGGREGATE(4,6,'KM Data'!$B$6:$B$310),NA(),INDEX('KM Data'!$C$6:$C$310,MATCH($E402,'KM Data'!$B$6:$B$310,1)))</f>
        <v>#N/A</v>
      </c>
      <c r="L402" s="21">
        <f t="shared" si="130"/>
        <v>1.5097294284041607E-2</v>
      </c>
      <c r="M402" s="20">
        <f t="shared" si="133"/>
        <v>4.2302673598062501E-3</v>
      </c>
      <c r="N402" s="21">
        <f t="shared" si="141"/>
        <v>7.6374003287602949E-3</v>
      </c>
      <c r="O402" s="21">
        <f t="shared" si="142"/>
        <v>0.16539053695155292</v>
      </c>
      <c r="P402" s="21">
        <f t="shared" si="143"/>
        <v>7.6374003287602949E-3</v>
      </c>
      <c r="R402" s="22" t="e">
        <f>$I402*IF($E402&gt;_xlfn.AGGREGATE(4,6,'KM Data'!$E$6:$E$205),NA(),INDEX('KM Data'!$F$6:$F$205,MATCH($E402,'KM Data'!$E$6:$E$205,1)))</f>
        <v>#N/A</v>
      </c>
      <c r="S402" s="21">
        <f t="shared" si="131"/>
        <v>8.2409999410441692E-2</v>
      </c>
      <c r="T402" s="8">
        <f t="shared" si="134"/>
        <v>2.7233866991180911E-3</v>
      </c>
      <c r="U402" s="21">
        <f t="shared" si="144"/>
        <v>3.2843018734454818E-2</v>
      </c>
      <c r="V402" s="21">
        <f t="shared" si="145"/>
        <v>0.16539053695155292</v>
      </c>
      <c r="W402" s="21">
        <f t="shared" si="146"/>
        <v>3.2843018734454818E-2</v>
      </c>
      <c r="Y402" s="23">
        <f t="shared" si="135"/>
        <v>7.6374003287602949E-3</v>
      </c>
      <c r="Z402" s="6">
        <f t="shared" si="136"/>
        <v>2.5205618405694522E-2</v>
      </c>
      <c r="AA402" s="6">
        <f t="shared" si="137"/>
        <v>0.96715698126554517</v>
      </c>
      <c r="AB402" s="6">
        <f t="shared" si="138"/>
        <v>1</v>
      </c>
    </row>
    <row r="403" spans="1:28" x14ac:dyDescent="0.35">
      <c r="A403">
        <v>394</v>
      </c>
      <c r="B403" s="17">
        <f t="shared" si="139"/>
        <v>11961.9375</v>
      </c>
      <c r="C403" s="17">
        <f t="shared" si="132"/>
        <v>11992.375</v>
      </c>
      <c r="D403" s="17">
        <f t="shared" si="140"/>
        <v>11977.15625</v>
      </c>
      <c r="E403" s="17">
        <f t="shared" si="126"/>
        <v>393.5</v>
      </c>
      <c r="F403" s="17">
        <f t="shared" si="127"/>
        <v>92.791666666666657</v>
      </c>
      <c r="G403" s="21">
        <f>INDEX('Life Tables'!$F$8:$F$123,MATCH(Engine!F403,'Life Tables'!$B$8:$B$123,1))</f>
        <v>1.7804831133534038E-2</v>
      </c>
      <c r="H403" s="8">
        <f t="shared" si="128"/>
        <v>0.33258970860678427</v>
      </c>
      <c r="I403">
        <f t="shared" si="129"/>
        <v>1</v>
      </c>
      <c r="K403" s="22" t="e">
        <f>$I403*IF($E403&gt;_xlfn.AGGREGATE(4,6,'KM Data'!$B$6:$B$310),NA(),INDEX('KM Data'!$C$6:$C$310,MATCH($E403,'KM Data'!$B$6:$B$310,1)))</f>
        <v>#N/A</v>
      </c>
      <c r="L403" s="21">
        <f t="shared" si="130"/>
        <v>1.5033428692810435E-2</v>
      </c>
      <c r="M403" s="20">
        <f t="shared" si="133"/>
        <v>4.2220601588149886E-3</v>
      </c>
      <c r="N403" s="21">
        <f t="shared" si="141"/>
        <v>7.5014177056075201E-3</v>
      </c>
      <c r="O403" s="21">
        <f t="shared" si="142"/>
        <v>0.162445786370046</v>
      </c>
      <c r="P403" s="21">
        <f t="shared" si="143"/>
        <v>7.5014177056075201E-3</v>
      </c>
      <c r="R403" s="22" t="e">
        <f>$I403*IF($E403&gt;_xlfn.AGGREGATE(4,6,'KM Data'!$E$6:$E$205),NA(),INDEX('KM Data'!$F$6:$F$205,MATCH($E403,'KM Data'!$E$6:$E$205,1)))</f>
        <v>#N/A</v>
      </c>
      <c r="S403" s="21">
        <f t="shared" si="131"/>
        <v>8.2185565114172965E-2</v>
      </c>
      <c r="T403" s="8">
        <f t="shared" si="134"/>
        <v>2.7183084808176661E-3</v>
      </c>
      <c r="U403" s="21">
        <f t="shared" si="144"/>
        <v>3.2258254331972352E-2</v>
      </c>
      <c r="V403" s="21">
        <f t="shared" si="145"/>
        <v>0.162445786370046</v>
      </c>
      <c r="W403" s="21">
        <f t="shared" si="146"/>
        <v>3.2258254331972352E-2</v>
      </c>
      <c r="Y403" s="23">
        <f t="shared" si="135"/>
        <v>7.5014177056075201E-3</v>
      </c>
      <c r="Z403" s="6">
        <f t="shared" si="136"/>
        <v>2.4756836626364832E-2</v>
      </c>
      <c r="AA403" s="6">
        <f t="shared" si="137"/>
        <v>0.96774174566802762</v>
      </c>
      <c r="AB403" s="6">
        <f t="shared" si="138"/>
        <v>1</v>
      </c>
    </row>
    <row r="404" spans="1:28" x14ac:dyDescent="0.35">
      <c r="A404">
        <v>395</v>
      </c>
      <c r="B404" s="17">
        <f t="shared" si="139"/>
        <v>11992.375</v>
      </c>
      <c r="C404" s="17">
        <f t="shared" si="132"/>
        <v>12022.8125</v>
      </c>
      <c r="D404" s="17">
        <f t="shared" si="140"/>
        <v>12007.59375</v>
      </c>
      <c r="E404" s="17">
        <f t="shared" si="126"/>
        <v>394.5</v>
      </c>
      <c r="F404" s="17">
        <f t="shared" si="127"/>
        <v>92.875</v>
      </c>
      <c r="G404" s="21">
        <f>INDEX('Life Tables'!$F$8:$F$123,MATCH(Engine!F404,'Life Tables'!$B$8:$B$123,1))</f>
        <v>1.7804831133534038E-2</v>
      </c>
      <c r="H404" s="8">
        <f t="shared" si="128"/>
        <v>0.33258970860678427</v>
      </c>
      <c r="I404">
        <f t="shared" si="129"/>
        <v>1</v>
      </c>
      <c r="K404" s="22" t="e">
        <f>$I404*IF($E404&gt;_xlfn.AGGREGATE(4,6,'KM Data'!$B$6:$B$310),NA(),INDEX('KM Data'!$C$6:$C$310,MATCH($E404,'KM Data'!$B$6:$B$310,1)))</f>
        <v>#N/A</v>
      </c>
      <c r="L404" s="21">
        <f t="shared" si="130"/>
        <v>1.4969956652476135E-2</v>
      </c>
      <c r="M404" s="20">
        <f t="shared" si="133"/>
        <v>4.2138883554703188E-3</v>
      </c>
      <c r="N404" s="21">
        <f t="shared" si="141"/>
        <v>7.3678562300970758E-3</v>
      </c>
      <c r="O404" s="21">
        <f t="shared" si="142"/>
        <v>0.1595534665753732</v>
      </c>
      <c r="P404" s="21">
        <f t="shared" si="143"/>
        <v>7.3678562300970758E-3</v>
      </c>
      <c r="R404" s="22" t="e">
        <f>$I404*IF($E404&gt;_xlfn.AGGREGATE(4,6,'KM Data'!$E$6:$E$205),NA(),INDEX('KM Data'!$F$6:$F$205,MATCH($E404,'KM Data'!$E$6:$E$205,1)))</f>
        <v>#N/A</v>
      </c>
      <c r="S404" s="21">
        <f t="shared" si="131"/>
        <v>8.1962159395522316E-2</v>
      </c>
      <c r="T404" s="8">
        <f t="shared" si="134"/>
        <v>2.7132516210627289E-3</v>
      </c>
      <c r="U404" s="21">
        <f t="shared" si="144"/>
        <v>3.1683901560928991E-2</v>
      </c>
      <c r="V404" s="21">
        <f t="shared" si="145"/>
        <v>0.1595534665753732</v>
      </c>
      <c r="W404" s="21">
        <f t="shared" si="146"/>
        <v>3.1683901560928991E-2</v>
      </c>
      <c r="Y404" s="23">
        <f t="shared" si="135"/>
        <v>7.3678562300970758E-3</v>
      </c>
      <c r="Z404" s="6">
        <f t="shared" si="136"/>
        <v>2.4316045330831915E-2</v>
      </c>
      <c r="AA404" s="6">
        <f t="shared" si="137"/>
        <v>0.96831609843907096</v>
      </c>
      <c r="AB404" s="6">
        <f t="shared" si="138"/>
        <v>1</v>
      </c>
    </row>
    <row r="405" spans="1:28" x14ac:dyDescent="0.35">
      <c r="A405">
        <v>396</v>
      </c>
      <c r="B405" s="17">
        <f t="shared" si="139"/>
        <v>12022.8125</v>
      </c>
      <c r="C405" s="17">
        <f t="shared" si="132"/>
        <v>12053.25</v>
      </c>
      <c r="D405" s="17">
        <f t="shared" si="140"/>
        <v>12038.03125</v>
      </c>
      <c r="E405" s="17">
        <f t="shared" si="126"/>
        <v>395.5</v>
      </c>
      <c r="F405" s="17">
        <f t="shared" si="127"/>
        <v>92.958333333333343</v>
      </c>
      <c r="G405" s="21">
        <f>INDEX('Life Tables'!$F$8:$F$123,MATCH(Engine!F405,'Life Tables'!$B$8:$B$123,1))</f>
        <v>1.7804831133534038E-2</v>
      </c>
      <c r="H405" s="8">
        <f t="shared" si="128"/>
        <v>0.32134271362974326</v>
      </c>
      <c r="I405">
        <f t="shared" si="129"/>
        <v>1</v>
      </c>
      <c r="K405" s="22" t="e">
        <f>$I405*IF($E405&gt;_xlfn.AGGREGATE(4,6,'KM Data'!$B$6:$B$310),NA(),INDEX('KM Data'!$C$6:$C$310,MATCH($E405,'KM Data'!$B$6:$B$310,1)))</f>
        <v>#N/A</v>
      </c>
      <c r="L405" s="21">
        <f t="shared" si="130"/>
        <v>1.490687492645637E-2</v>
      </c>
      <c r="M405" s="20">
        <f t="shared" si="133"/>
        <v>4.2057517117985999E-3</v>
      </c>
      <c r="N405" s="21">
        <f t="shared" si="141"/>
        <v>7.2366727941040408E-3</v>
      </c>
      <c r="O405" s="21">
        <f t="shared" si="142"/>
        <v>0.1567126440462287</v>
      </c>
      <c r="P405" s="21">
        <f t="shared" si="143"/>
        <v>7.2366727941040408E-3</v>
      </c>
      <c r="R405" s="22" t="e">
        <f>$I405*IF($E405&gt;_xlfn.AGGREGATE(4,6,'KM Data'!$E$6:$E$205),NA(),INDEX('KM Data'!$F$6:$F$205,MATCH($E405,'KM Data'!$E$6:$E$205,1)))</f>
        <v>#N/A</v>
      </c>
      <c r="S405" s="21">
        <f t="shared" si="131"/>
        <v>8.1739775433676609E-2</v>
      </c>
      <c r="T405" s="8">
        <f t="shared" si="134"/>
        <v>2.7082159790057236E-3</v>
      </c>
      <c r="U405" s="21">
        <f t="shared" si="144"/>
        <v>3.1119775043985134E-2</v>
      </c>
      <c r="V405" s="21">
        <f t="shared" si="145"/>
        <v>0.1567126440462287</v>
      </c>
      <c r="W405" s="21">
        <f t="shared" si="146"/>
        <v>3.1119775043985134E-2</v>
      </c>
      <c r="Y405" s="23">
        <f t="shared" si="135"/>
        <v>7.2366727941040408E-3</v>
      </c>
      <c r="Z405" s="6">
        <f t="shared" si="136"/>
        <v>2.3883102249881091E-2</v>
      </c>
      <c r="AA405" s="6">
        <f t="shared" si="137"/>
        <v>0.96888022495601489</v>
      </c>
      <c r="AB405" s="6">
        <f t="shared" si="138"/>
        <v>1</v>
      </c>
    </row>
    <row r="406" spans="1:28" x14ac:dyDescent="0.35">
      <c r="A406">
        <v>397</v>
      </c>
      <c r="B406" s="17">
        <f t="shared" si="139"/>
        <v>12053.25</v>
      </c>
      <c r="C406" s="17">
        <f t="shared" si="132"/>
        <v>12083.6875</v>
      </c>
      <c r="D406" s="17">
        <f t="shared" si="140"/>
        <v>12068.46875</v>
      </c>
      <c r="E406" s="17">
        <f t="shared" si="126"/>
        <v>396.5</v>
      </c>
      <c r="F406" s="17">
        <f t="shared" si="127"/>
        <v>93.041666666666657</v>
      </c>
      <c r="G406" s="21">
        <f>INDEX('Life Tables'!$F$8:$F$123,MATCH(Engine!F406,'Life Tables'!$B$8:$B$123,1))</f>
        <v>1.9790592061666334E-2</v>
      </c>
      <c r="H406" s="8">
        <f t="shared" si="128"/>
        <v>0.32134271362974326</v>
      </c>
      <c r="I406">
        <f t="shared" si="129"/>
        <v>1</v>
      </c>
      <c r="K406" s="22" t="e">
        <f>$I406*IF($E406&gt;_xlfn.AGGREGATE(4,6,'KM Data'!$B$6:$B$310),NA(),INDEX('KM Data'!$C$6:$C$310,MATCH($E406,'KM Data'!$B$6:$B$310,1)))</f>
        <v>#N/A</v>
      </c>
      <c r="L406" s="21">
        <f t="shared" si="130"/>
        <v>1.4844180311716859E-2</v>
      </c>
      <c r="M406" s="20">
        <f t="shared" si="133"/>
        <v>4.1976499919912369E-3</v>
      </c>
      <c r="N406" s="21">
        <f t="shared" si="141"/>
        <v>7.1078250570363781E-3</v>
      </c>
      <c r="O406" s="21">
        <f t="shared" si="142"/>
        <v>0.15392240188249598</v>
      </c>
      <c r="P406" s="21">
        <f t="shared" si="143"/>
        <v>7.1078250570363781E-3</v>
      </c>
      <c r="R406" s="22" t="e">
        <f>$I406*IF($E406&gt;_xlfn.AGGREGATE(4,6,'KM Data'!$E$6:$E$205),NA(),INDEX('KM Data'!$F$6:$F$205,MATCH($E406,'KM Data'!$E$6:$E$205,1)))</f>
        <v>#N/A</v>
      </c>
      <c r="S406" s="21">
        <f t="shared" si="131"/>
        <v>8.1518406467726789E-2</v>
      </c>
      <c r="T406" s="8">
        <f t="shared" si="134"/>
        <v>2.7032014150647488E-3</v>
      </c>
      <c r="U406" s="21">
        <f t="shared" si="144"/>
        <v>3.0565692704413411E-2</v>
      </c>
      <c r="V406" s="21">
        <f t="shared" si="145"/>
        <v>0.15392240188249598</v>
      </c>
      <c r="W406" s="21">
        <f t="shared" si="146"/>
        <v>3.0565692704413411E-2</v>
      </c>
      <c r="Y406" s="23">
        <f t="shared" si="135"/>
        <v>7.1078250570363781E-3</v>
      </c>
      <c r="Z406" s="6">
        <f t="shared" si="136"/>
        <v>2.3457867647377034E-2</v>
      </c>
      <c r="AA406" s="6">
        <f t="shared" si="137"/>
        <v>0.96943430729558655</v>
      </c>
      <c r="AB406" s="6">
        <f t="shared" si="138"/>
        <v>1</v>
      </c>
    </row>
    <row r="407" spans="1:28" x14ac:dyDescent="0.35">
      <c r="A407">
        <v>398</v>
      </c>
      <c r="B407" s="17">
        <f t="shared" si="139"/>
        <v>12083.6875</v>
      </c>
      <c r="C407" s="17">
        <f t="shared" si="132"/>
        <v>12114.125</v>
      </c>
      <c r="D407" s="17">
        <f t="shared" si="140"/>
        <v>12098.90625</v>
      </c>
      <c r="E407" s="17">
        <f t="shared" si="126"/>
        <v>397.5</v>
      </c>
      <c r="F407" s="17">
        <f t="shared" si="127"/>
        <v>93.125</v>
      </c>
      <c r="G407" s="21">
        <f>INDEX('Life Tables'!$F$8:$F$123,MATCH(Engine!F407,'Life Tables'!$B$8:$B$123,1))</f>
        <v>1.9790592061666334E-2</v>
      </c>
      <c r="H407" s="8">
        <f t="shared" si="128"/>
        <v>0.32134271362974326</v>
      </c>
      <c r="I407">
        <f t="shared" si="129"/>
        <v>1</v>
      </c>
      <c r="K407" s="22" t="e">
        <f>$I407*IF($E407&gt;_xlfn.AGGREGATE(4,6,'KM Data'!$B$6:$B$310),NA(),INDEX('KM Data'!$C$6:$C$310,MATCH($E407,'KM Data'!$B$6:$B$310,1)))</f>
        <v>#N/A</v>
      </c>
      <c r="L407" s="21">
        <f t="shared" si="130"/>
        <v>1.4781869638350265E-2</v>
      </c>
      <c r="M407" s="20">
        <f t="shared" si="133"/>
        <v>4.1895829624027936E-3</v>
      </c>
      <c r="N407" s="21">
        <f t="shared" si="141"/>
        <v>6.9671569908868808E-3</v>
      </c>
      <c r="O407" s="21">
        <f t="shared" si="142"/>
        <v>0.15087618641768763</v>
      </c>
      <c r="P407" s="21">
        <f t="shared" si="143"/>
        <v>6.9671569908868808E-3</v>
      </c>
      <c r="R407" s="22" t="e">
        <f>$I407*IF($E407&gt;_xlfn.AGGREGATE(4,6,'KM Data'!$E$6:$E$205),NA(),INDEX('KM Data'!$F$6:$F$205,MATCH($E407,'KM Data'!$E$6:$E$205,1)))</f>
        <v>#N/A</v>
      </c>
      <c r="S407" s="21">
        <f t="shared" si="131"/>
        <v>8.1298045796009411E-2</v>
      </c>
      <c r="T407" s="8">
        <f t="shared" si="134"/>
        <v>2.6982077909118996E-3</v>
      </c>
      <c r="U407" s="21">
        <f t="shared" si="144"/>
        <v>2.9960779549018116E-2</v>
      </c>
      <c r="V407" s="21">
        <f t="shared" si="145"/>
        <v>0.15087618641768763</v>
      </c>
      <c r="W407" s="21">
        <f t="shared" si="146"/>
        <v>2.9960779549018116E-2</v>
      </c>
      <c r="Y407" s="23">
        <f t="shared" si="135"/>
        <v>6.9671569908868808E-3</v>
      </c>
      <c r="Z407" s="6">
        <f t="shared" si="136"/>
        <v>2.2993622558131234E-2</v>
      </c>
      <c r="AA407" s="6">
        <f t="shared" si="137"/>
        <v>0.9700392204509819</v>
      </c>
      <c r="AB407" s="6">
        <f t="shared" si="138"/>
        <v>1</v>
      </c>
    </row>
    <row r="408" spans="1:28" x14ac:dyDescent="0.35">
      <c r="A408">
        <v>399</v>
      </c>
      <c r="B408" s="17">
        <f t="shared" si="139"/>
        <v>12114.125</v>
      </c>
      <c r="C408" s="17">
        <f t="shared" si="132"/>
        <v>12144.5625</v>
      </c>
      <c r="D408" s="17">
        <f t="shared" si="140"/>
        <v>12129.34375</v>
      </c>
      <c r="E408" s="17">
        <f t="shared" si="126"/>
        <v>398.5</v>
      </c>
      <c r="F408" s="17">
        <f t="shared" si="127"/>
        <v>93.208333333333343</v>
      </c>
      <c r="G408" s="21">
        <f>INDEX('Life Tables'!$F$8:$F$123,MATCH(Engine!F408,'Life Tables'!$B$8:$B$123,1))</f>
        <v>1.9790592061666334E-2</v>
      </c>
      <c r="H408" s="8">
        <f t="shared" si="128"/>
        <v>0.32134271362974326</v>
      </c>
      <c r="I408">
        <f t="shared" si="129"/>
        <v>1</v>
      </c>
      <c r="K408" s="22" t="e">
        <f>$I408*IF($E408&gt;_xlfn.AGGREGATE(4,6,'KM Data'!$B$6:$B$310),NA(),INDEX('KM Data'!$C$6:$C$310,MATCH($E408,'KM Data'!$B$6:$B$310,1)))</f>
        <v>#N/A</v>
      </c>
      <c r="L408" s="21">
        <f t="shared" si="130"/>
        <v>1.4719939769160972E-2</v>
      </c>
      <c r="M408" s="20">
        <f t="shared" si="133"/>
        <v>4.1815503914974794E-3</v>
      </c>
      <c r="N408" s="21">
        <f t="shared" si="141"/>
        <v>6.8292728290506519E-3</v>
      </c>
      <c r="O408" s="21">
        <f t="shared" si="142"/>
        <v>0.14789025736047526</v>
      </c>
      <c r="P408" s="21">
        <f t="shared" si="143"/>
        <v>6.8292728290506519E-3</v>
      </c>
      <c r="R408" s="22" t="e">
        <f>$I408*IF($E408&gt;_xlfn.AGGREGATE(4,6,'KM Data'!$E$6:$E$205),NA(),INDEX('KM Data'!$F$6:$F$205,MATCH($E408,'KM Data'!$E$6:$E$205,1)))</f>
        <v>#N/A</v>
      </c>
      <c r="S408" s="21">
        <f t="shared" si="131"/>
        <v>8.107868677545671E-2</v>
      </c>
      <c r="T408" s="8">
        <f t="shared" si="134"/>
        <v>2.6932349694549496E-3</v>
      </c>
      <c r="U408" s="21">
        <f t="shared" si="144"/>
        <v>2.9367837983113983E-2</v>
      </c>
      <c r="V408" s="21">
        <f t="shared" si="145"/>
        <v>0.14789025736047526</v>
      </c>
      <c r="W408" s="21">
        <f t="shared" si="146"/>
        <v>2.9367837983113983E-2</v>
      </c>
      <c r="Y408" s="23">
        <f t="shared" si="135"/>
        <v>6.8292728290506519E-3</v>
      </c>
      <c r="Z408" s="6">
        <f t="shared" si="136"/>
        <v>2.2538565154063332E-2</v>
      </c>
      <c r="AA408" s="6">
        <f t="shared" si="137"/>
        <v>0.97063216201688607</v>
      </c>
      <c r="AB408" s="6">
        <f t="shared" si="138"/>
        <v>1</v>
      </c>
    </row>
    <row r="409" spans="1:28" x14ac:dyDescent="0.35">
      <c r="A409">
        <v>400</v>
      </c>
      <c r="B409" s="17">
        <f t="shared" si="139"/>
        <v>12144.5625</v>
      </c>
      <c r="C409" s="17">
        <f t="shared" si="132"/>
        <v>12175</v>
      </c>
      <c r="D409" s="17">
        <f t="shared" si="140"/>
        <v>12159.78125</v>
      </c>
      <c r="E409" s="17">
        <f t="shared" si="126"/>
        <v>399.5</v>
      </c>
      <c r="F409" s="17">
        <f t="shared" si="127"/>
        <v>93.291666666666657</v>
      </c>
      <c r="G409" s="21">
        <f>INDEX('Life Tables'!$F$8:$F$123,MATCH(Engine!F409,'Life Tables'!$B$8:$B$123,1))</f>
        <v>1.9790592061666334E-2</v>
      </c>
      <c r="H409" s="8">
        <f t="shared" si="128"/>
        <v>0.32134271362974326</v>
      </c>
      <c r="I409">
        <f t="shared" si="129"/>
        <v>1</v>
      </c>
      <c r="K409" s="22" t="e">
        <f>$I409*IF($E409&gt;_xlfn.AGGREGATE(4,6,'KM Data'!$B$6:$B$310),NA(),INDEX('KM Data'!$C$6:$C$310,MATCH($E409,'KM Data'!$B$6:$B$310,1)))</f>
        <v>#N/A</v>
      </c>
      <c r="L409" s="21">
        <f t="shared" si="130"/>
        <v>1.4658387599256417E-2</v>
      </c>
      <c r="M409" s="20">
        <f t="shared" si="133"/>
        <v>4.17355204987091E-3</v>
      </c>
      <c r="N409" s="21">
        <f t="shared" si="141"/>
        <v>6.6941174764130881E-3</v>
      </c>
      <c r="O409" s="21">
        <f t="shared" si="142"/>
        <v>0.14496342160715925</v>
      </c>
      <c r="P409" s="21">
        <f t="shared" si="143"/>
        <v>6.6941174764130881E-3</v>
      </c>
      <c r="R409" s="22" t="e">
        <f>$I409*IF($E409&gt;_xlfn.AGGREGATE(4,6,'KM Data'!$E$6:$E$205),NA(),INDEX('KM Data'!$F$6:$F$205,MATCH($E409,'KM Data'!$E$6:$E$205,1)))</f>
        <v>#N/A</v>
      </c>
      <c r="S409" s="21">
        <f t="shared" si="131"/>
        <v>8.0860322820955566E-2</v>
      </c>
      <c r="T409" s="8">
        <f t="shared" si="134"/>
        <v>2.6882828148319104E-3</v>
      </c>
      <c r="U409" s="21">
        <f t="shared" si="144"/>
        <v>2.8786631081857066E-2</v>
      </c>
      <c r="V409" s="21">
        <f t="shared" si="145"/>
        <v>0.14496342160715925</v>
      </c>
      <c r="W409" s="21">
        <f t="shared" si="146"/>
        <v>2.8786631081857066E-2</v>
      </c>
      <c r="Y409" s="23">
        <f t="shared" si="135"/>
        <v>6.6941174764130881E-3</v>
      </c>
      <c r="Z409" s="6">
        <f t="shared" si="136"/>
        <v>2.2092513605443977E-2</v>
      </c>
      <c r="AA409" s="6">
        <f t="shared" si="137"/>
        <v>0.97121336891814292</v>
      </c>
      <c r="AB409" s="6">
        <f t="shared" si="138"/>
        <v>1</v>
      </c>
    </row>
    <row r="410" spans="1:28" x14ac:dyDescent="0.35">
      <c r="A410">
        <v>401</v>
      </c>
      <c r="B410" s="17">
        <f t="shared" si="139"/>
        <v>12175</v>
      </c>
      <c r="C410" s="17">
        <f t="shared" si="132"/>
        <v>12205.4375</v>
      </c>
      <c r="D410" s="17">
        <f t="shared" si="140"/>
        <v>12190.21875</v>
      </c>
      <c r="E410" s="17">
        <f t="shared" si="126"/>
        <v>400.5</v>
      </c>
      <c r="F410" s="17">
        <f t="shared" si="127"/>
        <v>93.375</v>
      </c>
      <c r="G410" s="21">
        <f>INDEX('Life Tables'!$F$8:$F$123,MATCH(Engine!F410,'Life Tables'!$B$8:$B$123,1))</f>
        <v>1.9790592061666334E-2</v>
      </c>
      <c r="H410" s="8">
        <f t="shared" si="128"/>
        <v>0.32134271362974326</v>
      </c>
      <c r="I410">
        <f t="shared" si="129"/>
        <v>1</v>
      </c>
      <c r="K410" s="22" t="e">
        <f>$I410*IF($E410&gt;_xlfn.AGGREGATE(4,6,'KM Data'!$B$6:$B$310),NA(),INDEX('KM Data'!$C$6:$C$310,MATCH($E410,'KM Data'!$B$6:$B$310,1)))</f>
        <v>#N/A</v>
      </c>
      <c r="L410" s="21">
        <f t="shared" si="130"/>
        <v>1.4597210055643739E-2</v>
      </c>
      <c r="M410" s="20">
        <f t="shared" si="133"/>
        <v>4.1655877101526295E-3</v>
      </c>
      <c r="N410" s="21">
        <f t="shared" si="141"/>
        <v>6.5616369282245251E-3</v>
      </c>
      <c r="O410" s="21">
        <f t="shared" si="142"/>
        <v>0.1420945096662686</v>
      </c>
      <c r="P410" s="21">
        <f t="shared" si="143"/>
        <v>6.5616369282245251E-3</v>
      </c>
      <c r="R410" s="22" t="e">
        <f>$I410*IF($E410&gt;_xlfn.AGGREGATE(4,6,'KM Data'!$E$6:$E$205),NA(),INDEX('KM Data'!$F$6:$F$205,MATCH($E410,'KM Data'!$E$6:$E$205,1)))</f>
        <v>#N/A</v>
      </c>
      <c r="S410" s="21">
        <f t="shared" si="131"/>
        <v>8.0642947404714227E-2</v>
      </c>
      <c r="T410" s="8">
        <f t="shared" si="134"/>
        <v>2.6833511923806119E-3</v>
      </c>
      <c r="U410" s="21">
        <f t="shared" si="144"/>
        <v>2.8216926609286347E-2</v>
      </c>
      <c r="V410" s="21">
        <f t="shared" si="145"/>
        <v>0.1420945096662686</v>
      </c>
      <c r="W410" s="21">
        <f t="shared" si="146"/>
        <v>2.8216926609286347E-2</v>
      </c>
      <c r="Y410" s="23">
        <f t="shared" si="135"/>
        <v>6.5616369282245251E-3</v>
      </c>
      <c r="Z410" s="6">
        <f t="shared" si="136"/>
        <v>2.1655289681061823E-2</v>
      </c>
      <c r="AA410" s="6">
        <f t="shared" si="137"/>
        <v>0.97178307339071368</v>
      </c>
      <c r="AB410" s="6">
        <f t="shared" si="138"/>
        <v>1</v>
      </c>
    </row>
    <row r="411" spans="1:28" x14ac:dyDescent="0.35">
      <c r="A411">
        <v>402</v>
      </c>
      <c r="B411" s="17">
        <f t="shared" si="139"/>
        <v>12205.4375</v>
      </c>
      <c r="C411" s="17">
        <f t="shared" si="132"/>
        <v>12235.875</v>
      </c>
      <c r="D411" s="17">
        <f t="shared" si="140"/>
        <v>12220.65625</v>
      </c>
      <c r="E411" s="17">
        <f t="shared" si="126"/>
        <v>401.5</v>
      </c>
      <c r="F411" s="17">
        <f t="shared" si="127"/>
        <v>93.458333333333343</v>
      </c>
      <c r="G411" s="21">
        <f>INDEX('Life Tables'!$F$8:$F$123,MATCH(Engine!F411,'Life Tables'!$B$8:$B$123,1))</f>
        <v>1.9790592061666334E-2</v>
      </c>
      <c r="H411" s="8">
        <f t="shared" si="128"/>
        <v>0.32134271362974326</v>
      </c>
      <c r="I411">
        <f t="shared" si="129"/>
        <v>1</v>
      </c>
      <c r="K411" s="22" t="e">
        <f>$I411*IF($E411&gt;_xlfn.AGGREGATE(4,6,'KM Data'!$B$6:$B$310),NA(),INDEX('KM Data'!$C$6:$C$310,MATCH($E411,'KM Data'!$B$6:$B$310,1)))</f>
        <v>#N/A</v>
      </c>
      <c r="L411" s="21">
        <f t="shared" si="130"/>
        <v>1.4536404096833433E-2</v>
      </c>
      <c r="M411" s="20">
        <f t="shared" si="133"/>
        <v>4.1576571470536283E-3</v>
      </c>
      <c r="N411" s="21">
        <f t="shared" si="141"/>
        <v>6.4317782485212678E-3</v>
      </c>
      <c r="O411" s="21">
        <f t="shared" si="142"/>
        <v>0.13928237519126097</v>
      </c>
      <c r="P411" s="21">
        <f t="shared" si="143"/>
        <v>6.4317782485212678E-3</v>
      </c>
      <c r="R411" s="22" t="e">
        <f>$I411*IF($E411&gt;_xlfn.AGGREGATE(4,6,'KM Data'!$E$6:$E$205),NA(),INDEX('KM Data'!$F$6:$F$205,MATCH($E411,'KM Data'!$E$6:$E$205,1)))</f>
        <v>#N/A</v>
      </c>
      <c r="S411" s="21">
        <f t="shared" si="131"/>
        <v>8.0426554055638699E-2</v>
      </c>
      <c r="T411" s="8">
        <f t="shared" si="134"/>
        <v>2.6784399686492488E-3</v>
      </c>
      <c r="U411" s="21">
        <f t="shared" si="144"/>
        <v>2.7658496925527982E-2</v>
      </c>
      <c r="V411" s="21">
        <f t="shared" si="145"/>
        <v>0.13928237519126097</v>
      </c>
      <c r="W411" s="21">
        <f t="shared" si="146"/>
        <v>2.7658496925527982E-2</v>
      </c>
      <c r="Y411" s="23">
        <f t="shared" si="135"/>
        <v>6.4317782485212678E-3</v>
      </c>
      <c r="Z411" s="6">
        <f t="shared" si="136"/>
        <v>2.1226718677006713E-2</v>
      </c>
      <c r="AA411" s="6">
        <f t="shared" si="137"/>
        <v>0.97234150307447198</v>
      </c>
      <c r="AB411" s="6">
        <f t="shared" si="138"/>
        <v>1</v>
      </c>
    </row>
    <row r="412" spans="1:28" x14ac:dyDescent="0.35">
      <c r="A412">
        <v>403</v>
      </c>
      <c r="B412" s="17">
        <f t="shared" si="139"/>
        <v>12235.875</v>
      </c>
      <c r="C412" s="17">
        <f t="shared" si="132"/>
        <v>12266.3125</v>
      </c>
      <c r="D412" s="17">
        <f t="shared" si="140"/>
        <v>12251.09375</v>
      </c>
      <c r="E412" s="17">
        <f t="shared" si="126"/>
        <v>402.5</v>
      </c>
      <c r="F412" s="17">
        <f t="shared" si="127"/>
        <v>93.541666666666657</v>
      </c>
      <c r="G412" s="21">
        <f>INDEX('Life Tables'!$F$8:$F$123,MATCH(Engine!F412,'Life Tables'!$B$8:$B$123,1))</f>
        <v>1.9790592061666334E-2</v>
      </c>
      <c r="H412" s="8">
        <f t="shared" si="128"/>
        <v>0.32134271362974326</v>
      </c>
      <c r="I412">
        <f t="shared" si="129"/>
        <v>1</v>
      </c>
      <c r="K412" s="22" t="e">
        <f>$I412*IF($E412&gt;_xlfn.AGGREGATE(4,6,'KM Data'!$B$6:$B$310),NA(),INDEX('KM Data'!$C$6:$C$310,MATCH($E412,'KM Data'!$B$6:$B$310,1)))</f>
        <v>#N/A</v>
      </c>
      <c r="L412" s="21">
        <f t="shared" si="130"/>
        <v>1.4475966712447774E-2</v>
      </c>
      <c r="M412" s="20">
        <f t="shared" si="133"/>
        <v>4.1497601373158277E-3</v>
      </c>
      <c r="N412" s="21">
        <f t="shared" si="141"/>
        <v>6.3044895489736841E-3</v>
      </c>
      <c r="O412" s="21">
        <f t="shared" si="142"/>
        <v>0.13652589452247077</v>
      </c>
      <c r="P412" s="21">
        <f t="shared" si="143"/>
        <v>6.3044895489736841E-3</v>
      </c>
      <c r="R412" s="22" t="e">
        <f>$I412*IF($E412&gt;_xlfn.AGGREGATE(4,6,'KM Data'!$E$6:$E$205),NA(),INDEX('KM Data'!$F$6:$F$205,MATCH($E412,'KM Data'!$E$6:$E$205,1)))</f>
        <v>#N/A</v>
      </c>
      <c r="S412" s="21">
        <f t="shared" si="131"/>
        <v>8.0211136358715351E-2</v>
      </c>
      <c r="T412" s="8">
        <f t="shared" si="134"/>
        <v>2.6735490113591887E-3</v>
      </c>
      <c r="U412" s="21">
        <f t="shared" si="144"/>
        <v>2.7111118895836006E-2</v>
      </c>
      <c r="V412" s="21">
        <f t="shared" si="145"/>
        <v>0.13652589452247077</v>
      </c>
      <c r="W412" s="21">
        <f t="shared" si="146"/>
        <v>2.7111118895836006E-2</v>
      </c>
      <c r="Y412" s="23">
        <f t="shared" si="135"/>
        <v>6.3044895489736841E-3</v>
      </c>
      <c r="Z412" s="6">
        <f t="shared" si="136"/>
        <v>2.0806629346862324E-2</v>
      </c>
      <c r="AA412" s="6">
        <f t="shared" si="137"/>
        <v>0.97288888110416405</v>
      </c>
      <c r="AB412" s="6">
        <f t="shared" si="138"/>
        <v>1</v>
      </c>
    </row>
    <row r="413" spans="1:28" x14ac:dyDescent="0.35">
      <c r="A413">
        <v>404</v>
      </c>
      <c r="B413" s="17">
        <f t="shared" si="139"/>
        <v>12266.3125</v>
      </c>
      <c r="C413" s="17">
        <f t="shared" si="132"/>
        <v>12296.75</v>
      </c>
      <c r="D413" s="17">
        <f t="shared" si="140"/>
        <v>12281.53125</v>
      </c>
      <c r="E413" s="17">
        <f t="shared" si="126"/>
        <v>403.5</v>
      </c>
      <c r="F413" s="17">
        <f t="shared" si="127"/>
        <v>93.625</v>
      </c>
      <c r="G413" s="21">
        <f>INDEX('Life Tables'!$F$8:$F$123,MATCH(Engine!F413,'Life Tables'!$B$8:$B$123,1))</f>
        <v>1.9790592061666334E-2</v>
      </c>
      <c r="H413" s="8">
        <f t="shared" si="128"/>
        <v>0.32134271362974326</v>
      </c>
      <c r="I413">
        <f t="shared" si="129"/>
        <v>1</v>
      </c>
      <c r="K413" s="22" t="e">
        <f>$I413*IF($E413&gt;_xlfn.AGGREGATE(4,6,'KM Data'!$B$6:$B$310),NA(),INDEX('KM Data'!$C$6:$C$310,MATCH($E413,'KM Data'!$B$6:$B$310,1)))</f>
        <v>#N/A</v>
      </c>
      <c r="L413" s="21">
        <f t="shared" si="130"/>
        <v>1.4415894922835348E-2</v>
      </c>
      <c r="M413" s="20">
        <f t="shared" si="133"/>
        <v>4.1418964596711128E-3</v>
      </c>
      <c r="N413" s="21">
        <f t="shared" si="141"/>
        <v>6.179719968152907E-3</v>
      </c>
      <c r="O413" s="21">
        <f t="shared" si="142"/>
        <v>0.13382396623812245</v>
      </c>
      <c r="P413" s="21">
        <f t="shared" si="143"/>
        <v>6.179719968152907E-3</v>
      </c>
      <c r="R413" s="22" t="e">
        <f>$I413*IF($E413&gt;_xlfn.AGGREGATE(4,6,'KM Data'!$E$6:$E$205),NA(),INDEX('KM Data'!$F$6:$F$205,MATCH($E413,'KM Data'!$E$6:$E$205,1)))</f>
        <v>#N/A</v>
      </c>
      <c r="S413" s="21">
        <f t="shared" si="131"/>
        <v>7.9996687954403511E-2</v>
      </c>
      <c r="T413" s="8">
        <f t="shared" si="134"/>
        <v>2.6686781894037503E-3</v>
      </c>
      <c r="U413" s="21">
        <f t="shared" si="144"/>
        <v>2.6574573801433181E-2</v>
      </c>
      <c r="V413" s="21">
        <f t="shared" si="145"/>
        <v>0.13382396623812245</v>
      </c>
      <c r="W413" s="21">
        <f t="shared" si="146"/>
        <v>2.6574573801433181E-2</v>
      </c>
      <c r="Y413" s="23">
        <f t="shared" si="135"/>
        <v>6.179719968152907E-3</v>
      </c>
      <c r="Z413" s="6">
        <f t="shared" si="136"/>
        <v>2.0394853833280276E-2</v>
      </c>
      <c r="AA413" s="6">
        <f t="shared" si="137"/>
        <v>0.97342542619856687</v>
      </c>
      <c r="AB413" s="6">
        <f t="shared" si="138"/>
        <v>1</v>
      </c>
    </row>
    <row r="414" spans="1:28" x14ac:dyDescent="0.35">
      <c r="A414">
        <v>405</v>
      </c>
      <c r="B414" s="17">
        <f t="shared" si="139"/>
        <v>12296.75</v>
      </c>
      <c r="C414" s="17">
        <f t="shared" si="132"/>
        <v>12327.1875</v>
      </c>
      <c r="D414" s="17">
        <f t="shared" si="140"/>
        <v>12311.96875</v>
      </c>
      <c r="E414" s="17">
        <f t="shared" si="126"/>
        <v>404.5</v>
      </c>
      <c r="F414" s="17">
        <f t="shared" si="127"/>
        <v>93.708333333333343</v>
      </c>
      <c r="G414" s="21">
        <f>INDEX('Life Tables'!$F$8:$F$123,MATCH(Engine!F414,'Life Tables'!$B$8:$B$123,1))</f>
        <v>1.9790592061666334E-2</v>
      </c>
      <c r="H414" s="8">
        <f t="shared" si="128"/>
        <v>0.32134271362974326</v>
      </c>
      <c r="I414">
        <f t="shared" si="129"/>
        <v>1</v>
      </c>
      <c r="K414" s="22" t="e">
        <f>$I414*IF($E414&gt;_xlfn.AGGREGATE(4,6,'KM Data'!$B$6:$B$310),NA(),INDEX('KM Data'!$C$6:$C$310,MATCH($E414,'KM Data'!$B$6:$B$310,1)))</f>
        <v>#N/A</v>
      </c>
      <c r="L414" s="21">
        <f t="shared" si="130"/>
        <v>1.4356185778691466E-2</v>
      </c>
      <c r="M414" s="20">
        <f t="shared" si="133"/>
        <v>4.1340658948473274E-3</v>
      </c>
      <c r="N414" s="21">
        <f t="shared" si="141"/>
        <v>6.057419651207859E-3</v>
      </c>
      <c r="O414" s="21">
        <f t="shared" si="142"/>
        <v>0.13117551071422956</v>
      </c>
      <c r="P414" s="21">
        <f t="shared" si="143"/>
        <v>6.057419651207859E-3</v>
      </c>
      <c r="R414" s="22" t="e">
        <f>$I414*IF($E414&gt;_xlfn.AGGREGATE(4,6,'KM Data'!$E$6:$E$205),NA(),INDEX('KM Data'!$F$6:$F$205,MATCH($E414,'KM Data'!$E$6:$E$205,1)))</f>
        <v>#N/A</v>
      </c>
      <c r="S414" s="21">
        <f t="shared" si="131"/>
        <v>7.9783202538035058E-2</v>
      </c>
      <c r="T414" s="8">
        <f t="shared" si="134"/>
        <v>2.6638273728365469E-3</v>
      </c>
      <c r="U414" s="21">
        <f t="shared" si="144"/>
        <v>2.6048647252116371E-2</v>
      </c>
      <c r="V414" s="21">
        <f t="shared" si="145"/>
        <v>0.13117551071422956</v>
      </c>
      <c r="W414" s="21">
        <f t="shared" si="146"/>
        <v>2.6048647252116371E-2</v>
      </c>
      <c r="Y414" s="23">
        <f t="shared" si="135"/>
        <v>6.057419651207859E-3</v>
      </c>
      <c r="Z414" s="6">
        <f t="shared" si="136"/>
        <v>1.9991227600908511E-2</v>
      </c>
      <c r="AA414" s="6">
        <f t="shared" si="137"/>
        <v>0.97395135274788358</v>
      </c>
      <c r="AB414" s="6">
        <f t="shared" si="138"/>
        <v>1</v>
      </c>
    </row>
    <row r="415" spans="1:28" x14ac:dyDescent="0.35">
      <c r="A415">
        <v>406</v>
      </c>
      <c r="B415" s="17">
        <f t="shared" si="139"/>
        <v>12327.1875</v>
      </c>
      <c r="C415" s="17">
        <f t="shared" si="132"/>
        <v>12357.625</v>
      </c>
      <c r="D415" s="17">
        <f t="shared" si="140"/>
        <v>12342.40625</v>
      </c>
      <c r="E415" s="17">
        <f t="shared" si="126"/>
        <v>405.5</v>
      </c>
      <c r="F415" s="17">
        <f t="shared" si="127"/>
        <v>93.791666666666657</v>
      </c>
      <c r="G415" s="21">
        <f>INDEX('Life Tables'!$F$8:$F$123,MATCH(Engine!F415,'Life Tables'!$B$8:$B$123,1))</f>
        <v>1.9790592061666334E-2</v>
      </c>
      <c r="H415" s="8">
        <f t="shared" si="128"/>
        <v>0.32134271362974326</v>
      </c>
      <c r="I415">
        <f t="shared" si="129"/>
        <v>1</v>
      </c>
      <c r="K415" s="22" t="e">
        <f>$I415*IF($E415&gt;_xlfn.AGGREGATE(4,6,'KM Data'!$B$6:$B$310),NA(),INDEX('KM Data'!$C$6:$C$310,MATCH($E415,'KM Data'!$B$6:$B$310,1)))</f>
        <v>#N/A</v>
      </c>
      <c r="L415" s="21">
        <f t="shared" si="130"/>
        <v>1.4296836360683685E-2</v>
      </c>
      <c r="M415" s="20">
        <f t="shared" si="133"/>
        <v>4.1262682255456262E-3</v>
      </c>
      <c r="N415" s="21">
        <f t="shared" si="141"/>
        <v>5.9375397299444828E-3</v>
      </c>
      <c r="O415" s="21">
        <f t="shared" si="142"/>
        <v>0.1285794696932035</v>
      </c>
      <c r="P415" s="21">
        <f t="shared" si="143"/>
        <v>5.9375397299444828E-3</v>
      </c>
      <c r="R415" s="22" t="e">
        <f>$I415*IF($E415&gt;_xlfn.AGGREGATE(4,6,'KM Data'!$E$6:$E$205),NA(),INDEX('KM Data'!$F$6:$F$205,MATCH($E415,'KM Data'!$E$6:$E$205,1)))</f>
        <v>#N/A</v>
      </c>
      <c r="S415" s="21">
        <f t="shared" si="131"/>
        <v>7.9570673859221674E-2</v>
      </c>
      <c r="T415" s="8">
        <f t="shared" si="134"/>
        <v>2.6589964328528337E-3</v>
      </c>
      <c r="U415" s="21">
        <f t="shared" si="144"/>
        <v>2.5533129100591488E-2</v>
      </c>
      <c r="V415" s="21">
        <f t="shared" si="145"/>
        <v>0.1285794696932035</v>
      </c>
      <c r="W415" s="21">
        <f t="shared" si="146"/>
        <v>2.5533129100591488E-2</v>
      </c>
      <c r="Y415" s="23">
        <f t="shared" si="135"/>
        <v>5.9375397299444828E-3</v>
      </c>
      <c r="Z415" s="6">
        <f t="shared" si="136"/>
        <v>1.9595589370647006E-2</v>
      </c>
      <c r="AA415" s="6">
        <f t="shared" si="137"/>
        <v>0.97446687089940853</v>
      </c>
      <c r="AB415" s="6">
        <f t="shared" si="138"/>
        <v>1</v>
      </c>
    </row>
    <row r="416" spans="1:28" x14ac:dyDescent="0.35">
      <c r="A416">
        <v>407</v>
      </c>
      <c r="B416" s="17">
        <f t="shared" si="139"/>
        <v>12357.625</v>
      </c>
      <c r="C416" s="17">
        <f t="shared" si="132"/>
        <v>12388.0625</v>
      </c>
      <c r="D416" s="17">
        <f t="shared" si="140"/>
        <v>12372.84375</v>
      </c>
      <c r="E416" s="17">
        <f t="shared" si="126"/>
        <v>406.5</v>
      </c>
      <c r="F416" s="17">
        <f t="shared" si="127"/>
        <v>93.875</v>
      </c>
      <c r="G416" s="21">
        <f>INDEX('Life Tables'!$F$8:$F$123,MATCH(Engine!F416,'Life Tables'!$B$8:$B$123,1))</f>
        <v>1.9790592061666334E-2</v>
      </c>
      <c r="H416" s="8">
        <f t="shared" si="128"/>
        <v>0.32134271362974326</v>
      </c>
      <c r="I416">
        <f t="shared" si="129"/>
        <v>1</v>
      </c>
      <c r="K416" s="22" t="e">
        <f>$I416*IF($E416&gt;_xlfn.AGGREGATE(4,6,'KM Data'!$B$6:$B$310),NA(),INDEX('KM Data'!$C$6:$C$310,MATCH($E416,'KM Data'!$B$6:$B$310,1)))</f>
        <v>#N/A</v>
      </c>
      <c r="L416" s="21">
        <f t="shared" si="130"/>
        <v>1.4237843779082771E-2</v>
      </c>
      <c r="M416" s="20">
        <f t="shared" si="133"/>
        <v>4.1185032363566521E-3</v>
      </c>
      <c r="N416" s="21">
        <f t="shared" si="141"/>
        <v>5.8200323032992149E-3</v>
      </c>
      <c r="O416" s="21">
        <f t="shared" si="142"/>
        <v>0.12603480586099991</v>
      </c>
      <c r="P416" s="21">
        <f t="shared" si="143"/>
        <v>5.8200323032992149E-3</v>
      </c>
      <c r="R416" s="22" t="e">
        <f>$I416*IF($E416&gt;_xlfn.AGGREGATE(4,6,'KM Data'!$E$6:$E$205),NA(),INDEX('KM Data'!$F$6:$F$205,MATCH($E416,'KM Data'!$E$6:$E$205,1)))</f>
        <v>#N/A</v>
      </c>
      <c r="S416" s="21">
        <f t="shared" si="131"/>
        <v>7.9359095721270312E-2</v>
      </c>
      <c r="T416" s="8">
        <f t="shared" si="134"/>
        <v>2.654185241777629E-3</v>
      </c>
      <c r="U416" s="21">
        <f t="shared" si="144"/>
        <v>2.502781335850382E-2</v>
      </c>
      <c r="V416" s="21">
        <f t="shared" si="145"/>
        <v>0.12603480586099991</v>
      </c>
      <c r="W416" s="21">
        <f t="shared" si="146"/>
        <v>2.502781335850382E-2</v>
      </c>
      <c r="Y416" s="23">
        <f t="shared" si="135"/>
        <v>5.8200323032992149E-3</v>
      </c>
      <c r="Z416" s="6">
        <f t="shared" si="136"/>
        <v>1.9207781055204605E-2</v>
      </c>
      <c r="AA416" s="6">
        <f t="shared" si="137"/>
        <v>0.97497218664149621</v>
      </c>
      <c r="AB416" s="6">
        <f t="shared" si="138"/>
        <v>1</v>
      </c>
    </row>
    <row r="417" spans="1:28" x14ac:dyDescent="0.35">
      <c r="A417">
        <v>408</v>
      </c>
      <c r="B417" s="17">
        <f t="shared" si="139"/>
        <v>12388.0625</v>
      </c>
      <c r="C417" s="17">
        <f t="shared" si="132"/>
        <v>12418.5</v>
      </c>
      <c r="D417" s="17">
        <f t="shared" si="140"/>
        <v>12403.28125</v>
      </c>
      <c r="E417" s="17">
        <f t="shared" si="126"/>
        <v>407.5</v>
      </c>
      <c r="F417" s="17">
        <f t="shared" si="127"/>
        <v>93.958333333333343</v>
      </c>
      <c r="G417" s="21">
        <f>INDEX('Life Tables'!$F$8:$F$123,MATCH(Engine!F417,'Life Tables'!$B$8:$B$123,1))</f>
        <v>1.9790592061666334E-2</v>
      </c>
      <c r="H417" s="8">
        <f t="shared" si="128"/>
        <v>0.3104760518161771</v>
      </c>
      <c r="I417">
        <f t="shared" si="129"/>
        <v>1</v>
      </c>
      <c r="K417" s="22" t="e">
        <f>$I417*IF($E417&gt;_xlfn.AGGREGATE(4,6,'KM Data'!$B$6:$B$310),NA(),INDEX('KM Data'!$C$6:$C$310,MATCH($E417,'KM Data'!$B$6:$B$310,1)))</f>
        <v>#N/A</v>
      </c>
      <c r="L417" s="21">
        <f t="shared" si="130"/>
        <v>1.4179205173399878E-2</v>
      </c>
      <c r="M417" s="20">
        <f t="shared" si="133"/>
        <v>4.1107707138502425E-3</v>
      </c>
      <c r="N417" s="21">
        <f t="shared" si="141"/>
        <v>5.7048504181989E-3</v>
      </c>
      <c r="O417" s="21">
        <f t="shared" si="142"/>
        <v>0.12354050243263355</v>
      </c>
      <c r="P417" s="21">
        <f t="shared" si="143"/>
        <v>5.7048504181989E-3</v>
      </c>
      <c r="R417" s="22" t="e">
        <f>$I417*IF($E417&gt;_xlfn.AGGREGATE(4,6,'KM Data'!$E$6:$E$205),NA(),INDEX('KM Data'!$F$6:$F$205,MATCH($E417,'KM Data'!$E$6:$E$205,1)))</f>
        <v>#N/A</v>
      </c>
      <c r="S417" s="21">
        <f t="shared" si="131"/>
        <v>7.91484619806061E-2</v>
      </c>
      <c r="T417" s="8">
        <f t="shared" si="134"/>
        <v>2.6493936730572765E-3</v>
      </c>
      <c r="U417" s="21">
        <f t="shared" si="144"/>
        <v>2.4532498114130146E-2</v>
      </c>
      <c r="V417" s="21">
        <f t="shared" si="145"/>
        <v>0.12354050243263355</v>
      </c>
      <c r="W417" s="21">
        <f t="shared" si="146"/>
        <v>2.4532498114130146E-2</v>
      </c>
      <c r="Y417" s="23">
        <f t="shared" si="135"/>
        <v>5.7048504181989E-3</v>
      </c>
      <c r="Z417" s="6">
        <f t="shared" si="136"/>
        <v>1.8827647695931246E-2</v>
      </c>
      <c r="AA417" s="6">
        <f t="shared" si="137"/>
        <v>0.97546750188586984</v>
      </c>
      <c r="AB417" s="6">
        <f t="shared" si="138"/>
        <v>1</v>
      </c>
    </row>
    <row r="418" spans="1:28" x14ac:dyDescent="0.35">
      <c r="A418">
        <v>409</v>
      </c>
      <c r="B418" s="17">
        <f t="shared" si="139"/>
        <v>12418.5</v>
      </c>
      <c r="C418" s="17">
        <f t="shared" si="132"/>
        <v>12448.9375</v>
      </c>
      <c r="D418" s="17">
        <f t="shared" si="140"/>
        <v>12433.71875</v>
      </c>
      <c r="E418" s="17">
        <f t="shared" si="126"/>
        <v>408.5</v>
      </c>
      <c r="F418" s="17">
        <f t="shared" si="127"/>
        <v>94.041666666666657</v>
      </c>
      <c r="G418" s="21">
        <f>INDEX('Life Tables'!$F$8:$F$123,MATCH(Engine!F418,'Life Tables'!$B$8:$B$123,1))</f>
        <v>2.2129698849874591E-2</v>
      </c>
      <c r="H418" s="8">
        <f t="shared" si="128"/>
        <v>0.3104760518161771</v>
      </c>
      <c r="I418">
        <f t="shared" si="129"/>
        <v>1</v>
      </c>
      <c r="K418" s="22" t="e">
        <f>$I418*IF($E418&gt;_xlfn.AGGREGATE(4,6,'KM Data'!$B$6:$B$310),NA(),INDEX('KM Data'!$C$6:$C$310,MATCH($E418,'KM Data'!$B$6:$B$310,1)))</f>
        <v>#N/A</v>
      </c>
      <c r="L418" s="21">
        <f t="shared" si="130"/>
        <v>1.4120917712027392E-2</v>
      </c>
      <c r="M418" s="20">
        <f t="shared" si="133"/>
        <v>4.1030704464648515E-3</v>
      </c>
      <c r="N418" s="21">
        <f t="shared" si="141"/>
        <v>5.5919480507994994E-3</v>
      </c>
      <c r="O418" s="21">
        <f t="shared" si="142"/>
        <v>0.121095562745896</v>
      </c>
      <c r="P418" s="21">
        <f t="shared" si="143"/>
        <v>5.5919480507994994E-3</v>
      </c>
      <c r="R418" s="22" t="e">
        <f>$I418*IF($E418&gt;_xlfn.AGGREGATE(4,6,'KM Data'!$E$6:$E$205),NA(),INDEX('KM Data'!$F$6:$F$205,MATCH($E418,'KM Data'!$E$6:$E$205,1)))</f>
        <v>#N/A</v>
      </c>
      <c r="S418" s="21">
        <f t="shared" si="131"/>
        <v>7.8938766546202466E-2</v>
      </c>
      <c r="T418" s="8">
        <f t="shared" si="134"/>
        <v>2.6446216012441237E-3</v>
      </c>
      <c r="U418" s="21">
        <f t="shared" si="144"/>
        <v>2.4046985451699799E-2</v>
      </c>
      <c r="V418" s="21">
        <f t="shared" si="145"/>
        <v>0.121095562745896</v>
      </c>
      <c r="W418" s="21">
        <f t="shared" si="146"/>
        <v>2.4046985451699799E-2</v>
      </c>
      <c r="Y418" s="23">
        <f t="shared" si="135"/>
        <v>5.5919480507994994E-3</v>
      </c>
      <c r="Z418" s="6">
        <f t="shared" si="136"/>
        <v>1.84550374009003E-2</v>
      </c>
      <c r="AA418" s="6">
        <f t="shared" si="137"/>
        <v>0.97595301454830019</v>
      </c>
      <c r="AB418" s="6">
        <f t="shared" si="138"/>
        <v>1</v>
      </c>
    </row>
    <row r="419" spans="1:28" x14ac:dyDescent="0.35">
      <c r="A419">
        <v>410</v>
      </c>
      <c r="B419" s="17">
        <f t="shared" si="139"/>
        <v>12448.9375</v>
      </c>
      <c r="C419" s="17">
        <f t="shared" si="132"/>
        <v>12479.375</v>
      </c>
      <c r="D419" s="17">
        <f t="shared" si="140"/>
        <v>12464.15625</v>
      </c>
      <c r="E419" s="17">
        <f t="shared" si="126"/>
        <v>409.5</v>
      </c>
      <c r="F419" s="17">
        <f t="shared" si="127"/>
        <v>94.125</v>
      </c>
      <c r="G419" s="21">
        <f>INDEX('Life Tables'!$F$8:$F$123,MATCH(Engine!F419,'Life Tables'!$B$8:$B$123,1))</f>
        <v>2.2129698849874591E-2</v>
      </c>
      <c r="H419" s="8">
        <f t="shared" si="128"/>
        <v>0.3104760518161771</v>
      </c>
      <c r="I419">
        <f t="shared" si="129"/>
        <v>1</v>
      </c>
      <c r="K419" s="22" t="e">
        <f>$I419*IF($E419&gt;_xlfn.AGGREGATE(4,6,'KM Data'!$B$6:$B$310),NA(),INDEX('KM Data'!$C$6:$C$310,MATCH($E419,'KM Data'!$B$6:$B$310,1)))</f>
        <v>#N/A</v>
      </c>
      <c r="L419" s="21">
        <f t="shared" si="130"/>
        <v>1.406297859188621E-2</v>
      </c>
      <c r="M419" s="20">
        <f t="shared" si="133"/>
        <v>4.0954022244994448E-3</v>
      </c>
      <c r="N419" s="21">
        <f t="shared" si="141"/>
        <v>5.4681999244511632E-3</v>
      </c>
      <c r="O419" s="21">
        <f t="shared" si="142"/>
        <v>0.11841575441027323</v>
      </c>
      <c r="P419" s="21">
        <f t="shared" si="143"/>
        <v>5.4681999244511632E-3</v>
      </c>
      <c r="R419" s="22" t="e">
        <f>$I419*IF($E419&gt;_xlfn.AGGREGATE(4,6,'KM Data'!$E$6:$E$205),NA(),INDEX('KM Data'!$F$6:$F$205,MATCH($E419,'KM Data'!$E$6:$E$205,1)))</f>
        <v>#N/A</v>
      </c>
      <c r="S419" s="21">
        <f t="shared" si="131"/>
        <v>7.8730003379018809E-2</v>
      </c>
      <c r="T419" s="8">
        <f t="shared" si="134"/>
        <v>2.6398689019804245E-3</v>
      </c>
      <c r="U419" s="21">
        <f t="shared" si="144"/>
        <v>2.3514832905406367E-2</v>
      </c>
      <c r="V419" s="21">
        <f t="shared" si="145"/>
        <v>0.11841575441027323</v>
      </c>
      <c r="W419" s="21">
        <f t="shared" si="146"/>
        <v>2.3514832905406367E-2</v>
      </c>
      <c r="Y419" s="23">
        <f t="shared" si="135"/>
        <v>5.4681999244511632E-3</v>
      </c>
      <c r="Z419" s="6">
        <f t="shared" si="136"/>
        <v>1.8046632980955206E-2</v>
      </c>
      <c r="AA419" s="6">
        <f t="shared" si="137"/>
        <v>0.97648516709459365</v>
      </c>
      <c r="AB419" s="6">
        <f t="shared" si="138"/>
        <v>1</v>
      </c>
    </row>
    <row r="420" spans="1:28" x14ac:dyDescent="0.35">
      <c r="A420">
        <v>411</v>
      </c>
      <c r="B420" s="17">
        <f t="shared" si="139"/>
        <v>12479.375</v>
      </c>
      <c r="C420" s="17">
        <f t="shared" si="132"/>
        <v>12509.8125</v>
      </c>
      <c r="D420" s="17">
        <f t="shared" si="140"/>
        <v>12494.59375</v>
      </c>
      <c r="E420" s="17">
        <f t="shared" si="126"/>
        <v>410.5</v>
      </c>
      <c r="F420" s="17">
        <f t="shared" si="127"/>
        <v>94.208333333333343</v>
      </c>
      <c r="G420" s="21">
        <f>INDEX('Life Tables'!$F$8:$F$123,MATCH(Engine!F420,'Life Tables'!$B$8:$B$123,1))</f>
        <v>2.2129698849874591E-2</v>
      </c>
      <c r="H420" s="8">
        <f t="shared" si="128"/>
        <v>0.3104760518161771</v>
      </c>
      <c r="I420">
        <f t="shared" si="129"/>
        <v>1</v>
      </c>
      <c r="K420" s="22" t="e">
        <f>$I420*IF($E420&gt;_xlfn.AGGREGATE(4,6,'KM Data'!$B$6:$B$310),NA(),INDEX('KM Data'!$C$6:$C$310,MATCH($E420,'KM Data'!$B$6:$B$310,1)))</f>
        <v>#N/A</v>
      </c>
      <c r="L420" s="21">
        <f t="shared" si="130"/>
        <v>1.4005385038077911E-2</v>
      </c>
      <c r="M420" s="20">
        <f t="shared" si="133"/>
        <v>4.0877658401241579E-3</v>
      </c>
      <c r="N420" s="21">
        <f t="shared" si="141"/>
        <v>5.3471903068721518E-3</v>
      </c>
      <c r="O420" s="21">
        <f t="shared" si="142"/>
        <v>0.11579524942609318</v>
      </c>
      <c r="P420" s="21">
        <f t="shared" si="143"/>
        <v>5.3471903068721518E-3</v>
      </c>
      <c r="R420" s="22" t="e">
        <f>$I420*IF($E420&gt;_xlfn.AGGREGATE(4,6,'KM Data'!$E$6:$E$205),NA(),INDEX('KM Data'!$F$6:$F$205,MATCH($E420,'KM Data'!$E$6:$E$205,1)))</f>
        <v>#N/A</v>
      </c>
      <c r="S420" s="21">
        <f t="shared" si="131"/>
        <v>7.8522166491445722E-2</v>
      </c>
      <c r="T420" s="8">
        <f t="shared" si="134"/>
        <v>2.635135451996562E-3</v>
      </c>
      <c r="U420" s="21">
        <f t="shared" si="144"/>
        <v>2.2994456734704603E-2</v>
      </c>
      <c r="V420" s="21">
        <f t="shared" si="145"/>
        <v>0.11579524942609318</v>
      </c>
      <c r="W420" s="21">
        <f t="shared" si="146"/>
        <v>2.2994456734704603E-2</v>
      </c>
      <c r="Y420" s="23">
        <f t="shared" si="135"/>
        <v>5.3471903068721518E-3</v>
      </c>
      <c r="Z420" s="6">
        <f t="shared" si="136"/>
        <v>1.7647266427832452E-2</v>
      </c>
      <c r="AA420" s="6">
        <f t="shared" si="137"/>
        <v>0.97700554326529543</v>
      </c>
      <c r="AB420" s="6">
        <f t="shared" si="138"/>
        <v>1</v>
      </c>
    </row>
    <row r="421" spans="1:28" x14ac:dyDescent="0.35">
      <c r="A421">
        <v>412</v>
      </c>
      <c r="B421" s="17">
        <f t="shared" si="139"/>
        <v>12509.8125</v>
      </c>
      <c r="C421" s="17">
        <f t="shared" si="132"/>
        <v>12540.25</v>
      </c>
      <c r="D421" s="17">
        <f t="shared" si="140"/>
        <v>12525.03125</v>
      </c>
      <c r="E421" s="17">
        <f t="shared" si="126"/>
        <v>411.5</v>
      </c>
      <c r="F421" s="17">
        <f t="shared" si="127"/>
        <v>94.291666666666657</v>
      </c>
      <c r="G421" s="21">
        <f>INDEX('Life Tables'!$F$8:$F$123,MATCH(Engine!F421,'Life Tables'!$B$8:$B$123,1))</f>
        <v>2.2129698849874591E-2</v>
      </c>
      <c r="H421" s="8">
        <f t="shared" si="128"/>
        <v>0.3104760518161771</v>
      </c>
      <c r="I421">
        <f t="shared" si="129"/>
        <v>1</v>
      </c>
      <c r="K421" s="22" t="e">
        <f>$I421*IF($E421&gt;_xlfn.AGGREGATE(4,6,'KM Data'!$B$6:$B$310),NA(),INDEX('KM Data'!$C$6:$C$310,MATCH($E421,'KM Data'!$B$6:$B$310,1)))</f>
        <v>#N/A</v>
      </c>
      <c r="L421" s="21">
        <f t="shared" si="130"/>
        <v>1.3948134303541471E-2</v>
      </c>
      <c r="M421" s="20">
        <f t="shared" si="133"/>
        <v>4.0801610873375527E-3</v>
      </c>
      <c r="N421" s="21">
        <f t="shared" si="141"/>
        <v>5.2288585956881024E-3</v>
      </c>
      <c r="O421" s="21">
        <f t="shared" si="142"/>
        <v>0.11323273542804763</v>
      </c>
      <c r="P421" s="21">
        <f t="shared" si="143"/>
        <v>5.2288585956881024E-3</v>
      </c>
      <c r="R421" s="22" t="e">
        <f>$I421*IF($E421&gt;_xlfn.AGGREGATE(4,6,'KM Data'!$E$6:$E$205),NA(),INDEX('KM Data'!$F$6:$F$205,MATCH($E421,'KM Data'!$E$6:$E$205,1)))</f>
        <v>#N/A</v>
      </c>
      <c r="S421" s="21">
        <f t="shared" si="131"/>
        <v>7.8315249946756538E-2</v>
      </c>
      <c r="T421" s="8">
        <f t="shared" si="134"/>
        <v>2.6304211290867352E-3</v>
      </c>
      <c r="U421" s="21">
        <f t="shared" si="144"/>
        <v>2.2485596331949118E-2</v>
      </c>
      <c r="V421" s="21">
        <f t="shared" si="145"/>
        <v>0.11323273542804763</v>
      </c>
      <c r="W421" s="21">
        <f t="shared" si="146"/>
        <v>2.2485596331949118E-2</v>
      </c>
      <c r="Y421" s="23">
        <f t="shared" si="135"/>
        <v>5.2288585956881024E-3</v>
      </c>
      <c r="Z421" s="6">
        <f t="shared" si="136"/>
        <v>1.7256737736261015E-2</v>
      </c>
      <c r="AA421" s="6">
        <f t="shared" si="137"/>
        <v>0.97751440366805087</v>
      </c>
      <c r="AB421" s="6">
        <f t="shared" si="138"/>
        <v>1</v>
      </c>
    </row>
    <row r="422" spans="1:28" x14ac:dyDescent="0.35">
      <c r="A422">
        <v>413</v>
      </c>
      <c r="B422" s="17">
        <f t="shared" si="139"/>
        <v>12540.25</v>
      </c>
      <c r="C422" s="17">
        <f t="shared" si="132"/>
        <v>12570.6875</v>
      </c>
      <c r="D422" s="17">
        <f t="shared" si="140"/>
        <v>12555.46875</v>
      </c>
      <c r="E422" s="17">
        <f t="shared" si="126"/>
        <v>412.5</v>
      </c>
      <c r="F422" s="17">
        <f t="shared" si="127"/>
        <v>94.375</v>
      </c>
      <c r="G422" s="21">
        <f>INDEX('Life Tables'!$F$8:$F$123,MATCH(Engine!F422,'Life Tables'!$B$8:$B$123,1))</f>
        <v>2.2129698849874591E-2</v>
      </c>
      <c r="H422" s="8">
        <f t="shared" si="128"/>
        <v>0.3104760518161771</v>
      </c>
      <c r="I422">
        <f t="shared" si="129"/>
        <v>1</v>
      </c>
      <c r="K422" s="22" t="e">
        <f>$I422*IF($E422&gt;_xlfn.AGGREGATE(4,6,'KM Data'!$B$6:$B$310),NA(),INDEX('KM Data'!$C$6:$C$310,MATCH($E422,'KM Data'!$B$6:$B$310,1)))</f>
        <v>#N/A</v>
      </c>
      <c r="L422" s="21">
        <f t="shared" si="130"/>
        <v>1.3891223668715202E-2</v>
      </c>
      <c r="M422" s="20">
        <f t="shared" si="133"/>
        <v>4.0725877619511852E-3</v>
      </c>
      <c r="N422" s="21">
        <f t="shared" si="141"/>
        <v>5.1131455296369466E-3</v>
      </c>
      <c r="O422" s="21">
        <f t="shared" si="142"/>
        <v>0.11072692909307741</v>
      </c>
      <c r="P422" s="21">
        <f t="shared" si="143"/>
        <v>5.1131455296369466E-3</v>
      </c>
      <c r="R422" s="22" t="e">
        <f>$I422*IF($E422&gt;_xlfn.AGGREGATE(4,6,'KM Data'!$E$6:$E$205),NA(),INDEX('KM Data'!$F$6:$F$205,MATCH($E422,'KM Data'!$E$6:$E$205,1)))</f>
        <v>#N/A</v>
      </c>
      <c r="S422" s="21">
        <f t="shared" si="131"/>
        <v>7.8109247858566877E-2</v>
      </c>
      <c r="T422" s="8">
        <f t="shared" si="134"/>
        <v>2.6257258121094029E-3</v>
      </c>
      <c r="U422" s="21">
        <f t="shared" si="144"/>
        <v>2.198799685666324E-2</v>
      </c>
      <c r="V422" s="21">
        <f t="shared" si="145"/>
        <v>0.11072692909307741</v>
      </c>
      <c r="W422" s="21">
        <f t="shared" si="146"/>
        <v>2.198799685666324E-2</v>
      </c>
      <c r="Y422" s="23">
        <f t="shared" si="135"/>
        <v>5.1131455296369466E-3</v>
      </c>
      <c r="Z422" s="6">
        <f t="shared" si="136"/>
        <v>1.6874851327026291E-2</v>
      </c>
      <c r="AA422" s="6">
        <f t="shared" si="137"/>
        <v>0.97801200314333681</v>
      </c>
      <c r="AB422" s="6">
        <f t="shared" si="138"/>
        <v>1</v>
      </c>
    </row>
    <row r="423" spans="1:28" x14ac:dyDescent="0.35">
      <c r="A423">
        <v>414</v>
      </c>
      <c r="B423" s="17">
        <f t="shared" si="139"/>
        <v>12570.6875</v>
      </c>
      <c r="C423" s="17">
        <f t="shared" si="132"/>
        <v>12601.125</v>
      </c>
      <c r="D423" s="17">
        <f t="shared" si="140"/>
        <v>12585.90625</v>
      </c>
      <c r="E423" s="17">
        <f t="shared" si="126"/>
        <v>413.5</v>
      </c>
      <c r="F423" s="17">
        <f t="shared" si="127"/>
        <v>94.458333333333343</v>
      </c>
      <c r="G423" s="21">
        <f>INDEX('Life Tables'!$F$8:$F$123,MATCH(Engine!F423,'Life Tables'!$B$8:$B$123,1))</f>
        <v>2.2129698849874591E-2</v>
      </c>
      <c r="H423" s="8">
        <f t="shared" si="128"/>
        <v>0.3104760518161771</v>
      </c>
      <c r="I423">
        <f t="shared" si="129"/>
        <v>1</v>
      </c>
      <c r="K423" s="22" t="e">
        <f>$I423*IF($E423&gt;_xlfn.AGGREGATE(4,6,'KM Data'!$B$6:$B$310),NA(),INDEX('KM Data'!$C$6:$C$310,MATCH($E423,'KM Data'!$B$6:$B$310,1)))</f>
        <v>#N/A</v>
      </c>
      <c r="L423" s="21">
        <f t="shared" si="130"/>
        <v>1.3834650441203467E-2</v>
      </c>
      <c r="M423" s="20">
        <f t="shared" si="133"/>
        <v>4.0650456615750619E-3</v>
      </c>
      <c r="N423" s="21">
        <f t="shared" si="141"/>
        <v>4.9999931588904983E-3</v>
      </c>
      <c r="O423" s="21">
        <f t="shared" si="142"/>
        <v>0.10827657549767619</v>
      </c>
      <c r="P423" s="21">
        <f t="shared" si="143"/>
        <v>4.9999931588904983E-3</v>
      </c>
      <c r="R423" s="22" t="e">
        <f>$I423*IF($E423&gt;_xlfn.AGGREGATE(4,6,'KM Data'!$E$6:$E$205),NA(),INDEX('KM Data'!$F$6:$F$205,MATCH($E423,'KM Data'!$E$6:$E$205,1)))</f>
        <v>#N/A</v>
      </c>
      <c r="S423" s="21">
        <f t="shared" si="131"/>
        <v>7.7904154390300184E-2</v>
      </c>
      <c r="T423" s="8">
        <f t="shared" si="134"/>
        <v>2.6210493809616375E-3</v>
      </c>
      <c r="U423" s="21">
        <f t="shared" si="144"/>
        <v>2.1501409107913292E-2</v>
      </c>
      <c r="V423" s="21">
        <f t="shared" si="145"/>
        <v>0.10827657549767619</v>
      </c>
      <c r="W423" s="21">
        <f t="shared" si="146"/>
        <v>2.1501409107913292E-2</v>
      </c>
      <c r="Y423" s="23">
        <f t="shared" si="135"/>
        <v>4.9999931588904983E-3</v>
      </c>
      <c r="Z423" s="6">
        <f t="shared" si="136"/>
        <v>1.6501415949022793E-2</v>
      </c>
      <c r="AA423" s="6">
        <f t="shared" si="137"/>
        <v>0.97849859089208668</v>
      </c>
      <c r="AB423" s="6">
        <f t="shared" si="138"/>
        <v>1</v>
      </c>
    </row>
    <row r="424" spans="1:28" x14ac:dyDescent="0.35">
      <c r="A424">
        <v>415</v>
      </c>
      <c r="B424" s="17">
        <f t="shared" si="139"/>
        <v>12601.125</v>
      </c>
      <c r="C424" s="17">
        <f t="shared" si="132"/>
        <v>12631.5625</v>
      </c>
      <c r="D424" s="17">
        <f t="shared" si="140"/>
        <v>12616.34375</v>
      </c>
      <c r="E424" s="17">
        <f t="shared" si="126"/>
        <v>414.5</v>
      </c>
      <c r="F424" s="17">
        <f t="shared" si="127"/>
        <v>94.541666666666657</v>
      </c>
      <c r="G424" s="21">
        <f>INDEX('Life Tables'!$F$8:$F$123,MATCH(Engine!F424,'Life Tables'!$B$8:$B$123,1))</f>
        <v>2.2129698849874591E-2</v>
      </c>
      <c r="H424" s="8">
        <f t="shared" si="128"/>
        <v>0.3104760518161771</v>
      </c>
      <c r="I424">
        <f t="shared" si="129"/>
        <v>1</v>
      </c>
      <c r="K424" s="22" t="e">
        <f>$I424*IF($E424&gt;_xlfn.AGGREGATE(4,6,'KM Data'!$B$6:$B$310),NA(),INDEX('KM Data'!$C$6:$C$310,MATCH($E424,'KM Data'!$B$6:$B$310,1)))</f>
        <v>#N/A</v>
      </c>
      <c r="L424" s="21">
        <f t="shared" si="130"/>
        <v>1.3778411955448044E-2</v>
      </c>
      <c r="M424" s="20">
        <f t="shared" si="133"/>
        <v>4.0575345855673461E-3</v>
      </c>
      <c r="N424" s="21">
        <f t="shared" si="141"/>
        <v>4.889344816032818E-3</v>
      </c>
      <c r="O424" s="21">
        <f t="shared" si="142"/>
        <v>0.10588044748941691</v>
      </c>
      <c r="P424" s="21">
        <f t="shared" si="143"/>
        <v>4.889344816032818E-3</v>
      </c>
      <c r="R424" s="22" t="e">
        <f>$I424*IF($E424&gt;_xlfn.AGGREGATE(4,6,'KM Data'!$E$6:$E$205),NA(),INDEX('KM Data'!$F$6:$F$205,MATCH($E424,'KM Data'!$E$6:$E$205,1)))</f>
        <v>#N/A</v>
      </c>
      <c r="S424" s="21">
        <f t="shared" si="131"/>
        <v>7.769996375466115E-2</v>
      </c>
      <c r="T424" s="8">
        <f t="shared" si="134"/>
        <v>2.6163917165854533E-3</v>
      </c>
      <c r="U424" s="21">
        <f t="shared" si="144"/>
        <v>2.102558939950722E-2</v>
      </c>
      <c r="V424" s="21">
        <f t="shared" si="145"/>
        <v>0.10588044748941691</v>
      </c>
      <c r="W424" s="21">
        <f t="shared" si="146"/>
        <v>2.102558939950722E-2</v>
      </c>
      <c r="Y424" s="23">
        <f t="shared" si="135"/>
        <v>4.889344816032818E-3</v>
      </c>
      <c r="Z424" s="6">
        <f t="shared" si="136"/>
        <v>1.6136244583474402E-2</v>
      </c>
      <c r="AA424" s="6">
        <f t="shared" si="137"/>
        <v>0.97897441060049273</v>
      </c>
      <c r="AB424" s="6">
        <f t="shared" si="138"/>
        <v>1</v>
      </c>
    </row>
    <row r="425" spans="1:28" x14ac:dyDescent="0.35">
      <c r="A425">
        <v>416</v>
      </c>
      <c r="B425" s="17">
        <f t="shared" si="139"/>
        <v>12631.5625</v>
      </c>
      <c r="C425" s="17">
        <f t="shared" si="132"/>
        <v>12662</v>
      </c>
      <c r="D425" s="17">
        <f t="shared" si="140"/>
        <v>12646.78125</v>
      </c>
      <c r="E425" s="17">
        <f t="shared" si="126"/>
        <v>415.5</v>
      </c>
      <c r="F425" s="17">
        <f t="shared" si="127"/>
        <v>94.625</v>
      </c>
      <c r="G425" s="21">
        <f>INDEX('Life Tables'!$F$8:$F$123,MATCH(Engine!F425,'Life Tables'!$B$8:$B$123,1))</f>
        <v>2.2129698849874591E-2</v>
      </c>
      <c r="H425" s="8">
        <f t="shared" si="128"/>
        <v>0.3104760518161771</v>
      </c>
      <c r="I425">
        <f t="shared" si="129"/>
        <v>1</v>
      </c>
      <c r="K425" s="22" t="e">
        <f>$I425*IF($E425&gt;_xlfn.AGGREGATE(4,6,'KM Data'!$B$6:$B$310),NA(),INDEX('KM Data'!$C$6:$C$310,MATCH($E425,'KM Data'!$B$6:$B$310,1)))</f>
        <v>#N/A</v>
      </c>
      <c r="L425" s="21">
        <f t="shared" si="130"/>
        <v>1.372250557240462E-2</v>
      </c>
      <c r="M425" s="20">
        <f t="shared" si="133"/>
        <v>4.0500543350733276E-3</v>
      </c>
      <c r="N425" s="21">
        <f t="shared" si="141"/>
        <v>4.7811450876808163E-3</v>
      </c>
      <c r="O425" s="21">
        <f t="shared" si="142"/>
        <v>0.10353734507238616</v>
      </c>
      <c r="P425" s="21">
        <f t="shared" si="143"/>
        <v>4.7811450876808163E-3</v>
      </c>
      <c r="R425" s="22" t="e">
        <f>$I425*IF($E425&gt;_xlfn.AGGREGATE(4,6,'KM Data'!$E$6:$E$205),NA(),INDEX('KM Data'!$F$6:$F$205,MATCH($E425,'KM Data'!$E$6:$E$205,1)))</f>
        <v>#N/A</v>
      </c>
      <c r="S425" s="21">
        <f t="shared" si="131"/>
        <v>7.749667021311446E-2</v>
      </c>
      <c r="T425" s="8">
        <f t="shared" si="134"/>
        <v>2.6117527009394959E-3</v>
      </c>
      <c r="U425" s="21">
        <f t="shared" si="144"/>
        <v>2.056029943795501E-2</v>
      </c>
      <c r="V425" s="21">
        <f t="shared" si="145"/>
        <v>0.10353734507238616</v>
      </c>
      <c r="W425" s="21">
        <f t="shared" si="146"/>
        <v>2.056029943795501E-2</v>
      </c>
      <c r="Y425" s="23">
        <f t="shared" si="135"/>
        <v>4.7811450876808163E-3</v>
      </c>
      <c r="Z425" s="6">
        <f t="shared" si="136"/>
        <v>1.5779154350274195E-2</v>
      </c>
      <c r="AA425" s="6">
        <f t="shared" si="137"/>
        <v>0.97943970056204499</v>
      </c>
      <c r="AB425" s="6">
        <f t="shared" si="138"/>
        <v>1</v>
      </c>
    </row>
    <row r="426" spans="1:28" x14ac:dyDescent="0.35">
      <c r="A426">
        <v>417</v>
      </c>
      <c r="B426" s="17">
        <f t="shared" si="139"/>
        <v>12662</v>
      </c>
      <c r="C426" s="17">
        <f t="shared" si="132"/>
        <v>12692.4375</v>
      </c>
      <c r="D426" s="17">
        <f t="shared" si="140"/>
        <v>12677.21875</v>
      </c>
      <c r="E426" s="17">
        <f t="shared" si="126"/>
        <v>416.5</v>
      </c>
      <c r="F426" s="17">
        <f t="shared" si="127"/>
        <v>94.708333333333343</v>
      </c>
      <c r="G426" s="21">
        <f>INDEX('Life Tables'!$F$8:$F$123,MATCH(Engine!F426,'Life Tables'!$B$8:$B$123,1))</f>
        <v>2.2129698849874591E-2</v>
      </c>
      <c r="H426" s="8">
        <f t="shared" si="128"/>
        <v>0.3104760518161771</v>
      </c>
      <c r="I426">
        <f t="shared" si="129"/>
        <v>1</v>
      </c>
      <c r="K426" s="22" t="e">
        <f>$I426*IF($E426&gt;_xlfn.AGGREGATE(4,6,'KM Data'!$B$6:$B$310),NA(),INDEX('KM Data'!$C$6:$C$310,MATCH($E426,'KM Data'!$B$6:$B$310,1)))</f>
        <v>#N/A</v>
      </c>
      <c r="L426" s="21">
        <f t="shared" si="130"/>
        <v>1.3666928679223034E-2</v>
      </c>
      <c r="M426" s="20">
        <f t="shared" si="133"/>
        <v>4.042604712932607E-3</v>
      </c>
      <c r="N426" s="21">
        <f t="shared" si="141"/>
        <v>4.6753397867328825E-3</v>
      </c>
      <c r="O426" s="21">
        <f t="shared" si="142"/>
        <v>0.1012460948062187</v>
      </c>
      <c r="P426" s="21">
        <f t="shared" si="143"/>
        <v>4.6753397867328825E-3</v>
      </c>
      <c r="R426" s="22" t="e">
        <f>$I426*IF($E426&gt;_xlfn.AGGREGATE(4,6,'KM Data'!$E$6:$E$205),NA(),INDEX('KM Data'!$F$6:$F$205,MATCH($E426,'KM Data'!$E$6:$E$205,1)))</f>
        <v>#N/A</v>
      </c>
      <c r="S426" s="21">
        <f t="shared" si="131"/>
        <v>7.7294268075371542E-2</v>
      </c>
      <c r="T426" s="8">
        <f t="shared" si="134"/>
        <v>2.6071322169936018E-3</v>
      </c>
      <c r="U426" s="21">
        <f t="shared" si="144"/>
        <v>2.0105306203129818E-2</v>
      </c>
      <c r="V426" s="21">
        <f t="shared" si="145"/>
        <v>0.1012460948062187</v>
      </c>
      <c r="W426" s="21">
        <f t="shared" si="146"/>
        <v>2.0105306203129818E-2</v>
      </c>
      <c r="Y426" s="23">
        <f t="shared" si="135"/>
        <v>4.6753397867328825E-3</v>
      </c>
      <c r="Z426" s="6">
        <f t="shared" si="136"/>
        <v>1.5429966416396936E-2</v>
      </c>
      <c r="AA426" s="6">
        <f t="shared" si="137"/>
        <v>0.97989469379687022</v>
      </c>
      <c r="AB426" s="6">
        <f t="shared" si="138"/>
        <v>1</v>
      </c>
    </row>
    <row r="427" spans="1:28" x14ac:dyDescent="0.35">
      <c r="A427">
        <v>418</v>
      </c>
      <c r="B427" s="17">
        <f t="shared" si="139"/>
        <v>12692.4375</v>
      </c>
      <c r="C427" s="17">
        <f t="shared" si="132"/>
        <v>12722.875</v>
      </c>
      <c r="D427" s="17">
        <f t="shared" si="140"/>
        <v>12707.65625</v>
      </c>
      <c r="E427" s="17">
        <f t="shared" si="126"/>
        <v>417.5</v>
      </c>
      <c r="F427" s="17">
        <f t="shared" si="127"/>
        <v>94.791666666666657</v>
      </c>
      <c r="G427" s="21">
        <f>INDEX('Life Tables'!$F$8:$F$123,MATCH(Engine!F427,'Life Tables'!$B$8:$B$123,1))</f>
        <v>2.2129698849874591E-2</v>
      </c>
      <c r="H427" s="8">
        <f t="shared" si="128"/>
        <v>0.3104760518161771</v>
      </c>
      <c r="I427">
        <f t="shared" si="129"/>
        <v>1</v>
      </c>
      <c r="K427" s="22" t="e">
        <f>$I427*IF($E427&gt;_xlfn.AGGREGATE(4,6,'KM Data'!$B$6:$B$310),NA(),INDEX('KM Data'!$C$6:$C$310,MATCH($E427,'KM Data'!$B$6:$B$310,1)))</f>
        <v>#N/A</v>
      </c>
      <c r="L427" s="21">
        <f t="shared" si="130"/>
        <v>1.3611678688933093E-2</v>
      </c>
      <c r="M427" s="20">
        <f t="shared" si="133"/>
        <v>4.0351855237320544E-3</v>
      </c>
      <c r="N427" s="21">
        <f t="shared" si="141"/>
        <v>4.5718759252316469E-3</v>
      </c>
      <c r="O427" s="21">
        <f t="shared" si="142"/>
        <v>9.900554921843123E-2</v>
      </c>
      <c r="P427" s="21">
        <f t="shared" si="143"/>
        <v>4.5718759252316469E-3</v>
      </c>
      <c r="R427" s="22" t="e">
        <f>$I427*IF($E427&gt;_xlfn.AGGREGATE(4,6,'KM Data'!$E$6:$E$205),NA(),INDEX('KM Data'!$F$6:$F$205,MATCH($E427,'KM Data'!$E$6:$E$205,1)))</f>
        <v>#N/A</v>
      </c>
      <c r="S427" s="21">
        <f t="shared" si="131"/>
        <v>7.7092751698883299E-2</v>
      </c>
      <c r="T427" s="8">
        <f t="shared" si="134"/>
        <v>2.6025301487284658E-3</v>
      </c>
      <c r="U427" s="21">
        <f t="shared" si="144"/>
        <v>1.966038183157004E-2</v>
      </c>
      <c r="V427" s="21">
        <f t="shared" si="145"/>
        <v>9.900554921843123E-2</v>
      </c>
      <c r="W427" s="21">
        <f t="shared" si="146"/>
        <v>1.966038183157004E-2</v>
      </c>
      <c r="Y427" s="23">
        <f t="shared" si="135"/>
        <v>4.5718759252316469E-3</v>
      </c>
      <c r="Z427" s="6">
        <f t="shared" si="136"/>
        <v>1.5088505906338392E-2</v>
      </c>
      <c r="AA427" s="6">
        <f t="shared" si="137"/>
        <v>0.98033961816842996</v>
      </c>
      <c r="AB427" s="6">
        <f t="shared" si="138"/>
        <v>1</v>
      </c>
    </row>
    <row r="428" spans="1:28" x14ac:dyDescent="0.35">
      <c r="A428">
        <v>419</v>
      </c>
      <c r="B428" s="17">
        <f t="shared" si="139"/>
        <v>12722.875</v>
      </c>
      <c r="C428" s="17">
        <f t="shared" si="132"/>
        <v>12753.3125</v>
      </c>
      <c r="D428" s="17">
        <f t="shared" si="140"/>
        <v>12738.09375</v>
      </c>
      <c r="E428" s="17">
        <f t="shared" si="126"/>
        <v>418.5</v>
      </c>
      <c r="F428" s="17">
        <f t="shared" si="127"/>
        <v>94.875</v>
      </c>
      <c r="G428" s="21">
        <f>INDEX('Life Tables'!$F$8:$F$123,MATCH(Engine!F428,'Life Tables'!$B$8:$B$123,1))</f>
        <v>2.2129698849874591E-2</v>
      </c>
      <c r="H428" s="8">
        <f t="shared" si="128"/>
        <v>0.3104760518161771</v>
      </c>
      <c r="I428">
        <f t="shared" si="129"/>
        <v>1</v>
      </c>
      <c r="K428" s="22" t="e">
        <f>$I428*IF($E428&gt;_xlfn.AGGREGATE(4,6,'KM Data'!$B$6:$B$310),NA(),INDEX('KM Data'!$C$6:$C$310,MATCH($E428,'KM Data'!$B$6:$B$310,1)))</f>
        <v>#N/A</v>
      </c>
      <c r="L428" s="21">
        <f t="shared" si="130"/>
        <v>1.3556753040133818E-2</v>
      </c>
      <c r="M428" s="20">
        <f t="shared" si="133"/>
        <v>4.0277965737512966E-3</v>
      </c>
      <c r="N428" s="21">
        <f t="shared" si="141"/>
        <v>4.4707016878272792E-3</v>
      </c>
      <c r="O428" s="21">
        <f t="shared" si="142"/>
        <v>9.6814586229760913E-2</v>
      </c>
      <c r="P428" s="21">
        <f t="shared" si="143"/>
        <v>4.4707016878272792E-3</v>
      </c>
      <c r="R428" s="22" t="e">
        <f>$I428*IF($E428&gt;_xlfn.AGGREGATE(4,6,'KM Data'!$E$6:$E$205),NA(),INDEX('KM Data'!$F$6:$F$205,MATCH($E428,'KM Data'!$E$6:$E$205,1)))</f>
        <v>#N/A</v>
      </c>
      <c r="S428" s="21">
        <f t="shared" si="131"/>
        <v>7.6892115488338519E-2</v>
      </c>
      <c r="T428" s="8">
        <f t="shared" si="134"/>
        <v>2.5979463811041104E-3</v>
      </c>
      <c r="U428" s="21">
        <f t="shared" si="144"/>
        <v>1.9225303502363848E-2</v>
      </c>
      <c r="V428" s="21">
        <f t="shared" si="145"/>
        <v>9.6814586229760913E-2</v>
      </c>
      <c r="W428" s="21">
        <f t="shared" si="146"/>
        <v>1.9225303502363848E-2</v>
      </c>
      <c r="Y428" s="23">
        <f t="shared" si="135"/>
        <v>4.4707016878272792E-3</v>
      </c>
      <c r="Z428" s="6">
        <f t="shared" si="136"/>
        <v>1.4754601814536569E-2</v>
      </c>
      <c r="AA428" s="6">
        <f t="shared" si="137"/>
        <v>0.98077469649763616</v>
      </c>
      <c r="AB428" s="6">
        <f t="shared" si="138"/>
        <v>1</v>
      </c>
    </row>
    <row r="429" spans="1:28" x14ac:dyDescent="0.35">
      <c r="A429">
        <v>420</v>
      </c>
      <c r="B429" s="17">
        <f t="shared" si="139"/>
        <v>12753.3125</v>
      </c>
      <c r="C429" s="17">
        <f t="shared" si="132"/>
        <v>12783.75</v>
      </c>
      <c r="D429" s="17">
        <f t="shared" si="140"/>
        <v>12768.53125</v>
      </c>
      <c r="E429" s="17">
        <f t="shared" si="126"/>
        <v>419.5</v>
      </c>
      <c r="F429" s="17">
        <f t="shared" si="127"/>
        <v>94.958333333333343</v>
      </c>
      <c r="G429" s="21">
        <f>INDEX('Life Tables'!$F$8:$F$123,MATCH(Engine!F429,'Life Tables'!$B$8:$B$123,1))</f>
        <v>2.2129698849874591E-2</v>
      </c>
      <c r="H429" s="8">
        <f t="shared" si="128"/>
        <v>0.29997686165814214</v>
      </c>
      <c r="I429">
        <f t="shared" si="129"/>
        <v>1</v>
      </c>
      <c r="K429" s="22" t="e">
        <f>$I429*IF($E429&gt;_xlfn.AGGREGATE(4,6,'KM Data'!$B$6:$B$310),NA(),INDEX('KM Data'!$C$6:$C$310,MATCH($E429,'KM Data'!$B$6:$B$310,1)))</f>
        <v>#N/A</v>
      </c>
      <c r="L429" s="21">
        <f t="shared" si="130"/>
        <v>1.3502149196687574E-2</v>
      </c>
      <c r="M429" s="20">
        <f t="shared" si="133"/>
        <v>4.0204376709249701E-3</v>
      </c>
      <c r="N429" s="21">
        <f t="shared" si="141"/>
        <v>4.3717664058280353E-3</v>
      </c>
      <c r="O429" s="21">
        <f t="shared" si="142"/>
        <v>9.4672108592221083E-2</v>
      </c>
      <c r="P429" s="21">
        <f t="shared" si="143"/>
        <v>4.3717664058280353E-3</v>
      </c>
      <c r="R429" s="22" t="e">
        <f>$I429*IF($E429&gt;_xlfn.AGGREGATE(4,6,'KM Data'!$E$6:$E$205),NA(),INDEX('KM Data'!$F$6:$F$205,MATCH($E429,'KM Data'!$E$6:$E$205,1)))</f>
        <v>#N/A</v>
      </c>
      <c r="S429" s="21">
        <f t="shared" si="131"/>
        <v>7.6692353895170151E-2</v>
      </c>
      <c r="T429" s="8">
        <f t="shared" si="134"/>
        <v>2.5933808000727643E-3</v>
      </c>
      <c r="U429" s="21">
        <f t="shared" si="144"/>
        <v>1.8799853325559095E-2</v>
      </c>
      <c r="V429" s="21">
        <f t="shared" si="145"/>
        <v>9.4672108592221083E-2</v>
      </c>
      <c r="W429" s="21">
        <f t="shared" si="146"/>
        <v>1.8799853325559095E-2</v>
      </c>
      <c r="Y429" s="23">
        <f t="shared" si="135"/>
        <v>4.3717664058280353E-3</v>
      </c>
      <c r="Z429" s="6">
        <f t="shared" si="136"/>
        <v>1.442808691973106E-2</v>
      </c>
      <c r="AA429" s="6">
        <f t="shared" si="137"/>
        <v>0.98120014667444089</v>
      </c>
      <c r="AB429" s="6">
        <f t="shared" si="138"/>
        <v>1</v>
      </c>
    </row>
    <row r="430" spans="1:28" x14ac:dyDescent="0.35">
      <c r="A430">
        <v>421</v>
      </c>
      <c r="B430" s="17">
        <f t="shared" si="139"/>
        <v>12783.75</v>
      </c>
      <c r="C430" s="17">
        <f t="shared" si="132"/>
        <v>12814.1875</v>
      </c>
      <c r="D430" s="17">
        <f t="shared" si="140"/>
        <v>12798.96875</v>
      </c>
      <c r="E430" s="17">
        <f t="shared" si="126"/>
        <v>420.5</v>
      </c>
      <c r="F430" s="17">
        <f t="shared" si="127"/>
        <v>95.041666666666657</v>
      </c>
      <c r="G430" s="21">
        <f>INDEX('Life Tables'!$F$8:$F$123,MATCH(Engine!F430,'Life Tables'!$B$8:$B$123,1))</f>
        <v>2.4300510236848205E-2</v>
      </c>
      <c r="H430" s="8">
        <f t="shared" si="128"/>
        <v>0.29997686165814214</v>
      </c>
      <c r="I430">
        <f t="shared" si="129"/>
        <v>1</v>
      </c>
      <c r="K430" s="22" t="e">
        <f>$I430*IF($E430&gt;_xlfn.AGGREGATE(4,6,'KM Data'!$B$6:$B$310),NA(),INDEX('KM Data'!$C$6:$C$310,MATCH($E430,'KM Data'!$B$6:$B$310,1)))</f>
        <v>#N/A</v>
      </c>
      <c r="L430" s="21">
        <f t="shared" si="130"/>
        <v>1.3447864647418761E-2</v>
      </c>
      <c r="M430" s="20">
        <f t="shared" si="133"/>
        <v>4.0131086248504921E-3</v>
      </c>
      <c r="N430" s="21">
        <f t="shared" si="141"/>
        <v>4.2750205318250623E-3</v>
      </c>
      <c r="O430" s="21">
        <f t="shared" si="142"/>
        <v>9.2577043339592602E-2</v>
      </c>
      <c r="P430" s="21">
        <f t="shared" si="143"/>
        <v>4.2750205318250623E-3</v>
      </c>
      <c r="R430" s="22" t="e">
        <f>$I430*IF($E430&gt;_xlfn.AGGREGATE(4,6,'KM Data'!$E$6:$E$205),NA(),INDEX('KM Data'!$F$6:$F$205,MATCH($E430,'KM Data'!$E$6:$E$205,1)))</f>
        <v>#N/A</v>
      </c>
      <c r="S430" s="21">
        <f t="shared" si="131"/>
        <v>7.6493461417066033E-2</v>
      </c>
      <c r="T430" s="8">
        <f t="shared" si="134"/>
        <v>2.588833292541004E-3</v>
      </c>
      <c r="U430" s="21">
        <f t="shared" si="144"/>
        <v>1.8383818233042658E-2</v>
      </c>
      <c r="V430" s="21">
        <f t="shared" si="145"/>
        <v>9.2577043339592602E-2</v>
      </c>
      <c r="W430" s="21">
        <f t="shared" si="146"/>
        <v>1.8383818233042658E-2</v>
      </c>
      <c r="Y430" s="23">
        <f t="shared" si="135"/>
        <v>4.2750205318250623E-3</v>
      </c>
      <c r="Z430" s="6">
        <f t="shared" si="136"/>
        <v>1.4108797701217595E-2</v>
      </c>
      <c r="AA430" s="6">
        <f t="shared" si="137"/>
        <v>0.98161618176695731</v>
      </c>
      <c r="AB430" s="6">
        <f t="shared" si="138"/>
        <v>1</v>
      </c>
    </row>
    <row r="431" spans="1:28" x14ac:dyDescent="0.35">
      <c r="A431">
        <v>422</v>
      </c>
      <c r="B431" s="17">
        <f t="shared" si="139"/>
        <v>12814.1875</v>
      </c>
      <c r="C431" s="17">
        <f t="shared" si="132"/>
        <v>12844.625</v>
      </c>
      <c r="D431" s="17">
        <f t="shared" si="140"/>
        <v>12829.40625</v>
      </c>
      <c r="E431" s="17">
        <f t="shared" si="126"/>
        <v>421.5</v>
      </c>
      <c r="F431" s="17">
        <f t="shared" si="127"/>
        <v>95.125</v>
      </c>
      <c r="G431" s="21">
        <f>INDEX('Life Tables'!$F$8:$F$123,MATCH(Engine!F431,'Life Tables'!$B$8:$B$123,1))</f>
        <v>2.4300510236848205E-2</v>
      </c>
      <c r="H431" s="8">
        <f t="shared" si="128"/>
        <v>0.29997686165814214</v>
      </c>
      <c r="I431">
        <f t="shared" si="129"/>
        <v>1</v>
      </c>
      <c r="K431" s="22" t="e">
        <f>$I431*IF($E431&gt;_xlfn.AGGREGATE(4,6,'KM Data'!$B$6:$B$310),NA(),INDEX('KM Data'!$C$6:$C$310,MATCH($E431,'KM Data'!$B$6:$B$310,1)))</f>
        <v>#N/A</v>
      </c>
      <c r="L431" s="21">
        <f t="shared" si="130"/>
        <v>1.3393896905816383E-2</v>
      </c>
      <c r="M431" s="20">
        <f t="shared" si="133"/>
        <v>4.0058092467907258E-3</v>
      </c>
      <c r="N431" s="21">
        <f t="shared" si="141"/>
        <v>4.1711353516287108E-3</v>
      </c>
      <c r="O431" s="21">
        <f t="shared" si="142"/>
        <v>9.0327373950221695E-2</v>
      </c>
      <c r="P431" s="21">
        <f t="shared" si="143"/>
        <v>4.1711353516287108E-3</v>
      </c>
      <c r="R431" s="22" t="e">
        <f>$I431*IF($E431&gt;_xlfn.AGGREGATE(4,6,'KM Data'!$E$6:$E$205),NA(),INDEX('KM Data'!$F$6:$F$205,MATCH($E431,'KM Data'!$E$6:$E$205,1)))</f>
        <v>#N/A</v>
      </c>
      <c r="S431" s="21">
        <f t="shared" si="131"/>
        <v>7.6295432597487833E-2</v>
      </c>
      <c r="T431" s="8">
        <f t="shared" si="134"/>
        <v>2.5843037463920693E-3</v>
      </c>
      <c r="U431" s="21">
        <f t="shared" si="144"/>
        <v>1.7937082069878249E-2</v>
      </c>
      <c r="V431" s="21">
        <f t="shared" si="145"/>
        <v>9.0327373950221695E-2</v>
      </c>
      <c r="W431" s="21">
        <f t="shared" si="146"/>
        <v>1.7937082069878249E-2</v>
      </c>
      <c r="Y431" s="23">
        <f t="shared" si="135"/>
        <v>4.1711353516287108E-3</v>
      </c>
      <c r="Z431" s="6">
        <f t="shared" si="136"/>
        <v>1.3765946718249537E-2</v>
      </c>
      <c r="AA431" s="6">
        <f t="shared" si="137"/>
        <v>0.98206291793012179</v>
      </c>
      <c r="AB431" s="6">
        <f t="shared" si="138"/>
        <v>1</v>
      </c>
    </row>
    <row r="432" spans="1:28" x14ac:dyDescent="0.35">
      <c r="A432">
        <v>423</v>
      </c>
      <c r="B432" s="17">
        <f t="shared" si="139"/>
        <v>12844.625</v>
      </c>
      <c r="C432" s="17">
        <f t="shared" si="132"/>
        <v>12875.0625</v>
      </c>
      <c r="D432" s="17">
        <f t="shared" si="140"/>
        <v>12859.84375</v>
      </c>
      <c r="E432" s="17">
        <f t="shared" si="126"/>
        <v>422.5</v>
      </c>
      <c r="F432" s="17">
        <f t="shared" si="127"/>
        <v>95.208333333333343</v>
      </c>
      <c r="G432" s="21">
        <f>INDEX('Life Tables'!$F$8:$F$123,MATCH(Engine!F432,'Life Tables'!$B$8:$B$123,1))</f>
        <v>2.4300510236848205E-2</v>
      </c>
      <c r="H432" s="8">
        <f t="shared" si="128"/>
        <v>0.29997686165814214</v>
      </c>
      <c r="I432">
        <f t="shared" si="129"/>
        <v>1</v>
      </c>
      <c r="K432" s="22" t="e">
        <f>$I432*IF($E432&gt;_xlfn.AGGREGATE(4,6,'KM Data'!$B$6:$B$310),NA(),INDEX('KM Data'!$C$6:$C$310,MATCH($E432,'KM Data'!$B$6:$B$310,1)))</f>
        <v>#N/A</v>
      </c>
      <c r="L432" s="21">
        <f t="shared" si="130"/>
        <v>1.3340243509740501E-2</v>
      </c>
      <c r="M432" s="20">
        <f t="shared" si="133"/>
        <v>3.9985393495897137E-3</v>
      </c>
      <c r="N432" s="21">
        <f t="shared" si="141"/>
        <v>4.0697746343171777E-3</v>
      </c>
      <c r="O432" s="21">
        <f t="shared" si="142"/>
        <v>8.8132372674876711E-2</v>
      </c>
      <c r="P432" s="21">
        <f t="shared" si="143"/>
        <v>4.0697746343171777E-3</v>
      </c>
      <c r="R432" s="22" t="e">
        <f>$I432*IF($E432&gt;_xlfn.AGGREGATE(4,6,'KM Data'!$E$6:$E$205),NA(),INDEX('KM Data'!$F$6:$F$205,MATCH($E432,'KM Data'!$E$6:$E$205,1)))</f>
        <v>#N/A</v>
      </c>
      <c r="S432" s="21">
        <f t="shared" si="131"/>
        <v>7.6098262025193542E-2</v>
      </c>
      <c r="T432" s="8">
        <f t="shared" si="134"/>
        <v>2.5797920504417871E-3</v>
      </c>
      <c r="U432" s="21">
        <f t="shared" si="144"/>
        <v>1.7501201823419986E-2</v>
      </c>
      <c r="V432" s="21">
        <f t="shared" si="145"/>
        <v>8.8132372674876711E-2</v>
      </c>
      <c r="W432" s="21">
        <f t="shared" si="146"/>
        <v>1.7501201823419986E-2</v>
      </c>
      <c r="Y432" s="23">
        <f t="shared" si="135"/>
        <v>4.0697746343171777E-3</v>
      </c>
      <c r="Z432" s="6">
        <f t="shared" si="136"/>
        <v>1.3431427189102809E-2</v>
      </c>
      <c r="AA432" s="6">
        <f t="shared" si="137"/>
        <v>0.98249879817658003</v>
      </c>
      <c r="AB432" s="6">
        <f t="shared" si="138"/>
        <v>1</v>
      </c>
    </row>
    <row r="433" spans="1:28" x14ac:dyDescent="0.35">
      <c r="A433">
        <v>424</v>
      </c>
      <c r="B433" s="17">
        <f t="shared" si="139"/>
        <v>12875.0625</v>
      </c>
      <c r="C433" s="17">
        <f t="shared" si="132"/>
        <v>12905.5</v>
      </c>
      <c r="D433" s="17">
        <f t="shared" si="140"/>
        <v>12890.28125</v>
      </c>
      <c r="E433" s="17">
        <f t="shared" si="126"/>
        <v>423.5</v>
      </c>
      <c r="F433" s="17">
        <f t="shared" si="127"/>
        <v>95.291666666666657</v>
      </c>
      <c r="G433" s="21">
        <f>INDEX('Life Tables'!$F$8:$F$123,MATCH(Engine!F433,'Life Tables'!$B$8:$B$123,1))</f>
        <v>2.4300510236848205E-2</v>
      </c>
      <c r="H433" s="8">
        <f t="shared" si="128"/>
        <v>0.29997686165814214</v>
      </c>
      <c r="I433">
        <f t="shared" si="129"/>
        <v>1</v>
      </c>
      <c r="K433" s="22" t="e">
        <f>$I433*IF($E433&gt;_xlfn.AGGREGATE(4,6,'KM Data'!$B$6:$B$310),NA(),INDEX('KM Data'!$C$6:$C$310,MATCH($E433,'KM Data'!$B$6:$B$310,1)))</f>
        <v>#N/A</v>
      </c>
      <c r="L433" s="21">
        <f t="shared" si="130"/>
        <v>1.3286902021133695E-2</v>
      </c>
      <c r="M433" s="20">
        <f t="shared" si="133"/>
        <v>3.9912987477487283E-3</v>
      </c>
      <c r="N433" s="21">
        <f t="shared" si="141"/>
        <v>3.9708770341542882E-3</v>
      </c>
      <c r="O433" s="21">
        <f t="shared" si="142"/>
        <v>8.5990711050493149E-2</v>
      </c>
      <c r="P433" s="21">
        <f t="shared" si="143"/>
        <v>3.9708770341542882E-3</v>
      </c>
      <c r="R433" s="22" t="e">
        <f>$I433*IF($E433&gt;_xlfn.AGGREGATE(4,6,'KM Data'!$E$6:$E$205),NA(),INDEX('KM Data'!$F$6:$F$205,MATCH($E433,'KM Data'!$E$6:$E$205,1)))</f>
        <v>#N/A</v>
      </c>
      <c r="S433" s="21">
        <f t="shared" si="131"/>
        <v>7.5901944333768512E-2</v>
      </c>
      <c r="T433" s="8">
        <f t="shared" si="134"/>
        <v>2.5752980944542259E-3</v>
      </c>
      <c r="U433" s="21">
        <f t="shared" si="144"/>
        <v>1.7075913689352823E-2</v>
      </c>
      <c r="V433" s="21">
        <f t="shared" si="145"/>
        <v>8.5990711050493149E-2</v>
      </c>
      <c r="W433" s="21">
        <f t="shared" si="146"/>
        <v>1.7075913689352823E-2</v>
      </c>
      <c r="Y433" s="23">
        <f t="shared" si="135"/>
        <v>3.9708770341542882E-3</v>
      </c>
      <c r="Z433" s="6">
        <f t="shared" si="136"/>
        <v>1.3105036655198535E-2</v>
      </c>
      <c r="AA433" s="6">
        <f t="shared" si="137"/>
        <v>0.9829240863106472</v>
      </c>
      <c r="AB433" s="6">
        <f t="shared" si="138"/>
        <v>1</v>
      </c>
    </row>
    <row r="434" spans="1:28" x14ac:dyDescent="0.35">
      <c r="A434">
        <v>425</v>
      </c>
      <c r="B434" s="17">
        <f t="shared" si="139"/>
        <v>12905.5</v>
      </c>
      <c r="C434" s="17">
        <f t="shared" si="132"/>
        <v>12935.9375</v>
      </c>
      <c r="D434" s="17">
        <f t="shared" si="140"/>
        <v>12920.71875</v>
      </c>
      <c r="E434" s="17">
        <f t="shared" si="126"/>
        <v>424.5</v>
      </c>
      <c r="F434" s="17">
        <f t="shared" si="127"/>
        <v>95.375</v>
      </c>
      <c r="G434" s="21">
        <f>INDEX('Life Tables'!$F$8:$F$123,MATCH(Engine!F434,'Life Tables'!$B$8:$B$123,1))</f>
        <v>2.4300510236848205E-2</v>
      </c>
      <c r="H434" s="8">
        <f t="shared" si="128"/>
        <v>0.29997686165814214</v>
      </c>
      <c r="I434">
        <f t="shared" si="129"/>
        <v>1</v>
      </c>
      <c r="K434" s="22" t="e">
        <f>$I434*IF($E434&gt;_xlfn.AGGREGATE(4,6,'KM Data'!$B$6:$B$310),NA(),INDEX('KM Data'!$C$6:$C$310,MATCH($E434,'KM Data'!$B$6:$B$310,1)))</f>
        <v>#N/A</v>
      </c>
      <c r="L434" s="21">
        <f t="shared" si="130"/>
        <v>1.3233870025735284E-2</v>
      </c>
      <c r="M434" s="20">
        <f t="shared" si="133"/>
        <v>3.9840872572908248E-3</v>
      </c>
      <c r="N434" s="21">
        <f t="shared" si="141"/>
        <v>3.8743826961365564E-3</v>
      </c>
      <c r="O434" s="21">
        <f t="shared" si="142"/>
        <v>8.3901092896336779E-2</v>
      </c>
      <c r="P434" s="21">
        <f t="shared" si="143"/>
        <v>3.8743826961365564E-3</v>
      </c>
      <c r="R434" s="22" t="e">
        <f>$I434*IF($E434&gt;_xlfn.AGGREGATE(4,6,'KM Data'!$E$6:$E$205),NA(),INDEX('KM Data'!$F$6:$F$205,MATCH($E434,'KM Data'!$E$6:$E$205,1)))</f>
        <v>#N/A</v>
      </c>
      <c r="S434" s="21">
        <f t="shared" si="131"/>
        <v>7.570647420116039E-2</v>
      </c>
      <c r="T434" s="8">
        <f t="shared" si="134"/>
        <v>2.5708217691202684E-3</v>
      </c>
      <c r="U434" s="21">
        <f t="shared" si="144"/>
        <v>1.6660960273941167E-2</v>
      </c>
      <c r="V434" s="21">
        <f t="shared" si="145"/>
        <v>8.3901092896336779E-2</v>
      </c>
      <c r="W434" s="21">
        <f t="shared" si="146"/>
        <v>1.6660960273941167E-2</v>
      </c>
      <c r="Y434" s="23">
        <f t="shared" si="135"/>
        <v>3.8743826961365564E-3</v>
      </c>
      <c r="Z434" s="6">
        <f t="shared" si="136"/>
        <v>1.278657757780461E-2</v>
      </c>
      <c r="AA434" s="6">
        <f t="shared" si="137"/>
        <v>0.98333903972605885</v>
      </c>
      <c r="AB434" s="6">
        <f t="shared" si="138"/>
        <v>1</v>
      </c>
    </row>
    <row r="435" spans="1:28" x14ac:dyDescent="0.35">
      <c r="A435">
        <v>426</v>
      </c>
      <c r="B435" s="17">
        <f t="shared" si="139"/>
        <v>12935.9375</v>
      </c>
      <c r="C435" s="17">
        <f t="shared" si="132"/>
        <v>12966.375</v>
      </c>
      <c r="D435" s="17">
        <f t="shared" si="140"/>
        <v>12951.15625</v>
      </c>
      <c r="E435" s="17">
        <f t="shared" si="126"/>
        <v>425.5</v>
      </c>
      <c r="F435" s="17">
        <f t="shared" si="127"/>
        <v>95.458333333333343</v>
      </c>
      <c r="G435" s="21">
        <f>INDEX('Life Tables'!$F$8:$F$123,MATCH(Engine!F435,'Life Tables'!$B$8:$B$123,1))</f>
        <v>2.4300510236848205E-2</v>
      </c>
      <c r="H435" s="8">
        <f t="shared" si="128"/>
        <v>0.29997686165814214</v>
      </c>
      <c r="I435">
        <f t="shared" si="129"/>
        <v>1</v>
      </c>
      <c r="K435" s="22" t="e">
        <f>$I435*IF($E435&gt;_xlfn.AGGREGATE(4,6,'KM Data'!$B$6:$B$310),NA(),INDEX('KM Data'!$C$6:$C$310,MATCH($E435,'KM Data'!$B$6:$B$310,1)))</f>
        <v>#N/A</v>
      </c>
      <c r="L435" s="21">
        <f t="shared" si="130"/>
        <v>1.3181145132801109E-2</v>
      </c>
      <c r="M435" s="20">
        <f t="shared" si="133"/>
        <v>3.9769046958864074E-3</v>
      </c>
      <c r="N435" s="21">
        <f t="shared" si="141"/>
        <v>3.7802332197676225E-3</v>
      </c>
      <c r="O435" s="21">
        <f t="shared" si="142"/>
        <v>8.1862253529526599E-2</v>
      </c>
      <c r="P435" s="21">
        <f t="shared" si="143"/>
        <v>3.7802332197676225E-3</v>
      </c>
      <c r="R435" s="22" t="e">
        <f>$I435*IF($E435&gt;_xlfn.AGGREGATE(4,6,'KM Data'!$E$6:$E$205),NA(),INDEX('KM Data'!$F$6:$F$205,MATCH($E435,'KM Data'!$E$6:$E$205,1)))</f>
        <v>#N/A</v>
      </c>
      <c r="S435" s="21">
        <f t="shared" si="131"/>
        <v>7.5511846349220701E-2</v>
      </c>
      <c r="T435" s="8">
        <f t="shared" si="134"/>
        <v>2.5663629660471754E-3</v>
      </c>
      <c r="U435" s="21">
        <f t="shared" si="144"/>
        <v>1.6256090438248539E-2</v>
      </c>
      <c r="V435" s="21">
        <f t="shared" si="145"/>
        <v>8.1862253529526599E-2</v>
      </c>
      <c r="W435" s="21">
        <f t="shared" si="146"/>
        <v>1.6256090438248539E-2</v>
      </c>
      <c r="Y435" s="23">
        <f t="shared" si="135"/>
        <v>3.7802332197676225E-3</v>
      </c>
      <c r="Z435" s="6">
        <f t="shared" si="136"/>
        <v>1.2475857218480917E-2</v>
      </c>
      <c r="AA435" s="6">
        <f t="shared" si="137"/>
        <v>0.98374390956175151</v>
      </c>
      <c r="AB435" s="6">
        <f t="shared" si="138"/>
        <v>1</v>
      </c>
    </row>
    <row r="436" spans="1:28" x14ac:dyDescent="0.35">
      <c r="A436">
        <v>427</v>
      </c>
      <c r="B436" s="17">
        <f t="shared" si="139"/>
        <v>12966.375</v>
      </c>
      <c r="C436" s="17">
        <f t="shared" si="132"/>
        <v>12996.8125</v>
      </c>
      <c r="D436" s="17">
        <f t="shared" si="140"/>
        <v>12981.59375</v>
      </c>
      <c r="E436" s="17">
        <f t="shared" si="126"/>
        <v>426.5</v>
      </c>
      <c r="F436" s="17">
        <f t="shared" si="127"/>
        <v>95.541666666666657</v>
      </c>
      <c r="G436" s="21">
        <f>INDEX('Life Tables'!$F$8:$F$123,MATCH(Engine!F436,'Life Tables'!$B$8:$B$123,1))</f>
        <v>2.4300510236848205E-2</v>
      </c>
      <c r="H436" s="8">
        <f t="shared" si="128"/>
        <v>0.29997686165814214</v>
      </c>
      <c r="I436">
        <f t="shared" si="129"/>
        <v>1</v>
      </c>
      <c r="K436" s="22" t="e">
        <f>$I436*IF($E436&gt;_xlfn.AGGREGATE(4,6,'KM Data'!$B$6:$B$310),NA(),INDEX('KM Data'!$C$6:$C$310,MATCH($E436,'KM Data'!$B$6:$B$310,1)))</f>
        <v>#N/A</v>
      </c>
      <c r="L436" s="21">
        <f t="shared" si="130"/>
        <v>1.3128724974825312E-2</v>
      </c>
      <c r="M436" s="20">
        <f t="shared" si="133"/>
        <v>3.9697508826829209E-3</v>
      </c>
      <c r="N436" s="21">
        <f t="shared" si="141"/>
        <v>3.688371623712986E-3</v>
      </c>
      <c r="O436" s="21">
        <f t="shared" si="142"/>
        <v>7.987295899962088E-2</v>
      </c>
      <c r="P436" s="21">
        <f t="shared" si="143"/>
        <v>3.688371623712986E-3</v>
      </c>
      <c r="R436" s="22" t="e">
        <f>$I436*IF($E436&gt;_xlfn.AGGREGATE(4,6,'KM Data'!$E$6:$E$205),NA(),INDEX('KM Data'!$F$6:$F$205,MATCH($E436,'KM Data'!$E$6:$E$205,1)))</f>
        <v>#N/A</v>
      </c>
      <c r="S436" s="21">
        <f t="shared" si="131"/>
        <v>7.5318055543252216E-2</v>
      </c>
      <c r="T436" s="8">
        <f t="shared" si="134"/>
        <v>2.5619215777520354E-3</v>
      </c>
      <c r="U436" s="21">
        <f t="shared" si="144"/>
        <v>1.5861059146142751E-2</v>
      </c>
      <c r="V436" s="21">
        <f t="shared" si="145"/>
        <v>7.987295899962088E-2</v>
      </c>
      <c r="W436" s="21">
        <f t="shared" si="146"/>
        <v>1.5861059146142751E-2</v>
      </c>
      <c r="Y436" s="23">
        <f t="shared" si="135"/>
        <v>3.688371623712986E-3</v>
      </c>
      <c r="Z436" s="6">
        <f t="shared" si="136"/>
        <v>1.2172687522429764E-2</v>
      </c>
      <c r="AA436" s="6">
        <f t="shared" si="137"/>
        <v>0.98413894085385722</v>
      </c>
      <c r="AB436" s="6">
        <f t="shared" si="138"/>
        <v>1</v>
      </c>
    </row>
    <row r="437" spans="1:28" x14ac:dyDescent="0.35">
      <c r="A437">
        <v>428</v>
      </c>
      <c r="B437" s="17">
        <f t="shared" si="139"/>
        <v>12996.8125</v>
      </c>
      <c r="C437" s="17">
        <f t="shared" si="132"/>
        <v>13027.25</v>
      </c>
      <c r="D437" s="17">
        <f t="shared" si="140"/>
        <v>13012.03125</v>
      </c>
      <c r="E437" s="17">
        <f t="shared" si="126"/>
        <v>427.5</v>
      </c>
      <c r="F437" s="17">
        <f t="shared" si="127"/>
        <v>95.625</v>
      </c>
      <c r="G437" s="21">
        <f>INDEX('Life Tables'!$F$8:$F$123,MATCH(Engine!F437,'Life Tables'!$B$8:$B$123,1))</f>
        <v>2.4300510236848205E-2</v>
      </c>
      <c r="H437" s="8">
        <f t="shared" si="128"/>
        <v>0.29997686165814214</v>
      </c>
      <c r="I437">
        <f t="shared" si="129"/>
        <v>1</v>
      </c>
      <c r="K437" s="22" t="e">
        <f>$I437*IF($E437&gt;_xlfn.AGGREGATE(4,6,'KM Data'!$B$6:$B$310),NA(),INDEX('KM Data'!$C$6:$C$310,MATCH($E437,'KM Data'!$B$6:$B$310,1)))</f>
        <v>#N/A</v>
      </c>
      <c r="L437" s="21">
        <f t="shared" si="130"/>
        <v>1.3076607207267998E-2</v>
      </c>
      <c r="M437" s="20">
        <f t="shared" si="133"/>
        <v>3.9626256384142078E-3</v>
      </c>
      <c r="N437" s="21">
        <f t="shared" si="141"/>
        <v>3.5987423113136483E-3</v>
      </c>
      <c r="O437" s="21">
        <f t="shared" si="142"/>
        <v>7.7932005341803237E-2</v>
      </c>
      <c r="P437" s="21">
        <f t="shared" si="143"/>
        <v>3.5987423113136483E-3</v>
      </c>
      <c r="R437" s="22" t="e">
        <f>$I437*IF($E437&gt;_xlfn.AGGREGATE(4,6,'KM Data'!$E$6:$E$205),NA(),INDEX('KM Data'!$F$6:$F$205,MATCH($E437,'KM Data'!$E$6:$E$205,1)))</f>
        <v>#N/A</v>
      </c>
      <c r="S437" s="21">
        <f t="shared" si="131"/>
        <v>7.5125096591561635E-2</v>
      </c>
      <c r="T437" s="8">
        <f t="shared" si="134"/>
        <v>2.5574974976536602E-3</v>
      </c>
      <c r="U437" s="21">
        <f t="shared" si="144"/>
        <v>1.5475627315994655E-2</v>
      </c>
      <c r="V437" s="21">
        <f t="shared" si="145"/>
        <v>7.7932005341803237E-2</v>
      </c>
      <c r="W437" s="21">
        <f t="shared" si="146"/>
        <v>1.5475627315994655E-2</v>
      </c>
      <c r="Y437" s="23">
        <f t="shared" si="135"/>
        <v>3.5987423113136483E-3</v>
      </c>
      <c r="Z437" s="6">
        <f t="shared" si="136"/>
        <v>1.1876885004681006E-2</v>
      </c>
      <c r="AA437" s="6">
        <f t="shared" si="137"/>
        <v>0.98452437268400539</v>
      </c>
      <c r="AB437" s="6">
        <f t="shared" si="138"/>
        <v>1</v>
      </c>
    </row>
    <row r="438" spans="1:28" x14ac:dyDescent="0.35">
      <c r="A438">
        <v>429</v>
      </c>
      <c r="B438" s="17">
        <f t="shared" si="139"/>
        <v>13027.25</v>
      </c>
      <c r="C438" s="17">
        <f t="shared" si="132"/>
        <v>13057.6875</v>
      </c>
      <c r="D438" s="17">
        <f t="shared" si="140"/>
        <v>13042.46875</v>
      </c>
      <c r="E438" s="17">
        <f t="shared" si="126"/>
        <v>428.5</v>
      </c>
      <c r="F438" s="17">
        <f t="shared" si="127"/>
        <v>95.708333333333343</v>
      </c>
      <c r="G438" s="21">
        <f>INDEX('Life Tables'!$F$8:$F$123,MATCH(Engine!F438,'Life Tables'!$B$8:$B$123,1))</f>
        <v>2.4300510236848205E-2</v>
      </c>
      <c r="H438" s="8">
        <f t="shared" si="128"/>
        <v>0.29997686165814214</v>
      </c>
      <c r="I438">
        <f t="shared" si="129"/>
        <v>1</v>
      </c>
      <c r="K438" s="22" t="e">
        <f>$I438*IF($E438&gt;_xlfn.AGGREGATE(4,6,'KM Data'!$B$6:$B$310),NA(),INDEX('KM Data'!$C$6:$C$310,MATCH($E438,'KM Data'!$B$6:$B$310,1)))</f>
        <v>#N/A</v>
      </c>
      <c r="L438" s="21">
        <f t="shared" si="130"/>
        <v>1.3024789508285006E-2</v>
      </c>
      <c r="M438" s="20">
        <f t="shared" si="133"/>
        <v>3.9555287853300092E-3</v>
      </c>
      <c r="N438" s="21">
        <f t="shared" si="141"/>
        <v>3.5112910369377924E-3</v>
      </c>
      <c r="O438" s="21">
        <f t="shared" si="142"/>
        <v>7.6038217848216641E-2</v>
      </c>
      <c r="P438" s="21">
        <f t="shared" si="143"/>
        <v>3.5112910369377924E-3</v>
      </c>
      <c r="R438" s="22" t="e">
        <f>$I438*IF($E438&gt;_xlfn.AGGREGATE(4,6,'KM Data'!$E$6:$E$205),NA(),INDEX('KM Data'!$F$6:$F$205,MATCH($E438,'KM Data'!$E$6:$E$205,1)))</f>
        <v>#N/A</v>
      </c>
      <c r="S438" s="21">
        <f t="shared" si="131"/>
        <v>7.4932964345017727E-2</v>
      </c>
      <c r="T438" s="8">
        <f t="shared" si="134"/>
        <v>2.5530906200532666E-3</v>
      </c>
      <c r="U438" s="21">
        <f t="shared" si="144"/>
        <v>1.5099561675980679E-2</v>
      </c>
      <c r="V438" s="21">
        <f t="shared" si="145"/>
        <v>7.6038217848216641E-2</v>
      </c>
      <c r="W438" s="21">
        <f t="shared" si="146"/>
        <v>1.5099561675980679E-2</v>
      </c>
      <c r="Y438" s="23">
        <f t="shared" si="135"/>
        <v>3.5112910369377924E-3</v>
      </c>
      <c r="Z438" s="6">
        <f t="shared" si="136"/>
        <v>1.1588270639042886E-2</v>
      </c>
      <c r="AA438" s="6">
        <f t="shared" si="137"/>
        <v>0.9849004383240193</v>
      </c>
      <c r="AB438" s="6">
        <f t="shared" si="138"/>
        <v>1</v>
      </c>
    </row>
    <row r="439" spans="1:28" x14ac:dyDescent="0.35">
      <c r="A439">
        <v>430</v>
      </c>
      <c r="B439" s="17">
        <f t="shared" si="139"/>
        <v>13057.6875</v>
      </c>
      <c r="C439" s="17">
        <f t="shared" si="132"/>
        <v>13088.125</v>
      </c>
      <c r="D439" s="17">
        <f t="shared" si="140"/>
        <v>13072.90625</v>
      </c>
      <c r="E439" s="17">
        <f t="shared" si="126"/>
        <v>429.5</v>
      </c>
      <c r="F439" s="17">
        <f t="shared" si="127"/>
        <v>95.791666666666657</v>
      </c>
      <c r="G439" s="21">
        <f>INDEX('Life Tables'!$F$8:$F$123,MATCH(Engine!F439,'Life Tables'!$B$8:$B$123,1))</f>
        <v>2.4300510236848205E-2</v>
      </c>
      <c r="H439" s="8">
        <f t="shared" si="128"/>
        <v>0.29997686165814214</v>
      </c>
      <c r="I439">
        <f t="shared" si="129"/>
        <v>1</v>
      </c>
      <c r="K439" s="22" t="e">
        <f>$I439*IF($E439&gt;_xlfn.AGGREGATE(4,6,'KM Data'!$B$6:$B$310),NA(),INDEX('KM Data'!$C$6:$C$310,MATCH($E439,'KM Data'!$B$6:$B$310,1)))</f>
        <v>#N/A</v>
      </c>
      <c r="L439" s="21">
        <f t="shared" si="130"/>
        <v>1.2973269578462121E-2</v>
      </c>
      <c r="M439" s="20">
        <f t="shared" si="133"/>
        <v>3.9484601471450054E-3</v>
      </c>
      <c r="N439" s="21">
        <f t="shared" si="141"/>
        <v>3.4259648731501322E-3</v>
      </c>
      <c r="O439" s="21">
        <f t="shared" si="142"/>
        <v>7.4190450357004362E-2</v>
      </c>
      <c r="P439" s="21">
        <f t="shared" si="143"/>
        <v>3.4259648731501322E-3</v>
      </c>
      <c r="R439" s="22" t="e">
        <f>$I439*IF($E439&gt;_xlfn.AGGREGATE(4,6,'KM Data'!$E$6:$E$205),NA(),INDEX('KM Data'!$F$6:$F$205,MATCH($E439,'KM Data'!$E$6:$E$205,1)))</f>
        <v>#N/A</v>
      </c>
      <c r="S439" s="21">
        <f t="shared" si="131"/>
        <v>7.4741653696615673E-2</v>
      </c>
      <c r="T439" s="8">
        <f t="shared" si="134"/>
        <v>2.5487008401418043E-3</v>
      </c>
      <c r="U439" s="21">
        <f t="shared" si="144"/>
        <v>1.4732634622901589E-2</v>
      </c>
      <c r="V439" s="21">
        <f t="shared" si="145"/>
        <v>7.4190450357004362E-2</v>
      </c>
      <c r="W439" s="21">
        <f t="shared" si="146"/>
        <v>1.4732634622901589E-2</v>
      </c>
      <c r="Y439" s="23">
        <f t="shared" si="135"/>
        <v>3.4259648731501322E-3</v>
      </c>
      <c r="Z439" s="6">
        <f t="shared" si="136"/>
        <v>1.1306669749751457E-2</v>
      </c>
      <c r="AA439" s="6">
        <f t="shared" si="137"/>
        <v>0.98526736537709836</v>
      </c>
      <c r="AB439" s="6">
        <f t="shared" si="138"/>
        <v>1</v>
      </c>
    </row>
    <row r="440" spans="1:28" x14ac:dyDescent="0.35">
      <c r="A440">
        <v>431</v>
      </c>
      <c r="B440" s="17">
        <f t="shared" si="139"/>
        <v>13088.125</v>
      </c>
      <c r="C440" s="17">
        <f t="shared" si="132"/>
        <v>13118.5625</v>
      </c>
      <c r="D440" s="17">
        <f t="shared" si="140"/>
        <v>13103.34375</v>
      </c>
      <c r="E440" s="17">
        <f t="shared" si="126"/>
        <v>430.5</v>
      </c>
      <c r="F440" s="17">
        <f t="shared" si="127"/>
        <v>95.875</v>
      </c>
      <c r="G440" s="21">
        <f>INDEX('Life Tables'!$F$8:$F$123,MATCH(Engine!F440,'Life Tables'!$B$8:$B$123,1))</f>
        <v>2.4300510236848205E-2</v>
      </c>
      <c r="H440" s="8">
        <f t="shared" si="128"/>
        <v>0.29997686165814214</v>
      </c>
      <c r="I440">
        <f t="shared" si="129"/>
        <v>1</v>
      </c>
      <c r="K440" s="22" t="e">
        <f>$I440*IF($E440&gt;_xlfn.AGGREGATE(4,6,'KM Data'!$B$6:$B$310),NA(),INDEX('KM Data'!$C$6:$C$310,MATCH($E440,'KM Data'!$B$6:$B$310,1)))</f>
        <v>#N/A</v>
      </c>
      <c r="L440" s="21">
        <f t="shared" si="130"/>
        <v>1.2922045140553395E-2</v>
      </c>
      <c r="M440" s="20">
        <f t="shared" si="133"/>
        <v>3.9414195491118686E-3</v>
      </c>
      <c r="N440" s="21">
        <f t="shared" si="141"/>
        <v>3.3427121786790649E-3</v>
      </c>
      <c r="O440" s="21">
        <f t="shared" si="142"/>
        <v>7.2387584558627593E-2</v>
      </c>
      <c r="P440" s="21">
        <f t="shared" si="143"/>
        <v>3.3427121786790649E-3</v>
      </c>
      <c r="R440" s="22" t="e">
        <f>$I440*IF($E440&gt;_xlfn.AGGREGATE(4,6,'KM Data'!$E$6:$E$205),NA(),INDEX('KM Data'!$F$6:$F$205,MATCH($E440,'KM Data'!$E$6:$E$205,1)))</f>
        <v>#N/A</v>
      </c>
      <c r="S440" s="21">
        <f t="shared" si="131"/>
        <v>7.4551159581045523E-2</v>
      </c>
      <c r="T440" s="8">
        <f t="shared" si="134"/>
        <v>2.5443280539750868E-3</v>
      </c>
      <c r="U440" s="21">
        <f t="shared" si="144"/>
        <v>1.4374624084432025E-2</v>
      </c>
      <c r="V440" s="21">
        <f t="shared" si="145"/>
        <v>7.2387584558627593E-2</v>
      </c>
      <c r="W440" s="21">
        <f t="shared" si="146"/>
        <v>1.4374624084432025E-2</v>
      </c>
      <c r="Y440" s="23">
        <f t="shared" si="135"/>
        <v>3.3427121786790649E-3</v>
      </c>
      <c r="Z440" s="6">
        <f t="shared" si="136"/>
        <v>1.1031911905752961E-2</v>
      </c>
      <c r="AA440" s="6">
        <f t="shared" si="137"/>
        <v>0.98562537591556798</v>
      </c>
      <c r="AB440" s="6">
        <f t="shared" si="138"/>
        <v>1</v>
      </c>
    </row>
    <row r="441" spans="1:28" x14ac:dyDescent="0.35">
      <c r="A441">
        <v>432</v>
      </c>
      <c r="B441" s="17">
        <f t="shared" si="139"/>
        <v>13118.5625</v>
      </c>
      <c r="C441" s="17">
        <f t="shared" si="132"/>
        <v>13149</v>
      </c>
      <c r="D441" s="17">
        <f t="shared" si="140"/>
        <v>13133.78125</v>
      </c>
      <c r="E441" s="17">
        <f t="shared" si="126"/>
        <v>431.5</v>
      </c>
      <c r="F441" s="17">
        <f t="shared" si="127"/>
        <v>95.958333333333343</v>
      </c>
      <c r="G441" s="21">
        <f>INDEX('Life Tables'!$F$8:$F$123,MATCH(Engine!F441,'Life Tables'!$B$8:$B$123,1))</f>
        <v>2.4300510236848205E-2</v>
      </c>
      <c r="H441" s="8">
        <f t="shared" si="128"/>
        <v>0.28983271657791515</v>
      </c>
      <c r="I441">
        <f t="shared" si="129"/>
        <v>1</v>
      </c>
      <c r="K441" s="22" t="e">
        <f>$I441*IF($E441&gt;_xlfn.AGGREGATE(4,6,'KM Data'!$B$6:$B$310),NA(),INDEX('KM Data'!$C$6:$C$310,MATCH($E441,'KM Data'!$B$6:$B$310,1)))</f>
        <v>#N/A</v>
      </c>
      <c r="L441" s="21">
        <f t="shared" si="130"/>
        <v>1.2871113939221912E-2</v>
      </c>
      <c r="M441" s="20">
        <f t="shared" si="133"/>
        <v>3.9344068179202329E-3</v>
      </c>
      <c r="N441" s="21">
        <f t="shared" si="141"/>
        <v>3.2614825671622369E-3</v>
      </c>
      <c r="O441" s="21">
        <f t="shared" si="142"/>
        <v>7.0628529319039943E-2</v>
      </c>
      <c r="P441" s="21">
        <f t="shared" si="143"/>
        <v>3.2614825671622369E-3</v>
      </c>
      <c r="R441" s="22" t="e">
        <f>$I441*IF($E441&gt;_xlfn.AGGREGATE(4,6,'KM Data'!$E$6:$E$205),NA(),INDEX('KM Data'!$F$6:$F$205,MATCH($E441,'KM Data'!$E$6:$E$205,1)))</f>
        <v>#N/A</v>
      </c>
      <c r="S441" s="21">
        <f t="shared" si="131"/>
        <v>7.4361476974267093E-2</v>
      </c>
      <c r="T441" s="8">
        <f t="shared" si="134"/>
        <v>2.5399721584730139E-3</v>
      </c>
      <c r="U441" s="21">
        <f t="shared" si="144"/>
        <v>1.402531338471744E-2</v>
      </c>
      <c r="V441" s="21">
        <f t="shared" si="145"/>
        <v>7.0628529319039943E-2</v>
      </c>
      <c r="W441" s="21">
        <f t="shared" si="146"/>
        <v>1.402531338471744E-2</v>
      </c>
      <c r="Y441" s="23">
        <f t="shared" si="135"/>
        <v>3.2614825671622369E-3</v>
      </c>
      <c r="Z441" s="6">
        <f t="shared" si="136"/>
        <v>1.0763830817555203E-2</v>
      </c>
      <c r="AA441" s="6">
        <f t="shared" si="137"/>
        <v>0.98597468661528254</v>
      </c>
      <c r="AB441" s="6">
        <f t="shared" si="138"/>
        <v>1</v>
      </c>
    </row>
    <row r="442" spans="1:28" x14ac:dyDescent="0.35">
      <c r="A442">
        <v>433</v>
      </c>
      <c r="B442" s="17">
        <f t="shared" si="139"/>
        <v>13149</v>
      </c>
      <c r="C442" s="17">
        <f t="shared" si="132"/>
        <v>13179.4375</v>
      </c>
      <c r="D442" s="17">
        <f t="shared" si="140"/>
        <v>13164.21875</v>
      </c>
      <c r="E442" s="17">
        <f t="shared" si="126"/>
        <v>432.5</v>
      </c>
      <c r="F442" s="17">
        <f t="shared" si="127"/>
        <v>96.041666666666657</v>
      </c>
      <c r="G442" s="21">
        <f>INDEX('Life Tables'!$F$8:$F$123,MATCH(Engine!F442,'Life Tables'!$B$8:$B$123,1))</f>
        <v>2.676812573459042E-2</v>
      </c>
      <c r="H442" s="8">
        <f t="shared" si="128"/>
        <v>0.28983271657791515</v>
      </c>
      <c r="I442">
        <f t="shared" si="129"/>
        <v>1</v>
      </c>
      <c r="K442" s="22" t="e">
        <f>$I442*IF($E442&gt;_xlfn.AGGREGATE(4,6,'KM Data'!$B$6:$B$310),NA(),INDEX('KM Data'!$C$6:$C$310,MATCH($E442,'KM Data'!$B$6:$B$310,1)))</f>
        <v>#N/A</v>
      </c>
      <c r="L442" s="21">
        <f t="shared" si="130"/>
        <v>1.282047374078521E-2</v>
      </c>
      <c r="M442" s="20">
        <f t="shared" si="133"/>
        <v>3.9274217817438783E-3</v>
      </c>
      <c r="N442" s="21">
        <f t="shared" si="141"/>
        <v>3.1822268766516092E-3</v>
      </c>
      <c r="O442" s="21">
        <f t="shared" si="142"/>
        <v>6.8912220019309078E-2</v>
      </c>
      <c r="P442" s="21">
        <f t="shared" si="143"/>
        <v>3.1822268766516092E-3</v>
      </c>
      <c r="R442" s="22" t="e">
        <f>$I442*IF($E442&gt;_xlfn.AGGREGATE(4,6,'KM Data'!$E$6:$E$205),NA(),INDEX('KM Data'!$F$6:$F$205,MATCH($E442,'KM Data'!$E$6:$E$205,1)))</f>
        <v>#N/A</v>
      </c>
      <c r="S442" s="21">
        <f t="shared" si="131"/>
        <v>7.4172600893089524E-2</v>
      </c>
      <c r="T442" s="8">
        <f t="shared" si="134"/>
        <v>2.5356330514042513E-3</v>
      </c>
      <c r="U442" s="21">
        <f t="shared" si="144"/>
        <v>1.3684491113237109E-2</v>
      </c>
      <c r="V442" s="21">
        <f t="shared" si="145"/>
        <v>6.8912220019309078E-2</v>
      </c>
      <c r="W442" s="21">
        <f t="shared" si="146"/>
        <v>1.3684491113237109E-2</v>
      </c>
      <c r="Y442" s="23">
        <f t="shared" si="135"/>
        <v>3.1822268766516092E-3</v>
      </c>
      <c r="Z442" s="6">
        <f t="shared" si="136"/>
        <v>1.05022642365855E-2</v>
      </c>
      <c r="AA442" s="6">
        <f t="shared" si="137"/>
        <v>0.98631550888676289</v>
      </c>
      <c r="AB442" s="6">
        <f t="shared" si="138"/>
        <v>1</v>
      </c>
    </row>
    <row r="443" spans="1:28" x14ac:dyDescent="0.35">
      <c r="A443">
        <v>434</v>
      </c>
      <c r="B443" s="17">
        <f t="shared" si="139"/>
        <v>13179.4375</v>
      </c>
      <c r="C443" s="17">
        <f t="shared" si="132"/>
        <v>13209.875</v>
      </c>
      <c r="D443" s="17">
        <f t="shared" si="140"/>
        <v>13194.65625</v>
      </c>
      <c r="E443" s="17">
        <f t="shared" si="126"/>
        <v>433.5</v>
      </c>
      <c r="F443" s="17">
        <f t="shared" si="127"/>
        <v>96.125</v>
      </c>
      <c r="G443" s="21">
        <f>INDEX('Life Tables'!$F$8:$F$123,MATCH(Engine!F443,'Life Tables'!$B$8:$B$123,1))</f>
        <v>2.676812573459042E-2</v>
      </c>
      <c r="H443" s="8">
        <f t="shared" si="128"/>
        <v>0.28983271657791515</v>
      </c>
      <c r="I443">
        <f t="shared" si="129"/>
        <v>1</v>
      </c>
      <c r="K443" s="22" t="e">
        <f>$I443*IF($E443&gt;_xlfn.AGGREGATE(4,6,'KM Data'!$B$6:$B$310),NA(),INDEX('KM Data'!$C$6:$C$310,MATCH($E443,'KM Data'!$B$6:$B$310,1)))</f>
        <v>#N/A</v>
      </c>
      <c r="L443" s="21">
        <f t="shared" si="130"/>
        <v>1.2770122332963374E-2</v>
      </c>
      <c r="M443" s="20">
        <f t="shared" si="133"/>
        <v>3.920464270165791E-3</v>
      </c>
      <c r="N443" s="21">
        <f t="shared" si="141"/>
        <v>3.0970446275014061E-3</v>
      </c>
      <c r="O443" s="21">
        <f t="shared" si="142"/>
        <v>6.7067569049182457E-2</v>
      </c>
      <c r="P443" s="21">
        <f t="shared" si="143"/>
        <v>3.0970446275014061E-3</v>
      </c>
      <c r="R443" s="22" t="e">
        <f>$I443*IF($E443&gt;_xlfn.AGGREGATE(4,6,'KM Data'!$E$6:$E$205),NA(),INDEX('KM Data'!$F$6:$F$205,MATCH($E443,'KM Data'!$E$6:$E$205,1)))</f>
        <v>#N/A</v>
      </c>
      <c r="S443" s="21">
        <f t="shared" si="131"/>
        <v>7.3984526394756389E-2</v>
      </c>
      <c r="T443" s="8">
        <f t="shared" si="134"/>
        <v>2.5313106313880063E-3</v>
      </c>
      <c r="U443" s="21">
        <f t="shared" si="144"/>
        <v>1.3318182934504093E-2</v>
      </c>
      <c r="V443" s="21">
        <f t="shared" si="145"/>
        <v>6.7067569049182457E-2</v>
      </c>
      <c r="W443" s="21">
        <f t="shared" si="146"/>
        <v>1.3318182934504093E-2</v>
      </c>
      <c r="Y443" s="23">
        <f t="shared" si="135"/>
        <v>3.0970446275014061E-3</v>
      </c>
      <c r="Z443" s="6">
        <f t="shared" si="136"/>
        <v>1.0221138307002688E-2</v>
      </c>
      <c r="AA443" s="6">
        <f t="shared" si="137"/>
        <v>0.98668181706549596</v>
      </c>
      <c r="AB443" s="6">
        <f t="shared" si="138"/>
        <v>1</v>
      </c>
    </row>
    <row r="444" spans="1:28" x14ac:dyDescent="0.35">
      <c r="A444">
        <v>435</v>
      </c>
      <c r="B444" s="17">
        <f t="shared" si="139"/>
        <v>13209.875</v>
      </c>
      <c r="C444" s="17">
        <f t="shared" si="132"/>
        <v>13240.3125</v>
      </c>
      <c r="D444" s="17">
        <f t="shared" si="140"/>
        <v>13225.09375</v>
      </c>
      <c r="E444" s="17">
        <f t="shared" si="126"/>
        <v>434.5</v>
      </c>
      <c r="F444" s="17">
        <f t="shared" si="127"/>
        <v>96.208333333333343</v>
      </c>
      <c r="G444" s="21">
        <f>INDEX('Life Tables'!$F$8:$F$123,MATCH(Engine!F444,'Life Tables'!$B$8:$B$123,1))</f>
        <v>2.676812573459042E-2</v>
      </c>
      <c r="H444" s="8">
        <f t="shared" si="128"/>
        <v>0.28983271657791515</v>
      </c>
      <c r="I444">
        <f t="shared" si="129"/>
        <v>1</v>
      </c>
      <c r="K444" s="22" t="e">
        <f>$I444*IF($E444&gt;_xlfn.AGGREGATE(4,6,'KM Data'!$B$6:$B$310),NA(),INDEX('KM Data'!$C$6:$C$310,MATCH($E444,'KM Data'!$B$6:$B$310,1)))</f>
        <v>#N/A</v>
      </c>
      <c r="L444" s="21">
        <f t="shared" si="130"/>
        <v>1.2720057524631345E-2</v>
      </c>
      <c r="M444" s="20">
        <f t="shared" si="133"/>
        <v>3.9135341141998126E-3</v>
      </c>
      <c r="N444" s="21">
        <f t="shared" si="141"/>
        <v>3.0141425475068108E-3</v>
      </c>
      <c r="O444" s="21">
        <f t="shared" si="142"/>
        <v>6.5272295928160612E-2</v>
      </c>
      <c r="P444" s="21">
        <f t="shared" si="143"/>
        <v>3.0141425475068108E-3</v>
      </c>
      <c r="R444" s="22" t="e">
        <f>$I444*IF($E444&gt;_xlfn.AGGREGATE(4,6,'KM Data'!$E$6:$E$205),NA(),INDEX('KM Data'!$F$6:$F$205,MATCH($E444,'KM Data'!$E$6:$E$205,1)))</f>
        <v>#N/A</v>
      </c>
      <c r="S444" s="21">
        <f t="shared" si="131"/>
        <v>7.3797248576535135E-2</v>
      </c>
      <c r="T444" s="8">
        <f t="shared" si="134"/>
        <v>2.5270047978714905E-3</v>
      </c>
      <c r="U444" s="21">
        <f t="shared" si="144"/>
        <v>1.2961680139157012E-2</v>
      </c>
      <c r="V444" s="21">
        <f t="shared" si="145"/>
        <v>6.5272295928160612E-2</v>
      </c>
      <c r="W444" s="21">
        <f t="shared" si="146"/>
        <v>1.2961680139157012E-2</v>
      </c>
      <c r="Y444" s="23">
        <f t="shared" si="135"/>
        <v>3.0141425475068108E-3</v>
      </c>
      <c r="Z444" s="6">
        <f t="shared" si="136"/>
        <v>9.9475375916502004E-3</v>
      </c>
      <c r="AA444" s="6">
        <f t="shared" si="137"/>
        <v>0.98703831986084301</v>
      </c>
      <c r="AB444" s="6">
        <f t="shared" si="138"/>
        <v>1</v>
      </c>
    </row>
    <row r="445" spans="1:28" x14ac:dyDescent="0.35">
      <c r="A445">
        <v>436</v>
      </c>
      <c r="B445" s="17">
        <f t="shared" si="139"/>
        <v>13240.3125</v>
      </c>
      <c r="C445" s="17">
        <f t="shared" si="132"/>
        <v>13270.75</v>
      </c>
      <c r="D445" s="17">
        <f t="shared" si="140"/>
        <v>13255.53125</v>
      </c>
      <c r="E445" s="17">
        <f t="shared" si="126"/>
        <v>435.5</v>
      </c>
      <c r="F445" s="17">
        <f t="shared" si="127"/>
        <v>96.291666666666657</v>
      </c>
      <c r="G445" s="21">
        <f>INDEX('Life Tables'!$F$8:$F$123,MATCH(Engine!F445,'Life Tables'!$B$8:$B$123,1))</f>
        <v>2.676812573459042E-2</v>
      </c>
      <c r="H445" s="8">
        <f t="shared" si="128"/>
        <v>0.28983271657791515</v>
      </c>
      <c r="I445">
        <f t="shared" si="129"/>
        <v>1</v>
      </c>
      <c r="K445" s="22" t="e">
        <f>$I445*IF($E445&gt;_xlfn.AGGREGATE(4,6,'KM Data'!$B$6:$B$310),NA(),INDEX('KM Data'!$C$6:$C$310,MATCH($E445,'KM Data'!$B$6:$B$310,1)))</f>
        <v>#N/A</v>
      </c>
      <c r="L445" s="21">
        <f t="shared" si="130"/>
        <v>1.2670277145574116E-2</v>
      </c>
      <c r="M445" s="20">
        <f t="shared" si="133"/>
        <v>3.906631146320616E-3</v>
      </c>
      <c r="N445" s="21">
        <f t="shared" si="141"/>
        <v>2.9334596008131699E-3</v>
      </c>
      <c r="O445" s="21">
        <f t="shared" si="142"/>
        <v>6.352507890377021E-2</v>
      </c>
      <c r="P445" s="21">
        <f t="shared" si="143"/>
        <v>2.9334596008131699E-3</v>
      </c>
      <c r="R445" s="22" t="e">
        <f>$I445*IF($E445&gt;_xlfn.AGGREGATE(4,6,'KM Data'!$E$6:$E$205),NA(),INDEX('KM Data'!$F$6:$F$205,MATCH($E445,'KM Data'!$E$6:$E$205,1)))</f>
        <v>#N/A</v>
      </c>
      <c r="S445" s="21">
        <f t="shared" si="131"/>
        <v>7.3610762575312516E-2</v>
      </c>
      <c r="T445" s="8">
        <f t="shared" si="134"/>
        <v>2.52271545113536E-3</v>
      </c>
      <c r="U445" s="21">
        <f t="shared" si="144"/>
        <v>1.2614720255460513E-2</v>
      </c>
      <c r="V445" s="21">
        <f t="shared" si="145"/>
        <v>6.352507890377021E-2</v>
      </c>
      <c r="W445" s="21">
        <f t="shared" si="146"/>
        <v>1.2614720255460513E-2</v>
      </c>
      <c r="Y445" s="23">
        <f t="shared" si="135"/>
        <v>2.9334596008131699E-3</v>
      </c>
      <c r="Z445" s="6">
        <f t="shared" si="136"/>
        <v>9.6812606546473438E-3</v>
      </c>
      <c r="AA445" s="6">
        <f t="shared" si="137"/>
        <v>0.98738527974453949</v>
      </c>
      <c r="AB445" s="6">
        <f t="shared" si="138"/>
        <v>1</v>
      </c>
    </row>
    <row r="446" spans="1:28" x14ac:dyDescent="0.35">
      <c r="A446">
        <v>437</v>
      </c>
      <c r="B446" s="17">
        <f t="shared" si="139"/>
        <v>13270.75</v>
      </c>
      <c r="C446" s="17">
        <f t="shared" si="132"/>
        <v>13301.1875</v>
      </c>
      <c r="D446" s="17">
        <f t="shared" si="140"/>
        <v>13285.96875</v>
      </c>
      <c r="E446" s="17">
        <f t="shared" si="126"/>
        <v>436.5</v>
      </c>
      <c r="F446" s="17">
        <f t="shared" si="127"/>
        <v>96.375</v>
      </c>
      <c r="G446" s="21">
        <f>INDEX('Life Tables'!$F$8:$F$123,MATCH(Engine!F446,'Life Tables'!$B$8:$B$123,1))</f>
        <v>2.676812573459042E-2</v>
      </c>
      <c r="H446" s="8">
        <f t="shared" si="128"/>
        <v>0.28983271657791515</v>
      </c>
      <c r="I446">
        <f t="shared" si="129"/>
        <v>1</v>
      </c>
      <c r="K446" s="22" t="e">
        <f>$I446*IF($E446&gt;_xlfn.AGGREGATE(4,6,'KM Data'!$B$6:$B$310),NA(),INDEX('KM Data'!$C$6:$C$310,MATCH($E446,'KM Data'!$B$6:$B$310,1)))</f>
        <v>#N/A</v>
      </c>
      <c r="L446" s="21">
        <f t="shared" si="130"/>
        <v>1.2620779046244701E-2</v>
      </c>
      <c r="M446" s="20">
        <f t="shared" si="133"/>
        <v>3.8997552003042779E-3</v>
      </c>
      <c r="N446" s="21">
        <f t="shared" si="141"/>
        <v>2.8549363853812614E-3</v>
      </c>
      <c r="O446" s="21">
        <f t="shared" si="142"/>
        <v>6.1824631604374312E-2</v>
      </c>
      <c r="P446" s="21">
        <f t="shared" si="143"/>
        <v>2.8549363853812614E-3</v>
      </c>
      <c r="R446" s="22" t="e">
        <f>$I446*IF($E446&gt;_xlfn.AGGREGATE(4,6,'KM Data'!$E$6:$E$205),NA(),INDEX('KM Data'!$F$6:$F$205,MATCH($E446,'KM Data'!$E$6:$E$205,1)))</f>
        <v>#N/A</v>
      </c>
      <c r="S446" s="21">
        <f t="shared" si="131"/>
        <v>7.3425063567193916E-2</v>
      </c>
      <c r="T446" s="8">
        <f t="shared" si="134"/>
        <v>2.5184424922700677E-3</v>
      </c>
      <c r="U446" s="21">
        <f t="shared" si="144"/>
        <v>1.2277047837555661E-2</v>
      </c>
      <c r="V446" s="21">
        <f t="shared" si="145"/>
        <v>6.1824631604374312E-2</v>
      </c>
      <c r="W446" s="21">
        <f t="shared" si="146"/>
        <v>1.2277047837555661E-2</v>
      </c>
      <c r="Y446" s="23">
        <f t="shared" si="135"/>
        <v>2.8549363853812614E-3</v>
      </c>
      <c r="Z446" s="6">
        <f t="shared" si="136"/>
        <v>9.422111452174399E-3</v>
      </c>
      <c r="AA446" s="6">
        <f t="shared" si="137"/>
        <v>0.98772295216244432</v>
      </c>
      <c r="AB446" s="6">
        <f t="shared" si="138"/>
        <v>1</v>
      </c>
    </row>
    <row r="447" spans="1:28" x14ac:dyDescent="0.35">
      <c r="A447">
        <v>438</v>
      </c>
      <c r="B447" s="17">
        <f t="shared" si="139"/>
        <v>13301.1875</v>
      </c>
      <c r="C447" s="17">
        <f t="shared" si="132"/>
        <v>13331.625</v>
      </c>
      <c r="D447" s="17">
        <f t="shared" si="140"/>
        <v>13316.40625</v>
      </c>
      <c r="E447" s="17">
        <f t="shared" si="126"/>
        <v>437.5</v>
      </c>
      <c r="F447" s="17">
        <f t="shared" si="127"/>
        <v>96.458333333333343</v>
      </c>
      <c r="G447" s="21">
        <f>INDEX('Life Tables'!$F$8:$F$123,MATCH(Engine!F447,'Life Tables'!$B$8:$B$123,1))</f>
        <v>2.676812573459042E-2</v>
      </c>
      <c r="H447" s="8">
        <f t="shared" si="128"/>
        <v>0.28983271657791515</v>
      </c>
      <c r="I447">
        <f t="shared" si="129"/>
        <v>1</v>
      </c>
      <c r="K447" s="22" t="e">
        <f>$I447*IF($E447&gt;_xlfn.AGGREGATE(4,6,'KM Data'!$B$6:$B$310),NA(),INDEX('KM Data'!$C$6:$C$310,MATCH($E447,'KM Data'!$B$6:$B$310,1)))</f>
        <v>#N/A</v>
      </c>
      <c r="L447" s="21">
        <f t="shared" si="130"/>
        <v>1.2571561097527217E-2</v>
      </c>
      <c r="M447" s="20">
        <f t="shared" si="133"/>
        <v>3.8929061114061358E-3</v>
      </c>
      <c r="N447" s="21">
        <f t="shared" si="141"/>
        <v>2.7785150892531188E-3</v>
      </c>
      <c r="O447" s="21">
        <f t="shared" si="142"/>
        <v>6.0169702092093685E-2</v>
      </c>
      <c r="P447" s="21">
        <f t="shared" si="143"/>
        <v>2.7785150892531188E-3</v>
      </c>
      <c r="R447" s="22" t="e">
        <f>$I447*IF($E447&gt;_xlfn.AGGREGATE(4,6,'KM Data'!$E$6:$E$205),NA(),INDEX('KM Data'!$F$6:$F$205,MATCH($E447,'KM Data'!$E$6:$E$205,1)))</f>
        <v>#N/A</v>
      </c>
      <c r="S447" s="21">
        <f t="shared" si="131"/>
        <v>7.324014676710866E-2</v>
      </c>
      <c r="T447" s="8">
        <f t="shared" si="134"/>
        <v>2.5141858231823022E-3</v>
      </c>
      <c r="U447" s="21">
        <f t="shared" si="144"/>
        <v>1.1948414277390389E-2</v>
      </c>
      <c r="V447" s="21">
        <f t="shared" si="145"/>
        <v>6.0169702092093685E-2</v>
      </c>
      <c r="W447" s="21">
        <f t="shared" si="146"/>
        <v>1.1948414277390389E-2</v>
      </c>
      <c r="Y447" s="23">
        <f t="shared" si="135"/>
        <v>2.7785150892531188E-3</v>
      </c>
      <c r="Z447" s="6">
        <f t="shared" si="136"/>
        <v>9.1698991881372701E-3</v>
      </c>
      <c r="AA447" s="6">
        <f t="shared" si="137"/>
        <v>0.98805158572260965</v>
      </c>
      <c r="AB447" s="6">
        <f t="shared" si="138"/>
        <v>1</v>
      </c>
    </row>
    <row r="448" spans="1:28" x14ac:dyDescent="0.35">
      <c r="A448">
        <v>439</v>
      </c>
      <c r="B448" s="17">
        <f t="shared" si="139"/>
        <v>13331.625</v>
      </c>
      <c r="C448" s="17">
        <f t="shared" si="132"/>
        <v>13362.0625</v>
      </c>
      <c r="D448" s="17">
        <f t="shared" si="140"/>
        <v>13346.84375</v>
      </c>
      <c r="E448" s="17">
        <f t="shared" si="126"/>
        <v>438.5</v>
      </c>
      <c r="F448" s="17">
        <f t="shared" si="127"/>
        <v>96.541666666666657</v>
      </c>
      <c r="G448" s="21">
        <f>INDEX('Life Tables'!$F$8:$F$123,MATCH(Engine!F448,'Life Tables'!$B$8:$B$123,1))</f>
        <v>2.676812573459042E-2</v>
      </c>
      <c r="H448" s="8">
        <f t="shared" si="128"/>
        <v>0.28983271657791515</v>
      </c>
      <c r="I448">
        <f t="shared" si="129"/>
        <v>1</v>
      </c>
      <c r="K448" s="22" t="e">
        <f>$I448*IF($E448&gt;_xlfn.AGGREGATE(4,6,'KM Data'!$B$6:$B$310),NA(),INDEX('KM Data'!$C$6:$C$310,MATCH($E448,'KM Data'!$B$6:$B$310,1)))</f>
        <v>#N/A</v>
      </c>
      <c r="L448" s="21">
        <f t="shared" si="130"/>
        <v>1.2522621190500738E-2</v>
      </c>
      <c r="M448" s="20">
        <f t="shared" si="133"/>
        <v>3.886083716168387E-3</v>
      </c>
      <c r="N448" s="21">
        <f t="shared" si="141"/>
        <v>2.7041394479885347E-3</v>
      </c>
      <c r="O448" s="21">
        <f t="shared" si="142"/>
        <v>5.8559071941079677E-2</v>
      </c>
      <c r="P448" s="21">
        <f t="shared" si="143"/>
        <v>2.7041394479885347E-3</v>
      </c>
      <c r="R448" s="22" t="e">
        <f>$I448*IF($E448&gt;_xlfn.AGGREGATE(4,6,'KM Data'!$E$6:$E$205),NA(),INDEX('KM Data'!$F$6:$F$205,MATCH($E448,'KM Data'!$E$6:$E$205,1)))</f>
        <v>#N/A</v>
      </c>
      <c r="S448" s="21">
        <f t="shared" si="131"/>
        <v>7.3056007428419001E-2</v>
      </c>
      <c r="T448" s="8">
        <f t="shared" si="134"/>
        <v>2.5099453465726729E-3</v>
      </c>
      <c r="U448" s="21">
        <f t="shared" si="144"/>
        <v>1.1628577621684228E-2</v>
      </c>
      <c r="V448" s="21">
        <f t="shared" si="145"/>
        <v>5.8559071941079677E-2</v>
      </c>
      <c r="W448" s="21">
        <f t="shared" si="146"/>
        <v>1.1628577621684228E-2</v>
      </c>
      <c r="Y448" s="23">
        <f t="shared" si="135"/>
        <v>2.7041394479885347E-3</v>
      </c>
      <c r="Z448" s="6">
        <f t="shared" si="136"/>
        <v>8.9244381736956931E-3</v>
      </c>
      <c r="AA448" s="6">
        <f t="shared" si="137"/>
        <v>0.98837142237831577</v>
      </c>
      <c r="AB448" s="6">
        <f t="shared" si="138"/>
        <v>1</v>
      </c>
    </row>
    <row r="449" spans="1:28" x14ac:dyDescent="0.35">
      <c r="A449">
        <v>440</v>
      </c>
      <c r="B449" s="17">
        <f t="shared" si="139"/>
        <v>13362.0625</v>
      </c>
      <c r="C449" s="17">
        <f t="shared" si="132"/>
        <v>13392.5</v>
      </c>
      <c r="D449" s="17">
        <f t="shared" si="140"/>
        <v>13377.28125</v>
      </c>
      <c r="E449" s="17">
        <f t="shared" si="126"/>
        <v>439.5</v>
      </c>
      <c r="F449" s="17">
        <f t="shared" si="127"/>
        <v>96.625</v>
      </c>
      <c r="G449" s="21">
        <f>INDEX('Life Tables'!$F$8:$F$123,MATCH(Engine!F449,'Life Tables'!$B$8:$B$123,1))</f>
        <v>2.676812573459042E-2</v>
      </c>
      <c r="H449" s="8">
        <f t="shared" si="128"/>
        <v>0.28983271657791515</v>
      </c>
      <c r="I449">
        <f t="shared" si="129"/>
        <v>1</v>
      </c>
      <c r="K449" s="22" t="e">
        <f>$I449*IF($E449&gt;_xlfn.AGGREGATE(4,6,'KM Data'!$B$6:$B$310),NA(),INDEX('KM Data'!$C$6:$C$310,MATCH($E449,'KM Data'!$B$6:$B$310,1)))</f>
        <v>#N/A</v>
      </c>
      <c r="L449" s="21">
        <f t="shared" si="130"/>
        <v>1.2473957236208588E-2</v>
      </c>
      <c r="M449" s="20">
        <f t="shared" si="133"/>
        <v>3.8792878525379937E-3</v>
      </c>
      <c r="N449" s="21">
        <f t="shared" si="141"/>
        <v>2.6317547032409117E-3</v>
      </c>
      <c r="O449" s="21">
        <f t="shared" si="142"/>
        <v>5.699155534045993E-2</v>
      </c>
      <c r="P449" s="21">
        <f t="shared" si="143"/>
        <v>2.6317547032409117E-3</v>
      </c>
      <c r="R449" s="22" t="e">
        <f>$I449*IF($E449&gt;_xlfn.AGGREGATE(4,6,'KM Data'!$E$6:$E$205),NA(),INDEX('KM Data'!$F$6:$F$205,MATCH($E449,'KM Data'!$E$6:$E$205,1)))</f>
        <v>#N/A</v>
      </c>
      <c r="S449" s="21">
        <f t="shared" si="131"/>
        <v>7.2872640842534864E-2</v>
      </c>
      <c r="T449" s="8">
        <f t="shared" si="134"/>
        <v>2.5057209659420376E-3</v>
      </c>
      <c r="U449" s="21">
        <f t="shared" si="144"/>
        <v>1.131730239379254E-2</v>
      </c>
      <c r="V449" s="21">
        <f t="shared" si="145"/>
        <v>5.699155534045993E-2</v>
      </c>
      <c r="W449" s="21">
        <f t="shared" si="146"/>
        <v>1.131730239379254E-2</v>
      </c>
      <c r="Y449" s="23">
        <f t="shared" si="135"/>
        <v>2.6317547032409117E-3</v>
      </c>
      <c r="Z449" s="6">
        <f t="shared" si="136"/>
        <v>8.6855476905516281E-3</v>
      </c>
      <c r="AA449" s="6">
        <f t="shared" si="137"/>
        <v>0.98868269760620742</v>
      </c>
      <c r="AB449" s="6">
        <f t="shared" si="138"/>
        <v>1</v>
      </c>
    </row>
    <row r="450" spans="1:28" x14ac:dyDescent="0.35">
      <c r="A450">
        <v>441</v>
      </c>
      <c r="B450" s="17">
        <f t="shared" si="139"/>
        <v>13392.5</v>
      </c>
      <c r="C450" s="17">
        <f t="shared" si="132"/>
        <v>13422.9375</v>
      </c>
      <c r="D450" s="17">
        <f t="shared" si="140"/>
        <v>13407.71875</v>
      </c>
      <c r="E450" s="17">
        <f t="shared" si="126"/>
        <v>440.5</v>
      </c>
      <c r="F450" s="17">
        <f t="shared" si="127"/>
        <v>96.708333333333343</v>
      </c>
      <c r="G450" s="21">
        <f>INDEX('Life Tables'!$F$8:$F$123,MATCH(Engine!F450,'Life Tables'!$B$8:$B$123,1))</f>
        <v>2.676812573459042E-2</v>
      </c>
      <c r="H450" s="8">
        <f t="shared" si="128"/>
        <v>0.28983271657791515</v>
      </c>
      <c r="I450">
        <f t="shared" si="129"/>
        <v>1</v>
      </c>
      <c r="K450" s="22" t="e">
        <f>$I450*IF($E450&gt;_xlfn.AGGREGATE(4,6,'KM Data'!$B$6:$B$310),NA(),INDEX('KM Data'!$C$6:$C$310,MATCH($E450,'KM Data'!$B$6:$B$310,1)))</f>
        <v>#N/A</v>
      </c>
      <c r="L450" s="21">
        <f t="shared" si="130"/>
        <v>1.2425567165429086E-2</v>
      </c>
      <c r="M450" s="20">
        <f t="shared" si="133"/>
        <v>3.8725183597806412E-3</v>
      </c>
      <c r="N450" s="21">
        <f t="shared" si="141"/>
        <v>2.5613075624419594E-3</v>
      </c>
      <c r="O450" s="21">
        <f t="shared" si="142"/>
        <v>5.5465998221296629E-2</v>
      </c>
      <c r="P450" s="21">
        <f t="shared" si="143"/>
        <v>2.5613075624419594E-3</v>
      </c>
      <c r="R450" s="22" t="e">
        <f>$I450*IF($E450&gt;_xlfn.AGGREGATE(4,6,'KM Data'!$E$6:$E$205),NA(),INDEX('KM Data'!$F$6:$F$205,MATCH($E450,'KM Data'!$E$6:$E$205,1)))</f>
        <v>#N/A</v>
      </c>
      <c r="S450" s="21">
        <f t="shared" si="131"/>
        <v>7.2690042338532157E-2</v>
      </c>
      <c r="T450" s="8">
        <f t="shared" si="134"/>
        <v>2.5015125855679665E-3</v>
      </c>
      <c r="U450" s="21">
        <f t="shared" si="144"/>
        <v>1.1014359420339121E-2</v>
      </c>
      <c r="V450" s="21">
        <f t="shared" si="145"/>
        <v>5.5465998221296629E-2</v>
      </c>
      <c r="W450" s="21">
        <f t="shared" si="146"/>
        <v>1.1014359420339121E-2</v>
      </c>
      <c r="Y450" s="23">
        <f t="shared" si="135"/>
        <v>2.5613075624419594E-3</v>
      </c>
      <c r="Z450" s="6">
        <f t="shared" si="136"/>
        <v>8.4530518578971609E-3</v>
      </c>
      <c r="AA450" s="6">
        <f t="shared" si="137"/>
        <v>0.98898564057966087</v>
      </c>
      <c r="AB450" s="6">
        <f t="shared" si="138"/>
        <v>1</v>
      </c>
    </row>
    <row r="451" spans="1:28" x14ac:dyDescent="0.35">
      <c r="A451">
        <v>442</v>
      </c>
      <c r="B451" s="17">
        <f t="shared" si="139"/>
        <v>13422.9375</v>
      </c>
      <c r="C451" s="17">
        <f t="shared" si="132"/>
        <v>13453.375</v>
      </c>
      <c r="D451" s="17">
        <f t="shared" si="140"/>
        <v>13438.15625</v>
      </c>
      <c r="E451" s="17">
        <f t="shared" si="126"/>
        <v>441.5</v>
      </c>
      <c r="F451" s="17">
        <f t="shared" si="127"/>
        <v>96.791666666666657</v>
      </c>
      <c r="G451" s="21">
        <f>INDEX('Life Tables'!$F$8:$F$123,MATCH(Engine!F451,'Life Tables'!$B$8:$B$123,1))</f>
        <v>2.676812573459042E-2</v>
      </c>
      <c r="H451" s="8">
        <f t="shared" si="128"/>
        <v>0.28983271657791515</v>
      </c>
      <c r="I451">
        <f t="shared" si="129"/>
        <v>1</v>
      </c>
      <c r="K451" s="22" t="e">
        <f>$I451*IF($E451&gt;_xlfn.AGGREGATE(4,6,'KM Data'!$B$6:$B$310),NA(),INDEX('KM Data'!$C$6:$C$310,MATCH($E451,'KM Data'!$B$6:$B$310,1)))</f>
        <v>#N/A</v>
      </c>
      <c r="L451" s="21">
        <f t="shared" si="130"/>
        <v>1.2377448928450274E-2</v>
      </c>
      <c r="M451" s="20">
        <f t="shared" si="133"/>
        <v>3.8657750784681921E-3</v>
      </c>
      <c r="N451" s="21">
        <f t="shared" si="141"/>
        <v>2.4927461595655558E-3</v>
      </c>
      <c r="O451" s="21">
        <f t="shared" si="142"/>
        <v>5.3981277406914392E-2</v>
      </c>
      <c r="P451" s="21">
        <f t="shared" si="143"/>
        <v>2.4927461595655558E-3</v>
      </c>
      <c r="R451" s="22" t="e">
        <f>$I451*IF($E451&gt;_xlfn.AGGREGATE(4,6,'KM Data'!$E$6:$E$205),NA(),INDEX('KM Data'!$F$6:$F$205,MATCH($E451,'KM Data'!$E$6:$E$205,1)))</f>
        <v>#N/A</v>
      </c>
      <c r="S451" s="21">
        <f t="shared" si="131"/>
        <v>7.2508207282776849E-2</v>
      </c>
      <c r="T451" s="8">
        <f t="shared" si="134"/>
        <v>2.4973201105107368E-3</v>
      </c>
      <c r="U451" s="21">
        <f t="shared" si="144"/>
        <v>1.0719525662489513E-2</v>
      </c>
      <c r="V451" s="21">
        <f t="shared" si="145"/>
        <v>5.3981277406914392E-2</v>
      </c>
      <c r="W451" s="21">
        <f t="shared" si="146"/>
        <v>1.0719525662489513E-2</v>
      </c>
      <c r="Y451" s="23">
        <f t="shared" si="135"/>
        <v>2.4927461595655558E-3</v>
      </c>
      <c r="Z451" s="6">
        <f t="shared" si="136"/>
        <v>8.2267795029239577E-3</v>
      </c>
      <c r="AA451" s="6">
        <f t="shared" si="137"/>
        <v>0.98928047433751054</v>
      </c>
      <c r="AB451" s="6">
        <f t="shared" si="138"/>
        <v>1</v>
      </c>
    </row>
    <row r="452" spans="1:28" x14ac:dyDescent="0.35">
      <c r="A452">
        <v>443</v>
      </c>
      <c r="B452" s="17">
        <f t="shared" si="139"/>
        <v>13453.375</v>
      </c>
      <c r="C452" s="17">
        <f t="shared" si="132"/>
        <v>13483.8125</v>
      </c>
      <c r="D452" s="17">
        <f t="shared" si="140"/>
        <v>13468.59375</v>
      </c>
      <c r="E452" s="17">
        <f t="shared" si="126"/>
        <v>442.5</v>
      </c>
      <c r="F452" s="17">
        <f t="shared" si="127"/>
        <v>96.875</v>
      </c>
      <c r="G452" s="21">
        <f>INDEX('Life Tables'!$F$8:$F$123,MATCH(Engine!F452,'Life Tables'!$B$8:$B$123,1))</f>
        <v>2.676812573459042E-2</v>
      </c>
      <c r="H452" s="8">
        <f t="shared" si="128"/>
        <v>0.28983271657791515</v>
      </c>
      <c r="I452">
        <f t="shared" si="129"/>
        <v>1</v>
      </c>
      <c r="K452" s="22" t="e">
        <f>$I452*IF($E452&gt;_xlfn.AGGREGATE(4,6,'KM Data'!$B$6:$B$310),NA(),INDEX('KM Data'!$C$6:$C$310,MATCH($E452,'KM Data'!$B$6:$B$310,1)))</f>
        <v>#N/A</v>
      </c>
      <c r="L452" s="21">
        <f t="shared" si="130"/>
        <v>1.2329600494847659E-2</v>
      </c>
      <c r="M452" s="20">
        <f t="shared" si="133"/>
        <v>3.8590578505267592E-3</v>
      </c>
      <c r="N452" s="21">
        <f t="shared" si="141"/>
        <v>2.4260200169418876E-3</v>
      </c>
      <c r="O452" s="21">
        <f t="shared" si="142"/>
        <v>5.2536299785972303E-2</v>
      </c>
      <c r="P452" s="21">
        <f t="shared" si="143"/>
        <v>2.4260200169418876E-3</v>
      </c>
      <c r="R452" s="22" t="e">
        <f>$I452*IF($E452&gt;_xlfn.AGGREGATE(4,6,'KM Data'!$E$6:$E$205),NA(),INDEX('KM Data'!$F$6:$F$205,MATCH($E452,'KM Data'!$E$6:$E$205,1)))</f>
        <v>#N/A</v>
      </c>
      <c r="S452" s="21">
        <f t="shared" si="131"/>
        <v>7.2327131078552487E-2</v>
      </c>
      <c r="T452" s="8">
        <f t="shared" si="134"/>
        <v>2.4931434465924607E-3</v>
      </c>
      <c r="U452" s="21">
        <f t="shared" si="144"/>
        <v>1.0432584051740825E-2</v>
      </c>
      <c r="V452" s="21">
        <f t="shared" si="145"/>
        <v>5.2536299785972303E-2</v>
      </c>
      <c r="W452" s="21">
        <f t="shared" si="146"/>
        <v>1.0432584051740825E-2</v>
      </c>
      <c r="Y452" s="23">
        <f t="shared" si="135"/>
        <v>2.4260200169418876E-3</v>
      </c>
      <c r="Z452" s="6">
        <f t="shared" si="136"/>
        <v>8.006564034798937E-3</v>
      </c>
      <c r="AA452" s="6">
        <f t="shared" si="137"/>
        <v>0.98956741594825914</v>
      </c>
      <c r="AB452" s="6">
        <f t="shared" si="138"/>
        <v>1</v>
      </c>
    </row>
    <row r="453" spans="1:28" x14ac:dyDescent="0.35">
      <c r="A453">
        <v>444</v>
      </c>
      <c r="B453" s="17">
        <f t="shared" si="139"/>
        <v>13483.8125</v>
      </c>
      <c r="C453" s="17">
        <f t="shared" si="132"/>
        <v>13514.25</v>
      </c>
      <c r="D453" s="17">
        <f t="shared" si="140"/>
        <v>13499.03125</v>
      </c>
      <c r="E453" s="17">
        <f t="shared" si="126"/>
        <v>443.5</v>
      </c>
      <c r="F453" s="17">
        <f t="shared" si="127"/>
        <v>96.958333333333343</v>
      </c>
      <c r="G453" s="21">
        <f>INDEX('Life Tables'!$F$8:$F$123,MATCH(Engine!F453,'Life Tables'!$B$8:$B$123,1))</f>
        <v>2.676812573459042E-2</v>
      </c>
      <c r="H453" s="8">
        <f t="shared" si="128"/>
        <v>0.28003161022020789</v>
      </c>
      <c r="I453">
        <f t="shared" si="129"/>
        <v>1</v>
      </c>
      <c r="K453" s="22" t="e">
        <f>$I453*IF($E453&gt;_xlfn.AGGREGATE(4,6,'KM Data'!$B$6:$B$310),NA(),INDEX('KM Data'!$C$6:$C$310,MATCH($E453,'KM Data'!$B$6:$B$310,1)))</f>
        <v>#N/A</v>
      </c>
      <c r="L453" s="21">
        <f t="shared" si="130"/>
        <v>1.2282019853264159E-2</v>
      </c>
      <c r="M453" s="20">
        <f t="shared" si="133"/>
        <v>3.8523665191196876E-3</v>
      </c>
      <c r="N453" s="21">
        <f t="shared" si="141"/>
        <v>2.3610800080937542E-3</v>
      </c>
      <c r="O453" s="21">
        <f t="shared" si="142"/>
        <v>5.1130001507671261E-2</v>
      </c>
      <c r="P453" s="21">
        <f t="shared" si="143"/>
        <v>2.3610800080937542E-3</v>
      </c>
      <c r="R453" s="22" t="e">
        <f>$I453*IF($E453&gt;_xlfn.AGGREGATE(4,6,'KM Data'!$E$6:$E$205),NA(),INDEX('KM Data'!$F$6:$F$205,MATCH($E453,'KM Data'!$E$6:$E$205,1)))</f>
        <v>#N/A</v>
      </c>
      <c r="S453" s="21">
        <f t="shared" si="131"/>
        <v>7.214680916569316E-2</v>
      </c>
      <c r="T453" s="8">
        <f t="shared" si="134"/>
        <v>2.4889825004020816E-3</v>
      </c>
      <c r="U453" s="21">
        <f t="shared" si="144"/>
        <v>1.0153323330107144E-2</v>
      </c>
      <c r="V453" s="21">
        <f t="shared" si="145"/>
        <v>5.1130001507671261E-2</v>
      </c>
      <c r="W453" s="21">
        <f t="shared" si="146"/>
        <v>1.0153323330107144E-2</v>
      </c>
      <c r="Y453" s="23">
        <f t="shared" si="135"/>
        <v>2.3610800080937542E-3</v>
      </c>
      <c r="Z453" s="6">
        <f t="shared" si="136"/>
        <v>7.792243322013389E-3</v>
      </c>
      <c r="AA453" s="6">
        <f t="shared" si="137"/>
        <v>0.9898466766698929</v>
      </c>
      <c r="AB453" s="6">
        <f t="shared" si="138"/>
        <v>1</v>
      </c>
    </row>
    <row r="454" spans="1:28" x14ac:dyDescent="0.35">
      <c r="A454">
        <v>445</v>
      </c>
      <c r="B454" s="17">
        <f t="shared" si="139"/>
        <v>13514.25</v>
      </c>
      <c r="C454" s="17">
        <f t="shared" si="132"/>
        <v>13544.6875</v>
      </c>
      <c r="D454" s="17">
        <f t="shared" si="140"/>
        <v>13529.46875</v>
      </c>
      <c r="E454" s="17">
        <f t="shared" si="126"/>
        <v>444.5</v>
      </c>
      <c r="F454" s="17">
        <f t="shared" si="127"/>
        <v>97.041666666666657</v>
      </c>
      <c r="G454" s="21">
        <f>INDEX('Life Tables'!$F$8:$F$123,MATCH(Engine!F454,'Life Tables'!$B$8:$B$123,1))</f>
        <v>2.9932340075274233E-2</v>
      </c>
      <c r="H454" s="8">
        <f t="shared" si="128"/>
        <v>0.28003161022020789</v>
      </c>
      <c r="I454">
        <f t="shared" si="129"/>
        <v>1</v>
      </c>
      <c r="K454" s="22" t="e">
        <f>$I454*IF($E454&gt;_xlfn.AGGREGATE(4,6,'KM Data'!$B$6:$B$310),NA(),INDEX('KM Data'!$C$6:$C$310,MATCH($E454,'KM Data'!$B$6:$B$310,1)))</f>
        <v>#N/A</v>
      </c>
      <c r="L454" s="21">
        <f t="shared" si="130"/>
        <v>1.223470501119428E-2</v>
      </c>
      <c r="M454" s="20">
        <f t="shared" si="133"/>
        <v>3.8457009287604649E-3</v>
      </c>
      <c r="N454" s="21">
        <f t="shared" si="141"/>
        <v>2.2978783215676728E-3</v>
      </c>
      <c r="O454" s="21">
        <f t="shared" si="142"/>
        <v>4.976134719850412E-2</v>
      </c>
      <c r="P454" s="21">
        <f t="shared" si="143"/>
        <v>2.2978783215676728E-3</v>
      </c>
      <c r="R454" s="22" t="e">
        <f>$I454*IF($E454&gt;_xlfn.AGGREGATE(4,6,'KM Data'!$E$6:$E$205),NA(),INDEX('KM Data'!$F$6:$F$205,MATCH($E454,'KM Data'!$E$6:$E$205,1)))</f>
        <v>#N/A</v>
      </c>
      <c r="S454" s="21">
        <f t="shared" si="131"/>
        <v>7.1967237020219899E-2</v>
      </c>
      <c r="T454" s="8">
        <f t="shared" si="134"/>
        <v>2.4848371792758339E-3</v>
      </c>
      <c r="U454" s="21">
        <f t="shared" si="144"/>
        <v>9.8815378945828845E-3</v>
      </c>
      <c r="V454" s="21">
        <f t="shared" si="145"/>
        <v>4.976134719850412E-2</v>
      </c>
      <c r="W454" s="21">
        <f t="shared" si="146"/>
        <v>9.8815378945828845E-3</v>
      </c>
      <c r="Y454" s="23">
        <f t="shared" si="135"/>
        <v>2.2978783215676728E-3</v>
      </c>
      <c r="Z454" s="6">
        <f t="shared" si="136"/>
        <v>7.5836595730152112E-3</v>
      </c>
      <c r="AA454" s="6">
        <f t="shared" si="137"/>
        <v>0.9901184621054171</v>
      </c>
      <c r="AB454" s="6">
        <f t="shared" si="138"/>
        <v>1</v>
      </c>
    </row>
    <row r="455" spans="1:28" x14ac:dyDescent="0.35">
      <c r="A455">
        <v>446</v>
      </c>
      <c r="B455" s="17">
        <f t="shared" si="139"/>
        <v>13544.6875</v>
      </c>
      <c r="C455" s="17">
        <f t="shared" si="132"/>
        <v>13575.125</v>
      </c>
      <c r="D455" s="17">
        <f t="shared" si="140"/>
        <v>13559.90625</v>
      </c>
      <c r="E455" s="17">
        <f t="shared" si="126"/>
        <v>445.5</v>
      </c>
      <c r="F455" s="17">
        <f t="shared" si="127"/>
        <v>97.125</v>
      </c>
      <c r="G455" s="21">
        <f>INDEX('Life Tables'!$F$8:$F$123,MATCH(Engine!F455,'Life Tables'!$B$8:$B$123,1))</f>
        <v>2.9932340075274233E-2</v>
      </c>
      <c r="H455" s="8">
        <f t="shared" si="128"/>
        <v>0.28003161022020789</v>
      </c>
      <c r="I455">
        <f t="shared" si="129"/>
        <v>1</v>
      </c>
      <c r="K455" s="22" t="e">
        <f>$I455*IF($E455&gt;_xlfn.AGGREGATE(4,6,'KM Data'!$B$6:$B$310),NA(),INDEX('KM Data'!$C$6:$C$310,MATCH($E455,'KM Data'!$B$6:$B$310,1)))</f>
        <v>#N/A</v>
      </c>
      <c r="L455" s="21">
        <f t="shared" si="130"/>
        <v>1.2187653994769621E-2</v>
      </c>
      <c r="M455" s="20">
        <f t="shared" si="133"/>
        <v>3.839060925160287E-3</v>
      </c>
      <c r="N455" s="21">
        <f t="shared" si="141"/>
        <v>2.2290974461949089E-3</v>
      </c>
      <c r="O455" s="21">
        <f t="shared" si="142"/>
        <v>4.8271873631554697E-2</v>
      </c>
      <c r="P455" s="21">
        <f t="shared" si="143"/>
        <v>2.2290974461949089E-3</v>
      </c>
      <c r="R455" s="22" t="e">
        <f>$I455*IF($E455&gt;_xlfn.AGGREGATE(4,6,'KM Data'!$E$6:$E$205),NA(),INDEX('KM Data'!$F$6:$F$205,MATCH($E455,'KM Data'!$E$6:$E$205,1)))</f>
        <v>#N/A</v>
      </c>
      <c r="S455" s="21">
        <f t="shared" si="131"/>
        <v>7.1788410153982296E-2</v>
      </c>
      <c r="T455" s="8">
        <f t="shared" si="134"/>
        <v>2.4807073912977984E-3</v>
      </c>
      <c r="U455" s="21">
        <f t="shared" si="144"/>
        <v>9.58576034185552E-3</v>
      </c>
      <c r="V455" s="21">
        <f t="shared" si="145"/>
        <v>4.8271873631554697E-2</v>
      </c>
      <c r="W455" s="21">
        <f t="shared" si="146"/>
        <v>9.58576034185552E-3</v>
      </c>
      <c r="Y455" s="23">
        <f t="shared" si="135"/>
        <v>2.2290974461949089E-3</v>
      </c>
      <c r="Z455" s="6">
        <f t="shared" si="136"/>
        <v>7.3566628956606116E-3</v>
      </c>
      <c r="AA455" s="6">
        <f t="shared" si="137"/>
        <v>0.99041423965814446</v>
      </c>
      <c r="AB455" s="6">
        <f t="shared" si="138"/>
        <v>1</v>
      </c>
    </row>
    <row r="456" spans="1:28" x14ac:dyDescent="0.35">
      <c r="A456">
        <v>447</v>
      </c>
      <c r="B456" s="17">
        <f t="shared" si="139"/>
        <v>13575.125</v>
      </c>
      <c r="C456" s="17">
        <f t="shared" si="132"/>
        <v>13605.5625</v>
      </c>
      <c r="D456" s="17">
        <f t="shared" si="140"/>
        <v>13590.34375</v>
      </c>
      <c r="E456" s="17">
        <f t="shared" si="126"/>
        <v>446.5</v>
      </c>
      <c r="F456" s="17">
        <f t="shared" si="127"/>
        <v>97.208333333333343</v>
      </c>
      <c r="G456" s="21">
        <f>INDEX('Life Tables'!$F$8:$F$123,MATCH(Engine!F456,'Life Tables'!$B$8:$B$123,1))</f>
        <v>2.9932340075274233E-2</v>
      </c>
      <c r="H456" s="8">
        <f t="shared" si="128"/>
        <v>0.28003161022020789</v>
      </c>
      <c r="I456">
        <f t="shared" si="129"/>
        <v>1</v>
      </c>
      <c r="K456" s="22" t="e">
        <f>$I456*IF($E456&gt;_xlfn.AGGREGATE(4,6,'KM Data'!$B$6:$B$310),NA(),INDEX('KM Data'!$C$6:$C$310,MATCH($E456,'KM Data'!$B$6:$B$310,1)))</f>
        <v>#N/A</v>
      </c>
      <c r="L456" s="21">
        <f t="shared" si="130"/>
        <v>1.2140864848548927E-2</v>
      </c>
      <c r="M456" s="20">
        <f t="shared" si="133"/>
        <v>3.8324463553630617E-3</v>
      </c>
      <c r="N456" s="21">
        <f t="shared" si="141"/>
        <v>2.1623753433744775E-3</v>
      </c>
      <c r="O456" s="21">
        <f t="shared" si="142"/>
        <v>4.6826983493944339E-2</v>
      </c>
      <c r="P456" s="21">
        <f t="shared" si="143"/>
        <v>2.1623753433744775E-3</v>
      </c>
      <c r="R456" s="22" t="e">
        <f>$I456*IF($E456&gt;_xlfn.AGGREGATE(4,6,'KM Data'!$E$6:$E$205),NA(),INDEX('KM Data'!$F$6:$F$205,MATCH($E456,'KM Data'!$E$6:$E$205,1)))</f>
        <v>#N/A</v>
      </c>
      <c r="S456" s="21">
        <f t="shared" si="131"/>
        <v>7.1610324114303792E-2</v>
      </c>
      <c r="T456" s="8">
        <f t="shared" si="134"/>
        <v>2.476593045290798E-3</v>
      </c>
      <c r="U456" s="21">
        <f t="shared" si="144"/>
        <v>9.2988361034230232E-3</v>
      </c>
      <c r="V456" s="21">
        <f t="shared" si="145"/>
        <v>4.6826983493944339E-2</v>
      </c>
      <c r="W456" s="21">
        <f t="shared" si="146"/>
        <v>9.2988361034230232E-3</v>
      </c>
      <c r="Y456" s="23">
        <f t="shared" si="135"/>
        <v>2.1623753433744775E-3</v>
      </c>
      <c r="Z456" s="6">
        <f t="shared" si="136"/>
        <v>7.1364607600485457E-3</v>
      </c>
      <c r="AA456" s="6">
        <f t="shared" si="137"/>
        <v>0.99070116389657703</v>
      </c>
      <c r="AB456" s="6">
        <f t="shared" si="138"/>
        <v>1</v>
      </c>
    </row>
    <row r="457" spans="1:28" x14ac:dyDescent="0.35">
      <c r="A457">
        <v>448</v>
      </c>
      <c r="B457" s="17">
        <f t="shared" si="139"/>
        <v>13605.5625</v>
      </c>
      <c r="C457" s="17">
        <f t="shared" si="132"/>
        <v>13636</v>
      </c>
      <c r="D457" s="17">
        <f t="shared" si="140"/>
        <v>13620.78125</v>
      </c>
      <c r="E457" s="17">
        <f t="shared" ref="E457:E520" si="147">D457/Days_per_Month</f>
        <v>447.5</v>
      </c>
      <c r="F457" s="17">
        <f t="shared" ref="F457:F520" si="148">Patient_Baseline_Age+(D457/365.25)</f>
        <v>97.291666666666657</v>
      </c>
      <c r="G457" s="21">
        <f>INDEX('Life Tables'!$F$8:$F$123,MATCH(Engine!F457,'Life Tables'!$B$8:$B$123,1))</f>
        <v>2.9932340075274233E-2</v>
      </c>
      <c r="H457" s="8">
        <f t="shared" ref="H457:H520" si="149">1/(1+Discount_Rate)^ROUNDDOWN(A457/12,0)</f>
        <v>0.28003161022020789</v>
      </c>
      <c r="I457">
        <f t="shared" ref="I457:I520" si="150">IF(E457&lt;Min_Time_Horizon__5_Years___60_Months,1,IF(C457/Days_per_Year&lt;Max_Time_Horizon__in_Years,1,NA()))</f>
        <v>1</v>
      </c>
      <c r="K457" s="22" t="e">
        <f>$I457*IF($E457&gt;_xlfn.AGGREGATE(4,6,'KM Data'!$B$6:$B$310),NA(),INDEX('KM Data'!$C$6:$C$310,MATCH($E457,'KM Data'!$B$6:$B$310,1)))</f>
        <v>#N/A</v>
      </c>
      <c r="L457" s="21">
        <f t="shared" ref="L457:L520" si="151">$I457*CHOOSE(MATCH(K$4,label_curves,0),
    EXP(-$E457*EXP(L$5)),
    1-((EXP(GAMMALN(EXP(L$5)))*_xlfn.GAMMA.DIST(EXP(L$6)*$E457,EXP(L$5),1,TRUE))/_xlfn.GAMMA(EXP(L$5))),
    IF($E457=0,1, IF(L$7&gt;0,1,0) + IF(L$7&gt;0,-1,1) * IFERROR(_xlfn.GAMMA.DIST((L$7^-2)*EXP(L$7*((LN($E457)-(L$5))/EXP(L$6))),L$7^-2,1,TRUE),0)),
    EXP(-(EXP(L$5)/L$6)*(EXP(L$6*$E457)-1)),
    1/(1+($E457/EXP(L$5))^EXP(L$6)),
    1-IFERROR(_xlfn.LOGNORM.DIST($E457,L$5,EXP(L$6),TRUE),0),
    EXP(-(($E457/EXP(L$5))^EXP(L$6)))
)</f>
        <v>1.209433563530915E-2</v>
      </c>
      <c r="M457" s="20">
        <f t="shared" si="133"/>
        <v>3.8258570675668846E-3</v>
      </c>
      <c r="N457" s="21">
        <f t="shared" si="141"/>
        <v>2.0976503892262046E-3</v>
      </c>
      <c r="O457" s="21">
        <f t="shared" si="142"/>
        <v>4.5425342299304346E-2</v>
      </c>
      <c r="P457" s="21">
        <f t="shared" si="143"/>
        <v>2.0976503892262046E-3</v>
      </c>
      <c r="R457" s="22" t="e">
        <f>$I457*IF($E457&gt;_xlfn.AGGREGATE(4,6,'KM Data'!$E$6:$E$205),NA(),INDEX('KM Data'!$F$6:$F$205,MATCH($E457,'KM Data'!$E$6:$E$205,1)))</f>
        <v>#N/A</v>
      </c>
      <c r="S457" s="21">
        <f t="shared" ref="S457:S520" si="152">$I457*CHOOSE(MATCH(R$4,label_curves,0),
    EXP(-$E457*EXP(S$5)),
    1-((EXP(GAMMALN(EXP(S$5)))*_xlfn.GAMMA.DIST(EXP(S$6)*$E457,EXP(S$5),1,TRUE))/_xlfn.GAMMA(EXP(S$5))),
    IF($E457=0,1, IF(S$7&gt;0,1,0) + IF(S$7&gt;0,-1,1) * IFERROR(_xlfn.GAMMA.DIST((S$7^-2)*EXP(S$7*((LN($E457)-(S$5))/EXP(S$6))),S$7^-2,1,TRUE),0)),
    EXP(-(EXP(S$5)/S$6)*(EXP(S$6*$E457)-1)),
    1/(1+($E457/EXP(S$5))^EXP(S$6)),
    1-IFERROR(_xlfn.LOGNORM.DIST($E457,S$5,EXP(S$6),TRUE),0),
    EXP(-(($E457/EXP(S$5))^EXP(S$6)))
)</f>
        <v>7.1432974483631284E-2</v>
      </c>
      <c r="T457" s="8">
        <f t="shared" si="134"/>
        <v>2.4724940508005222E-3</v>
      </c>
      <c r="U457" s="21">
        <f t="shared" si="144"/>
        <v>9.020500178871127E-3</v>
      </c>
      <c r="V457" s="21">
        <f t="shared" si="145"/>
        <v>4.5425342299304346E-2</v>
      </c>
      <c r="W457" s="21">
        <f t="shared" si="146"/>
        <v>9.020500178871127E-3</v>
      </c>
      <c r="Y457" s="23">
        <f t="shared" si="135"/>
        <v>2.0976503892262046E-3</v>
      </c>
      <c r="Z457" s="6">
        <f t="shared" si="136"/>
        <v>6.9228497896449224E-3</v>
      </c>
      <c r="AA457" s="6">
        <f t="shared" si="137"/>
        <v>0.99097949982112887</v>
      </c>
      <c r="AB457" s="6">
        <f t="shared" si="138"/>
        <v>1</v>
      </c>
    </row>
    <row r="458" spans="1:28" x14ac:dyDescent="0.35">
      <c r="A458">
        <v>449</v>
      </c>
      <c r="B458" s="17">
        <f t="shared" si="139"/>
        <v>13636</v>
      </c>
      <c r="C458" s="17">
        <f t="shared" ref="C458:C521" si="153">B458+Days_per_Month</f>
        <v>13666.4375</v>
      </c>
      <c r="D458" s="17">
        <f t="shared" si="140"/>
        <v>13651.21875</v>
      </c>
      <c r="E458" s="17">
        <f t="shared" si="147"/>
        <v>448.5</v>
      </c>
      <c r="F458" s="17">
        <f t="shared" si="148"/>
        <v>97.375</v>
      </c>
      <c r="G458" s="21">
        <f>INDEX('Life Tables'!$F$8:$F$123,MATCH(Engine!F458,'Life Tables'!$B$8:$B$123,1))</f>
        <v>2.9932340075274233E-2</v>
      </c>
      <c r="H458" s="8">
        <f t="shared" si="149"/>
        <v>0.28003161022020789</v>
      </c>
      <c r="I458">
        <f t="shared" si="150"/>
        <v>1</v>
      </c>
      <c r="K458" s="22" t="e">
        <f>$I458*IF($E458&gt;_xlfn.AGGREGATE(4,6,'KM Data'!$B$6:$B$310),NA(),INDEX('KM Data'!$C$6:$C$310,MATCH($E458,'KM Data'!$B$6:$B$310,1)))</f>
        <v>#N/A</v>
      </c>
      <c r="L458" s="21">
        <f t="shared" si="151"/>
        <v>1.2048064435841277E-2</v>
      </c>
      <c r="M458" s="20">
        <f t="shared" ref="M458:M521" si="154">1-(L459/L458)</f>
        <v>3.8192929113076701E-3</v>
      </c>
      <c r="N458" s="21">
        <f t="shared" si="141"/>
        <v>2.0348628044168544E-3</v>
      </c>
      <c r="O458" s="21">
        <f t="shared" si="142"/>
        <v>4.4065655505565827E-2</v>
      </c>
      <c r="P458" s="21">
        <f t="shared" si="143"/>
        <v>2.0348628044168544E-3</v>
      </c>
      <c r="R458" s="22" t="e">
        <f>$I458*IF($E458&gt;_xlfn.AGGREGATE(4,6,'KM Data'!$E$6:$E$205),NA(),INDEX('KM Data'!$F$6:$F$205,MATCH($E458,'KM Data'!$E$6:$E$205,1)))</f>
        <v>#N/A</v>
      </c>
      <c r="S458" s="21">
        <f t="shared" si="152"/>
        <v>7.125635687918952E-2</v>
      </c>
      <c r="T458" s="8">
        <f t="shared" ref="T458:T521" si="155">1-(S459/S458)</f>
        <v>2.4684103181048522E-3</v>
      </c>
      <c r="U458" s="21">
        <f t="shared" si="144"/>
        <v>8.7504954998680849E-3</v>
      </c>
      <c r="V458" s="21">
        <f t="shared" si="145"/>
        <v>4.4065655505565827E-2</v>
      </c>
      <c r="W458" s="21">
        <f t="shared" si="146"/>
        <v>8.7504954998680849E-3</v>
      </c>
      <c r="Y458" s="23">
        <f t="shared" ref="Y458:Y521" si="156">N458</f>
        <v>2.0348628044168544E-3</v>
      </c>
      <c r="Z458" s="6">
        <f t="shared" ref="Z458:Z521" si="157">U458-N458</f>
        <v>6.7156326954512305E-3</v>
      </c>
      <c r="AA458" s="6">
        <f t="shared" ref="AA458:AA521" si="158">1-U458</f>
        <v>0.99124950450013194</v>
      </c>
      <c r="AB458" s="6">
        <f t="shared" ref="AB458:AB521" si="159">SUM(Y458:AA458)</f>
        <v>1</v>
      </c>
    </row>
    <row r="459" spans="1:28" x14ac:dyDescent="0.35">
      <c r="A459">
        <v>450</v>
      </c>
      <c r="B459" s="17">
        <f t="shared" ref="B459:B522" si="160">C458</f>
        <v>13666.4375</v>
      </c>
      <c r="C459" s="17">
        <f t="shared" si="153"/>
        <v>13696.875</v>
      </c>
      <c r="D459" s="17">
        <f t="shared" ref="D459:D522" si="161">AVERAGE(B459:C459)</f>
        <v>13681.65625</v>
      </c>
      <c r="E459" s="17">
        <f t="shared" si="147"/>
        <v>449.5</v>
      </c>
      <c r="F459" s="17">
        <f t="shared" si="148"/>
        <v>97.458333333333343</v>
      </c>
      <c r="G459" s="21">
        <f>INDEX('Life Tables'!$F$8:$F$123,MATCH(Engine!F459,'Life Tables'!$B$8:$B$123,1))</f>
        <v>2.9932340075274233E-2</v>
      </c>
      <c r="H459" s="8">
        <f t="shared" si="149"/>
        <v>0.28003161022020789</v>
      </c>
      <c r="I459">
        <f t="shared" si="150"/>
        <v>1</v>
      </c>
      <c r="K459" s="22" t="e">
        <f>$I459*IF($E459&gt;_xlfn.AGGREGATE(4,6,'KM Data'!$B$6:$B$310),NA(),INDEX('KM Data'!$C$6:$C$310,MATCH($E459,'KM Data'!$B$6:$B$310,1)))</f>
        <v>#N/A</v>
      </c>
      <c r="L459" s="21">
        <f t="shared" si="151"/>
        <v>1.2002049348746491E-2</v>
      </c>
      <c r="M459" s="20">
        <f t="shared" si="154"/>
        <v>3.8127537372277809E-3</v>
      </c>
      <c r="N459" s="21">
        <f t="shared" ref="N459:N522" si="162">$I459*MIN(N458,U459,P459)</f>
        <v>1.9739545989485227E-3</v>
      </c>
      <c r="O459" s="21">
        <f t="shared" ref="O459:O522" si="163">I459*O458*(1-G458)</f>
        <v>4.2746667319333354E-2</v>
      </c>
      <c r="P459" s="21">
        <f t="shared" ref="P459:P522" si="164">$I459*P458*(1-MAX($G458,M458))</f>
        <v>1.9739545989485227E-3</v>
      </c>
      <c r="R459" s="22" t="e">
        <f>$I459*IF($E459&gt;_xlfn.AGGREGATE(4,6,'KM Data'!$E$6:$E$205),NA(),INDEX('KM Data'!$F$6:$F$205,MATCH($E459,'KM Data'!$E$6:$E$205,1)))</f>
        <v>#N/A</v>
      </c>
      <c r="S459" s="21">
        <f t="shared" si="152"/>
        <v>7.1080466952638366E-2</v>
      </c>
      <c r="T459" s="8">
        <f t="shared" si="155"/>
        <v>2.4643417581904359E-3</v>
      </c>
      <c r="U459" s="21">
        <f t="shared" ref="U459:U522" si="165">$I459*MIN(U458,W459)</f>
        <v>8.4885726927388765E-3</v>
      </c>
      <c r="V459" s="21">
        <f t="shared" ref="V459:V522" si="166">I459*V458*(1-G458)</f>
        <v>4.2746667319333354E-2</v>
      </c>
      <c r="W459" s="21">
        <f t="shared" ref="W459:W522" si="167">$I459*W458*(1-MAX($G458,T458))</f>
        <v>8.4885726927388765E-3</v>
      </c>
      <c r="Y459" s="23">
        <f t="shared" si="156"/>
        <v>1.9739545989485227E-3</v>
      </c>
      <c r="Z459" s="6">
        <f t="shared" si="157"/>
        <v>6.5146180937903538E-3</v>
      </c>
      <c r="AA459" s="6">
        <f t="shared" si="158"/>
        <v>0.99151142730726116</v>
      </c>
      <c r="AB459" s="6">
        <f t="shared" si="159"/>
        <v>1</v>
      </c>
    </row>
    <row r="460" spans="1:28" x14ac:dyDescent="0.35">
      <c r="A460">
        <v>451</v>
      </c>
      <c r="B460" s="17">
        <f t="shared" si="160"/>
        <v>13696.875</v>
      </c>
      <c r="C460" s="17">
        <f t="shared" si="153"/>
        <v>13727.3125</v>
      </c>
      <c r="D460" s="17">
        <f t="shared" si="161"/>
        <v>13712.09375</v>
      </c>
      <c r="E460" s="17">
        <f t="shared" si="147"/>
        <v>450.5</v>
      </c>
      <c r="F460" s="17">
        <f t="shared" si="148"/>
        <v>97.541666666666657</v>
      </c>
      <c r="G460" s="21">
        <f>INDEX('Life Tables'!$F$8:$F$123,MATCH(Engine!F460,'Life Tables'!$B$8:$B$123,1))</f>
        <v>2.9932340075274233E-2</v>
      </c>
      <c r="H460" s="8">
        <f t="shared" si="149"/>
        <v>0.28003161022020789</v>
      </c>
      <c r="I460">
        <f t="shared" si="150"/>
        <v>1</v>
      </c>
      <c r="K460" s="22" t="e">
        <f>$I460*IF($E460&gt;_xlfn.AGGREGATE(4,6,'KM Data'!$B$6:$B$310),NA(),INDEX('KM Data'!$C$6:$C$310,MATCH($E460,'KM Data'!$B$6:$B$310,1)))</f>
        <v>#N/A</v>
      </c>
      <c r="L460" s="21">
        <f t="shared" si="151"/>
        <v>1.1956288490237665E-2</v>
      </c>
      <c r="M460" s="20">
        <f t="shared" si="154"/>
        <v>3.8062393972724262E-3</v>
      </c>
      <c r="N460" s="21">
        <f t="shared" si="162"/>
        <v>1.9148695185996439E-3</v>
      </c>
      <c r="O460" s="21">
        <f t="shared" si="163"/>
        <v>4.1467159536046454E-2</v>
      </c>
      <c r="P460" s="21">
        <f t="shared" si="164"/>
        <v>1.9148695185996439E-3</v>
      </c>
      <c r="R460" s="22" t="e">
        <f>$I460*IF($E460&gt;_xlfn.AGGREGATE(4,6,'KM Data'!$E$6:$E$205),NA(),INDEX('KM Data'!$F$6:$F$205,MATCH($E460,'KM Data'!$E$6:$E$205,1)))</f>
        <v>#N/A</v>
      </c>
      <c r="S460" s="21">
        <f t="shared" si="152"/>
        <v>7.0905300389735304E-2</v>
      </c>
      <c r="T460" s="8">
        <f t="shared" si="155"/>
        <v>2.460288282751355E-3</v>
      </c>
      <c r="U460" s="21">
        <f t="shared" si="165"/>
        <v>8.2344898481461308E-3</v>
      </c>
      <c r="V460" s="21">
        <f t="shared" si="166"/>
        <v>4.1467159536046454E-2</v>
      </c>
      <c r="W460" s="21">
        <f t="shared" si="167"/>
        <v>8.2344898481461308E-3</v>
      </c>
      <c r="Y460" s="23">
        <f t="shared" si="156"/>
        <v>1.9148695185996439E-3</v>
      </c>
      <c r="Z460" s="6">
        <f t="shared" si="157"/>
        <v>6.3196203295464871E-3</v>
      </c>
      <c r="AA460" s="6">
        <f t="shared" si="158"/>
        <v>0.99176551015185388</v>
      </c>
      <c r="AB460" s="6">
        <f t="shared" si="159"/>
        <v>1</v>
      </c>
    </row>
    <row r="461" spans="1:28" x14ac:dyDescent="0.35">
      <c r="A461">
        <v>452</v>
      </c>
      <c r="B461" s="17">
        <f t="shared" si="160"/>
        <v>13727.3125</v>
      </c>
      <c r="C461" s="17">
        <f t="shared" si="153"/>
        <v>13757.75</v>
      </c>
      <c r="D461" s="17">
        <f t="shared" si="161"/>
        <v>13742.53125</v>
      </c>
      <c r="E461" s="17">
        <f t="shared" si="147"/>
        <v>451.5</v>
      </c>
      <c r="F461" s="17">
        <f t="shared" si="148"/>
        <v>97.625</v>
      </c>
      <c r="G461" s="21">
        <f>INDEX('Life Tables'!$F$8:$F$123,MATCH(Engine!F461,'Life Tables'!$B$8:$B$123,1))</f>
        <v>2.9932340075274233E-2</v>
      </c>
      <c r="H461" s="8">
        <f t="shared" si="149"/>
        <v>0.28003161022020789</v>
      </c>
      <c r="I461">
        <f t="shared" si="150"/>
        <v>1</v>
      </c>
      <c r="K461" s="22" t="e">
        <f>$I461*IF($E461&gt;_xlfn.AGGREGATE(4,6,'KM Data'!$B$6:$B$310),NA(),INDEX('KM Data'!$C$6:$C$310,MATCH($E461,'KM Data'!$B$6:$B$310,1)))</f>
        <v>#N/A</v>
      </c>
      <c r="L461" s="21">
        <f t="shared" si="151"/>
        <v>1.1910779993940968E-2</v>
      </c>
      <c r="M461" s="20">
        <f t="shared" si="154"/>
        <v>3.7997497445246831E-3</v>
      </c>
      <c r="N461" s="21">
        <f t="shared" si="162"/>
        <v>1.8575529929691428E-3</v>
      </c>
      <c r="O461" s="21">
        <f t="shared" si="163"/>
        <v>4.022595041485786E-2</v>
      </c>
      <c r="P461" s="21">
        <f t="shared" si="164"/>
        <v>1.8575529929691428E-3</v>
      </c>
      <c r="R461" s="22" t="e">
        <f>$I461*IF($E461&gt;_xlfn.AGGREGATE(4,6,'KM Data'!$E$6:$E$205),NA(),INDEX('KM Data'!$F$6:$F$205,MATCH($E461,'KM Data'!$E$6:$E$205,1)))</f>
        <v>#N/A</v>
      </c>
      <c r="S461" s="21">
        <f t="shared" si="152"/>
        <v>7.0730852910001474E-2</v>
      </c>
      <c r="T461" s="8">
        <f t="shared" si="155"/>
        <v>2.4562498041843517E-3</v>
      </c>
      <c r="U461" s="21">
        <f t="shared" si="165"/>
        <v>7.9880122976650272E-3</v>
      </c>
      <c r="V461" s="21">
        <f t="shared" si="166"/>
        <v>4.022595041485786E-2</v>
      </c>
      <c r="W461" s="21">
        <f t="shared" si="167"/>
        <v>7.9880122976650272E-3</v>
      </c>
      <c r="Y461" s="23">
        <f t="shared" si="156"/>
        <v>1.8575529929691428E-3</v>
      </c>
      <c r="Z461" s="6">
        <f t="shared" si="157"/>
        <v>6.1304593046958844E-3</v>
      </c>
      <c r="AA461" s="6">
        <f t="shared" si="158"/>
        <v>0.99201198770233501</v>
      </c>
      <c r="AB461" s="6">
        <f t="shared" si="159"/>
        <v>1</v>
      </c>
    </row>
    <row r="462" spans="1:28" x14ac:dyDescent="0.35">
      <c r="A462">
        <v>453</v>
      </c>
      <c r="B462" s="17">
        <f t="shared" si="160"/>
        <v>13757.75</v>
      </c>
      <c r="C462" s="17">
        <f t="shared" si="153"/>
        <v>13788.1875</v>
      </c>
      <c r="D462" s="17">
        <f t="shared" si="161"/>
        <v>13772.96875</v>
      </c>
      <c r="E462" s="17">
        <f t="shared" si="147"/>
        <v>452.5</v>
      </c>
      <c r="F462" s="17">
        <f t="shared" si="148"/>
        <v>97.708333333333343</v>
      </c>
      <c r="G462" s="21">
        <f>INDEX('Life Tables'!$F$8:$F$123,MATCH(Engine!F462,'Life Tables'!$B$8:$B$123,1))</f>
        <v>2.9932340075274233E-2</v>
      </c>
      <c r="H462" s="8">
        <f t="shared" si="149"/>
        <v>0.28003161022020789</v>
      </c>
      <c r="I462">
        <f t="shared" si="150"/>
        <v>1</v>
      </c>
      <c r="K462" s="22" t="e">
        <f>$I462*IF($E462&gt;_xlfn.AGGREGATE(4,6,'KM Data'!$B$6:$B$310),NA(),INDEX('KM Data'!$C$6:$C$310,MATCH($E462,'KM Data'!$B$6:$B$310,1)))</f>
        <v>#N/A</v>
      </c>
      <c r="L462" s="21">
        <f t="shared" si="151"/>
        <v>1.1865522010701901E-2</v>
      </c>
      <c r="M462" s="20">
        <f t="shared" si="154"/>
        <v>3.7932846332388026E-3</v>
      </c>
      <c r="N462" s="21">
        <f t="shared" si="162"/>
        <v>1.8019520850757469E-3</v>
      </c>
      <c r="O462" s="21">
        <f t="shared" si="163"/>
        <v>3.9021893587189216E-2</v>
      </c>
      <c r="P462" s="21">
        <f t="shared" si="164"/>
        <v>1.8019520850757469E-3</v>
      </c>
      <c r="R462" s="22" t="e">
        <f>$I462*IF($E462&gt;_xlfn.AGGREGATE(4,6,'KM Data'!$E$6:$E$205),NA(),INDEX('KM Data'!$F$6:$F$205,MATCH($E462,'KM Data'!$E$6:$E$205,1)))</f>
        <v>#N/A</v>
      </c>
      <c r="S462" s="21">
        <f t="shared" si="152"/>
        <v>7.0557120266391493E-2</v>
      </c>
      <c r="T462" s="8">
        <f t="shared" si="155"/>
        <v>2.4522262355831659E-3</v>
      </c>
      <c r="U462" s="21">
        <f t="shared" si="165"/>
        <v>7.7489123970458451E-3</v>
      </c>
      <c r="V462" s="21">
        <f t="shared" si="166"/>
        <v>3.9021893587189216E-2</v>
      </c>
      <c r="W462" s="21">
        <f t="shared" si="167"/>
        <v>7.7489123970458451E-3</v>
      </c>
      <c r="Y462" s="23">
        <f t="shared" si="156"/>
        <v>1.8019520850757469E-3</v>
      </c>
      <c r="Z462" s="6">
        <f t="shared" si="157"/>
        <v>5.9469603119700985E-3</v>
      </c>
      <c r="AA462" s="6">
        <f t="shared" si="158"/>
        <v>0.99225108760295411</v>
      </c>
      <c r="AB462" s="6">
        <f t="shared" si="159"/>
        <v>1</v>
      </c>
    </row>
    <row r="463" spans="1:28" x14ac:dyDescent="0.35">
      <c r="A463">
        <v>454</v>
      </c>
      <c r="B463" s="17">
        <f t="shared" si="160"/>
        <v>13788.1875</v>
      </c>
      <c r="C463" s="17">
        <f t="shared" si="153"/>
        <v>13818.625</v>
      </c>
      <c r="D463" s="17">
        <f t="shared" si="161"/>
        <v>13803.40625</v>
      </c>
      <c r="E463" s="17">
        <f t="shared" si="147"/>
        <v>453.5</v>
      </c>
      <c r="F463" s="17">
        <f t="shared" si="148"/>
        <v>97.791666666666657</v>
      </c>
      <c r="G463" s="21">
        <f>INDEX('Life Tables'!$F$8:$F$123,MATCH(Engine!F463,'Life Tables'!$B$8:$B$123,1))</f>
        <v>2.9932340075274233E-2</v>
      </c>
      <c r="H463" s="8">
        <f t="shared" si="149"/>
        <v>0.28003161022020789</v>
      </c>
      <c r="I463">
        <f t="shared" si="150"/>
        <v>1</v>
      </c>
      <c r="K463" s="22" t="e">
        <f>$I463*IF($E463&gt;_xlfn.AGGREGATE(4,6,'KM Data'!$B$6:$B$310),NA(),INDEX('KM Data'!$C$6:$C$310,MATCH($E463,'KM Data'!$B$6:$B$310,1)))</f>
        <v>#N/A</v>
      </c>
      <c r="L463" s="21">
        <f t="shared" si="151"/>
        <v>1.1820512708393349E-2</v>
      </c>
      <c r="M463" s="20">
        <f t="shared" si="154"/>
        <v>3.7868439188911696E-3</v>
      </c>
      <c r="N463" s="21">
        <f t="shared" si="162"/>
        <v>1.7480154424659102E-3</v>
      </c>
      <c r="O463" s="21">
        <f t="shared" si="163"/>
        <v>3.7853876997956303E-2</v>
      </c>
      <c r="P463" s="21">
        <f t="shared" si="164"/>
        <v>1.7480154424659102E-3</v>
      </c>
      <c r="R463" s="22" t="e">
        <f>$I463*IF($E463&gt;_xlfn.AGGREGATE(4,6,'KM Data'!$E$6:$E$205),NA(),INDEX('KM Data'!$F$6:$F$205,MATCH($E463,'KM Data'!$E$6:$E$205,1)))</f>
        <v>#N/A</v>
      </c>
      <c r="S463" s="21">
        <f t="shared" si="152"/>
        <v>7.0384098244967053E-2</v>
      </c>
      <c r="T463" s="8">
        <f t="shared" si="155"/>
        <v>2.4482174907231036E-3</v>
      </c>
      <c r="U463" s="21">
        <f t="shared" si="165"/>
        <v>7.5169693159639608E-3</v>
      </c>
      <c r="V463" s="21">
        <f t="shared" si="166"/>
        <v>3.7853876997956303E-2</v>
      </c>
      <c r="W463" s="21">
        <f t="shared" si="167"/>
        <v>7.5169693159639608E-3</v>
      </c>
      <c r="Y463" s="23">
        <f t="shared" si="156"/>
        <v>1.7480154424659102E-3</v>
      </c>
      <c r="Z463" s="6">
        <f t="shared" si="157"/>
        <v>5.7689538734980502E-3</v>
      </c>
      <c r="AA463" s="6">
        <f t="shared" si="158"/>
        <v>0.99248303068403609</v>
      </c>
      <c r="AB463" s="6">
        <f t="shared" si="159"/>
        <v>1</v>
      </c>
    </row>
    <row r="464" spans="1:28" x14ac:dyDescent="0.35">
      <c r="A464">
        <v>455</v>
      </c>
      <c r="B464" s="17">
        <f t="shared" si="160"/>
        <v>13818.625</v>
      </c>
      <c r="C464" s="17">
        <f t="shared" si="153"/>
        <v>13849.0625</v>
      </c>
      <c r="D464" s="17">
        <f t="shared" si="161"/>
        <v>13833.84375</v>
      </c>
      <c r="E464" s="17">
        <f t="shared" si="147"/>
        <v>454.5</v>
      </c>
      <c r="F464" s="17">
        <f t="shared" si="148"/>
        <v>97.875</v>
      </c>
      <c r="G464" s="21">
        <f>INDEX('Life Tables'!$F$8:$F$123,MATCH(Engine!F464,'Life Tables'!$B$8:$B$123,1))</f>
        <v>2.9932340075274233E-2</v>
      </c>
      <c r="H464" s="8">
        <f t="shared" si="149"/>
        <v>0.28003161022020789</v>
      </c>
      <c r="I464">
        <f t="shared" si="150"/>
        <v>1</v>
      </c>
      <c r="K464" s="22" t="e">
        <f>$I464*IF($E464&gt;_xlfn.AGGREGATE(4,6,'KM Data'!$B$6:$B$310),NA(),INDEX('KM Data'!$C$6:$C$310,MATCH($E464,'KM Data'!$B$6:$B$310,1)))</f>
        <v>#N/A</v>
      </c>
      <c r="L464" s="21">
        <f t="shared" si="151"/>
        <v>1.1775750271725394E-2</v>
      </c>
      <c r="M464" s="20">
        <f t="shared" si="154"/>
        <v>3.7804274580786057E-3</v>
      </c>
      <c r="N464" s="21">
        <f t="shared" si="162"/>
        <v>1.6956932497851896E-3</v>
      </c>
      <c r="O464" s="21">
        <f t="shared" si="163"/>
        <v>3.6720821878485875E-2</v>
      </c>
      <c r="P464" s="21">
        <f t="shared" si="164"/>
        <v>1.6956932497851896E-3</v>
      </c>
      <c r="R464" s="22" t="e">
        <f>$I464*IF($E464&gt;_xlfn.AGGREGATE(4,6,'KM Data'!$E$6:$E$205),NA(),INDEX('KM Data'!$F$6:$F$205,MATCH($E464,'KM Data'!$E$6:$E$205,1)))</f>
        <v>#N/A</v>
      </c>
      <c r="S464" s="21">
        <f t="shared" si="152"/>
        <v>7.0211782664574951E-2</v>
      </c>
      <c r="T464" s="8">
        <f t="shared" si="155"/>
        <v>2.4442234840587052E-3</v>
      </c>
      <c r="U464" s="21">
        <f t="shared" si="165"/>
        <v>7.2919688340631261E-3</v>
      </c>
      <c r="V464" s="21">
        <f t="shared" si="166"/>
        <v>3.6720821878485875E-2</v>
      </c>
      <c r="W464" s="21">
        <f t="shared" si="167"/>
        <v>7.2919688340631261E-3</v>
      </c>
      <c r="Y464" s="23">
        <f t="shared" si="156"/>
        <v>1.6956932497851896E-3</v>
      </c>
      <c r="Z464" s="6">
        <f t="shared" si="157"/>
        <v>5.5962755842779363E-3</v>
      </c>
      <c r="AA464" s="6">
        <f t="shared" si="158"/>
        <v>0.99270803116593687</v>
      </c>
      <c r="AB464" s="6">
        <f t="shared" si="159"/>
        <v>1</v>
      </c>
    </row>
    <row r="465" spans="1:28" x14ac:dyDescent="0.35">
      <c r="A465">
        <v>456</v>
      </c>
      <c r="B465" s="17">
        <f t="shared" si="160"/>
        <v>13849.0625</v>
      </c>
      <c r="C465" s="17">
        <f t="shared" si="153"/>
        <v>13879.5</v>
      </c>
      <c r="D465" s="17">
        <f t="shared" si="161"/>
        <v>13864.28125</v>
      </c>
      <c r="E465" s="17">
        <f t="shared" si="147"/>
        <v>455.5</v>
      </c>
      <c r="F465" s="17">
        <f t="shared" si="148"/>
        <v>97.958333333333343</v>
      </c>
      <c r="G465" s="21">
        <f>INDEX('Life Tables'!$F$8:$F$123,MATCH(Engine!F465,'Life Tables'!$B$8:$B$123,1))</f>
        <v>2.9932340075274233E-2</v>
      </c>
      <c r="H465" s="8">
        <f t="shared" si="149"/>
        <v>0.27056194224174673</v>
      </c>
      <c r="I465">
        <f t="shared" si="150"/>
        <v>1</v>
      </c>
      <c r="K465" s="22" t="e">
        <f>$I465*IF($E465&gt;_xlfn.AGGREGATE(4,6,'KM Data'!$B$6:$B$310),NA(),INDEX('KM Data'!$C$6:$C$310,MATCH($E465,'KM Data'!$B$6:$B$310,1)))</f>
        <v>#N/A</v>
      </c>
      <c r="L465" s="21">
        <f t="shared" si="151"/>
        <v>1.1731232902058686E-2</v>
      </c>
      <c r="M465" s="20">
        <f t="shared" si="154"/>
        <v>3.7740351085433499E-3</v>
      </c>
      <c r="N465" s="21">
        <f t="shared" si="162"/>
        <v>1.6449371827692723E-3</v>
      </c>
      <c r="O465" s="21">
        <f t="shared" si="163"/>
        <v>3.5621681750175466E-2</v>
      </c>
      <c r="P465" s="21">
        <f t="shared" si="164"/>
        <v>1.6449371827692723E-3</v>
      </c>
      <c r="R465" s="22" t="e">
        <f>$I465*IF($E465&gt;_xlfn.AGGREGATE(4,6,'KM Data'!$E$6:$E$205),NA(),INDEX('KM Data'!$F$6:$F$205,MATCH($E465,'KM Data'!$E$6:$E$205,1)))</f>
        <v>#N/A</v>
      </c>
      <c r="S465" s="21">
        <f t="shared" si="152"/>
        <v>7.0040169376528572E-2</v>
      </c>
      <c r="T465" s="8">
        <f t="shared" si="155"/>
        <v>2.4402441307256328E-3</v>
      </c>
      <c r="U465" s="21">
        <f t="shared" si="165"/>
        <v>7.0737031431036476E-3</v>
      </c>
      <c r="V465" s="21">
        <f t="shared" si="166"/>
        <v>3.5621681750175466E-2</v>
      </c>
      <c r="W465" s="21">
        <f t="shared" si="167"/>
        <v>7.0737031431036476E-3</v>
      </c>
      <c r="Y465" s="23">
        <f t="shared" si="156"/>
        <v>1.6449371827692723E-3</v>
      </c>
      <c r="Z465" s="6">
        <f t="shared" si="157"/>
        <v>5.4287659603343748E-3</v>
      </c>
      <c r="AA465" s="6">
        <f t="shared" si="158"/>
        <v>0.99292629685689637</v>
      </c>
      <c r="AB465" s="6">
        <f t="shared" si="159"/>
        <v>1</v>
      </c>
    </row>
    <row r="466" spans="1:28" x14ac:dyDescent="0.35">
      <c r="A466">
        <v>457</v>
      </c>
      <c r="B466" s="17">
        <f t="shared" si="160"/>
        <v>13879.5</v>
      </c>
      <c r="C466" s="17">
        <f t="shared" si="153"/>
        <v>13909.9375</v>
      </c>
      <c r="D466" s="17">
        <f t="shared" si="161"/>
        <v>13894.71875</v>
      </c>
      <c r="E466" s="17">
        <f t="shared" si="147"/>
        <v>456.5</v>
      </c>
      <c r="F466" s="17">
        <f t="shared" si="148"/>
        <v>98.041666666666657</v>
      </c>
      <c r="G466" s="21">
        <f>INDEX('Life Tables'!$F$8:$F$123,MATCH(Engine!F466,'Life Tables'!$B$8:$B$123,1))</f>
        <v>3.1756725144922449E-2</v>
      </c>
      <c r="H466" s="8">
        <f t="shared" si="149"/>
        <v>0.27056194224174673</v>
      </c>
      <c r="I466">
        <f t="shared" si="150"/>
        <v>1</v>
      </c>
      <c r="K466" s="22" t="e">
        <f>$I466*IF($E466&gt;_xlfn.AGGREGATE(4,6,'KM Data'!$B$6:$B$310),NA(),INDEX('KM Data'!$C$6:$C$310,MATCH($E466,'KM Data'!$B$6:$B$310,1)))</f>
        <v>#N/A</v>
      </c>
      <c r="L466" s="21">
        <f t="shared" si="151"/>
        <v>1.1686958817219817E-2</v>
      </c>
      <c r="M466" s="20">
        <f t="shared" si="154"/>
        <v>3.7676667291587362E-3</v>
      </c>
      <c r="N466" s="21">
        <f t="shared" si="162"/>
        <v>1.5957003636121589E-3</v>
      </c>
      <c r="O466" s="21">
        <f t="shared" si="163"/>
        <v>3.4555441457976024E-2</v>
      </c>
      <c r="P466" s="21">
        <f t="shared" si="164"/>
        <v>1.5957003636121589E-3</v>
      </c>
      <c r="R466" s="22" t="e">
        <f>$I466*IF($E466&gt;_xlfn.AGGREGATE(4,6,'KM Data'!$E$6:$E$205),NA(),INDEX('KM Data'!$F$6:$F$205,MATCH($E466,'KM Data'!$E$6:$E$205,1)))</f>
        <v>#N/A</v>
      </c>
      <c r="S466" s="21">
        <f t="shared" si="152"/>
        <v>6.9869254264292469E-2</v>
      </c>
      <c r="T466" s="8">
        <f t="shared" si="155"/>
        <v>2.4362793465136923E-3</v>
      </c>
      <c r="U466" s="21">
        <f t="shared" si="165"/>
        <v>6.8619706550327331E-3</v>
      </c>
      <c r="V466" s="21">
        <f t="shared" si="166"/>
        <v>3.4555441457976024E-2</v>
      </c>
      <c r="W466" s="21">
        <f t="shared" si="167"/>
        <v>6.8619706550327331E-3</v>
      </c>
      <c r="Y466" s="23">
        <f t="shared" si="156"/>
        <v>1.5957003636121589E-3</v>
      </c>
      <c r="Z466" s="6">
        <f t="shared" si="157"/>
        <v>5.2662702914205743E-3</v>
      </c>
      <c r="AA466" s="6">
        <f t="shared" si="158"/>
        <v>0.99313802934496731</v>
      </c>
      <c r="AB466" s="6">
        <f t="shared" si="159"/>
        <v>1</v>
      </c>
    </row>
    <row r="467" spans="1:28" x14ac:dyDescent="0.35">
      <c r="A467">
        <v>458</v>
      </c>
      <c r="B467" s="17">
        <f t="shared" si="160"/>
        <v>13909.9375</v>
      </c>
      <c r="C467" s="17">
        <f t="shared" si="153"/>
        <v>13940.375</v>
      </c>
      <c r="D467" s="17">
        <f t="shared" si="161"/>
        <v>13925.15625</v>
      </c>
      <c r="E467" s="17">
        <f t="shared" si="147"/>
        <v>457.5</v>
      </c>
      <c r="F467" s="17">
        <f t="shared" si="148"/>
        <v>98.125</v>
      </c>
      <c r="G467" s="21">
        <f>INDEX('Life Tables'!$F$8:$F$123,MATCH(Engine!F467,'Life Tables'!$B$8:$B$123,1))</f>
        <v>3.1756725144922449E-2</v>
      </c>
      <c r="H467" s="8">
        <f t="shared" si="149"/>
        <v>0.27056194224174673</v>
      </c>
      <c r="I467">
        <f t="shared" si="150"/>
        <v>1</v>
      </c>
      <c r="K467" s="22" t="e">
        <f>$I467*IF($E467&gt;_xlfn.AGGREGATE(4,6,'KM Data'!$B$6:$B$310),NA(),INDEX('KM Data'!$C$6:$C$310,MATCH($E467,'KM Data'!$B$6:$B$310,1)))</f>
        <v>#N/A</v>
      </c>
      <c r="L467" s="21">
        <f t="shared" si="151"/>
        <v>1.164292625131913E-2</v>
      </c>
      <c r="M467" s="20">
        <f t="shared" si="154"/>
        <v>3.7613221799681629E-3</v>
      </c>
      <c r="N467" s="21">
        <f t="shared" si="162"/>
        <v>1.5450261457512747E-3</v>
      </c>
      <c r="O467" s="21">
        <f t="shared" si="163"/>
        <v>3.3458073801333622E-2</v>
      </c>
      <c r="P467" s="21">
        <f t="shared" si="164"/>
        <v>1.5450261457512747E-3</v>
      </c>
      <c r="R467" s="22" t="e">
        <f>$I467*IF($E467&gt;_xlfn.AGGREGATE(4,6,'KM Data'!$E$6:$E$205),NA(),INDEX('KM Data'!$F$6:$F$205,MATCH($E467,'KM Data'!$E$6:$E$205,1)))</f>
        <v>#N/A</v>
      </c>
      <c r="S467" s="21">
        <f t="shared" si="152"/>
        <v>6.9699033243172059E-2</v>
      </c>
      <c r="T467" s="8">
        <f t="shared" si="155"/>
        <v>2.4323290478863724E-3</v>
      </c>
      <c r="U467" s="21">
        <f t="shared" si="165"/>
        <v>6.6440569389883347E-3</v>
      </c>
      <c r="V467" s="21">
        <f t="shared" si="166"/>
        <v>3.3458073801333622E-2</v>
      </c>
      <c r="W467" s="21">
        <f t="shared" si="167"/>
        <v>6.6440569389883347E-3</v>
      </c>
      <c r="Y467" s="23">
        <f t="shared" si="156"/>
        <v>1.5450261457512747E-3</v>
      </c>
      <c r="Z467" s="6">
        <f t="shared" si="157"/>
        <v>5.0990307932370603E-3</v>
      </c>
      <c r="AA467" s="6">
        <f t="shared" si="158"/>
        <v>0.99335594306101171</v>
      </c>
      <c r="AB467" s="6">
        <f t="shared" si="159"/>
        <v>1</v>
      </c>
    </row>
    <row r="468" spans="1:28" x14ac:dyDescent="0.35">
      <c r="A468">
        <v>459</v>
      </c>
      <c r="B468" s="17">
        <f t="shared" si="160"/>
        <v>13940.375</v>
      </c>
      <c r="C468" s="17">
        <f t="shared" si="153"/>
        <v>13970.8125</v>
      </c>
      <c r="D468" s="17">
        <f t="shared" si="161"/>
        <v>13955.59375</v>
      </c>
      <c r="E468" s="17">
        <f t="shared" si="147"/>
        <v>458.5</v>
      </c>
      <c r="F468" s="17">
        <f t="shared" si="148"/>
        <v>98.208333333333343</v>
      </c>
      <c r="G468" s="21">
        <f>INDEX('Life Tables'!$F$8:$F$123,MATCH(Engine!F468,'Life Tables'!$B$8:$B$123,1))</f>
        <v>3.1756725144922449E-2</v>
      </c>
      <c r="H468" s="8">
        <f t="shared" si="149"/>
        <v>0.27056194224174673</v>
      </c>
      <c r="I468">
        <f t="shared" si="150"/>
        <v>1</v>
      </c>
      <c r="K468" s="22" t="e">
        <f>$I468*IF($E468&gt;_xlfn.AGGREGATE(4,6,'KM Data'!$B$6:$B$310),NA(),INDEX('KM Data'!$C$6:$C$310,MATCH($E468,'KM Data'!$B$6:$B$310,1)))</f>
        <v>#N/A</v>
      </c>
      <c r="L468" s="21">
        <f t="shared" si="151"/>
        <v>1.159913345457031E-2</v>
      </c>
      <c r="M468" s="20">
        <f t="shared" si="154"/>
        <v>3.7550013220420952E-3</v>
      </c>
      <c r="N468" s="21">
        <f t="shared" si="162"/>
        <v>1.4959611750989326E-3</v>
      </c>
      <c r="O468" s="21">
        <f t="shared" si="163"/>
        <v>3.2395554947746139E-2</v>
      </c>
      <c r="P468" s="21">
        <f t="shared" si="164"/>
        <v>1.4959611750989326E-3</v>
      </c>
      <c r="R468" s="22" t="e">
        <f>$I468*IF($E468&gt;_xlfn.AGGREGATE(4,6,'KM Data'!$E$6:$E$205),NA(),INDEX('KM Data'!$F$6:$F$205,MATCH($E468,'KM Data'!$E$6:$E$205,1)))</f>
        <v>#N/A</v>
      </c>
      <c r="S468" s="21">
        <f t="shared" si="152"/>
        <v>6.9529502260005094E-2</v>
      </c>
      <c r="T468" s="8">
        <f t="shared" si="155"/>
        <v>2.4283931519460955E-3</v>
      </c>
      <c r="U468" s="21">
        <f t="shared" si="165"/>
        <v>6.433063448929667E-3</v>
      </c>
      <c r="V468" s="21">
        <f t="shared" si="166"/>
        <v>3.2395554947746139E-2</v>
      </c>
      <c r="W468" s="21">
        <f t="shared" si="167"/>
        <v>6.433063448929667E-3</v>
      </c>
      <c r="Y468" s="23">
        <f t="shared" si="156"/>
        <v>1.4959611750989326E-3</v>
      </c>
      <c r="Z468" s="6">
        <f t="shared" si="157"/>
        <v>4.9371022738307346E-3</v>
      </c>
      <c r="AA468" s="6">
        <f t="shared" si="158"/>
        <v>0.99356693655107031</v>
      </c>
      <c r="AB468" s="6">
        <f t="shared" si="159"/>
        <v>1</v>
      </c>
    </row>
    <row r="469" spans="1:28" x14ac:dyDescent="0.35">
      <c r="A469">
        <v>460</v>
      </c>
      <c r="B469" s="17">
        <f t="shared" si="160"/>
        <v>13970.8125</v>
      </c>
      <c r="C469" s="17">
        <f t="shared" si="153"/>
        <v>14001.25</v>
      </c>
      <c r="D469" s="17">
        <f t="shared" si="161"/>
        <v>13986.03125</v>
      </c>
      <c r="E469" s="17">
        <f t="shared" si="147"/>
        <v>459.5</v>
      </c>
      <c r="F469" s="17">
        <f t="shared" si="148"/>
        <v>98.291666666666657</v>
      </c>
      <c r="G469" s="21">
        <f>INDEX('Life Tables'!$F$8:$F$123,MATCH(Engine!F469,'Life Tables'!$B$8:$B$123,1))</f>
        <v>3.1756725144922449E-2</v>
      </c>
      <c r="H469" s="8">
        <f t="shared" si="149"/>
        <v>0.27056194224174673</v>
      </c>
      <c r="I469">
        <f t="shared" si="150"/>
        <v>1</v>
      </c>
      <c r="K469" s="22" t="e">
        <f>$I469*IF($E469&gt;_xlfn.AGGREGATE(4,6,'KM Data'!$B$6:$B$310),NA(),INDEX('KM Data'!$C$6:$C$310,MATCH($E469,'KM Data'!$B$6:$B$310,1)))</f>
        <v>#N/A</v>
      </c>
      <c r="L469" s="21">
        <f t="shared" si="151"/>
        <v>1.1555578693113855E-2</v>
      </c>
      <c r="M469" s="20">
        <f t="shared" si="154"/>
        <v>3.7487040176343855E-3</v>
      </c>
      <c r="N469" s="21">
        <f t="shared" si="162"/>
        <v>1.4484543472338407E-3</v>
      </c>
      <c r="O469" s="21">
        <f t="shared" si="163"/>
        <v>3.1366778213353333E-2</v>
      </c>
      <c r="P469" s="21">
        <f t="shared" si="164"/>
        <v>1.4484543472338407E-3</v>
      </c>
      <c r="R469" s="22" t="e">
        <f>$I469*IF($E469&gt;_xlfn.AGGREGATE(4,6,'KM Data'!$E$6:$E$205),NA(),INDEX('KM Data'!$F$6:$F$205,MATCH($E469,'KM Data'!$E$6:$E$205,1)))</f>
        <v>#N/A</v>
      </c>
      <c r="S469" s="21">
        <f t="shared" si="152"/>
        <v>6.9360657292858674E-2</v>
      </c>
      <c r="T469" s="8">
        <f t="shared" si="155"/>
        <v>2.424471576457643E-3</v>
      </c>
      <c r="U469" s="21">
        <f t="shared" si="165"/>
        <v>6.2287704211421609E-3</v>
      </c>
      <c r="V469" s="21">
        <f t="shared" si="166"/>
        <v>3.1366778213353333E-2</v>
      </c>
      <c r="W469" s="21">
        <f t="shared" si="167"/>
        <v>6.2287704211421609E-3</v>
      </c>
      <c r="Y469" s="23">
        <f t="shared" si="156"/>
        <v>1.4484543472338407E-3</v>
      </c>
      <c r="Z469" s="6">
        <f t="shared" si="157"/>
        <v>4.7803160739083202E-3</v>
      </c>
      <c r="AA469" s="6">
        <f t="shared" si="158"/>
        <v>0.99377122957885788</v>
      </c>
      <c r="AB469" s="6">
        <f t="shared" si="159"/>
        <v>1</v>
      </c>
    </row>
    <row r="470" spans="1:28" x14ac:dyDescent="0.35">
      <c r="A470">
        <v>461</v>
      </c>
      <c r="B470" s="17">
        <f t="shared" si="160"/>
        <v>14001.25</v>
      </c>
      <c r="C470" s="17">
        <f t="shared" si="153"/>
        <v>14031.6875</v>
      </c>
      <c r="D470" s="17">
        <f t="shared" si="161"/>
        <v>14016.46875</v>
      </c>
      <c r="E470" s="17">
        <f t="shared" si="147"/>
        <v>460.5</v>
      </c>
      <c r="F470" s="17">
        <f t="shared" si="148"/>
        <v>98.375</v>
      </c>
      <c r="G470" s="21">
        <f>INDEX('Life Tables'!$F$8:$F$123,MATCH(Engine!F470,'Life Tables'!$B$8:$B$123,1))</f>
        <v>3.1756725144922449E-2</v>
      </c>
      <c r="H470" s="8">
        <f t="shared" si="149"/>
        <v>0.27056194224174673</v>
      </c>
      <c r="I470">
        <f t="shared" si="150"/>
        <v>1</v>
      </c>
      <c r="K470" s="22" t="e">
        <f>$I470*IF($E470&gt;_xlfn.AGGREGATE(4,6,'KM Data'!$B$6:$B$310),NA(),INDEX('KM Data'!$C$6:$C$310,MATCH($E470,'KM Data'!$B$6:$B$310,1)))</f>
        <v>#N/A</v>
      </c>
      <c r="L470" s="21">
        <f t="shared" si="151"/>
        <v>1.1512260248840889E-2</v>
      </c>
      <c r="M470" s="20">
        <f t="shared" si="154"/>
        <v>3.7424301300422735E-3</v>
      </c>
      <c r="N470" s="21">
        <f t="shared" si="162"/>
        <v>1.4024561806437676E-3</v>
      </c>
      <c r="O470" s="21">
        <f t="shared" si="163"/>
        <v>3.0370672058950131E-2</v>
      </c>
      <c r="P470" s="21">
        <f t="shared" si="164"/>
        <v>1.4024561806437676E-3</v>
      </c>
      <c r="R470" s="22" t="e">
        <f>$I470*IF($E470&gt;_xlfn.AGGREGATE(4,6,'KM Data'!$E$6:$E$205),NA(),INDEX('KM Data'!$F$6:$F$205,MATCH($E470,'KM Data'!$E$6:$E$205,1)))</f>
        <v>#N/A</v>
      </c>
      <c r="S470" s="21">
        <f t="shared" si="152"/>
        <v>6.9192494350727718E-2</v>
      </c>
      <c r="T470" s="8">
        <f t="shared" si="155"/>
        <v>2.4205642398085203E-3</v>
      </c>
      <c r="U470" s="21">
        <f t="shared" si="165"/>
        <v>6.0309650708871261E-3</v>
      </c>
      <c r="V470" s="21">
        <f t="shared" si="166"/>
        <v>3.0370672058950131E-2</v>
      </c>
      <c r="W470" s="21">
        <f t="shared" si="167"/>
        <v>6.0309650708871261E-3</v>
      </c>
      <c r="Y470" s="23">
        <f t="shared" si="156"/>
        <v>1.4024561806437676E-3</v>
      </c>
      <c r="Z470" s="6">
        <f t="shared" si="157"/>
        <v>4.6285088902433581E-3</v>
      </c>
      <c r="AA470" s="6">
        <f t="shared" si="158"/>
        <v>0.99396903492911293</v>
      </c>
      <c r="AB470" s="6">
        <f t="shared" si="159"/>
        <v>1</v>
      </c>
    </row>
    <row r="471" spans="1:28" x14ac:dyDescent="0.35">
      <c r="A471">
        <v>462</v>
      </c>
      <c r="B471" s="17">
        <f t="shared" si="160"/>
        <v>14031.6875</v>
      </c>
      <c r="C471" s="17">
        <f t="shared" si="153"/>
        <v>14062.125</v>
      </c>
      <c r="D471" s="17">
        <f t="shared" si="161"/>
        <v>14046.90625</v>
      </c>
      <c r="E471" s="17">
        <f t="shared" si="147"/>
        <v>461.5</v>
      </c>
      <c r="F471" s="17">
        <f t="shared" si="148"/>
        <v>98.458333333333343</v>
      </c>
      <c r="G471" s="21">
        <f>INDEX('Life Tables'!$F$8:$F$123,MATCH(Engine!F471,'Life Tables'!$B$8:$B$123,1))</f>
        <v>3.1756725144922449E-2</v>
      </c>
      <c r="H471" s="8">
        <f t="shared" si="149"/>
        <v>0.27056194224174673</v>
      </c>
      <c r="I471">
        <f t="shared" si="150"/>
        <v>1</v>
      </c>
      <c r="K471" s="22" t="e">
        <f>$I471*IF($E471&gt;_xlfn.AGGREGATE(4,6,'KM Data'!$B$6:$B$310),NA(),INDEX('KM Data'!$C$6:$C$310,MATCH($E471,'KM Data'!$B$6:$B$310,1)))</f>
        <v>#N/A</v>
      </c>
      <c r="L471" s="21">
        <f t="shared" si="151"/>
        <v>1.1469176419220739E-2</v>
      </c>
      <c r="M471" s="20">
        <f t="shared" si="154"/>
        <v>3.7361795236342532E-3</v>
      </c>
      <c r="N471" s="21">
        <f t="shared" si="162"/>
        <v>1.3579187651872658E-3</v>
      </c>
      <c r="O471" s="21">
        <f t="shared" si="163"/>
        <v>2.9406198973907477E-2</v>
      </c>
      <c r="P471" s="21">
        <f t="shared" si="164"/>
        <v>1.3579187651872658E-3</v>
      </c>
      <c r="R471" s="22" t="e">
        <f>$I471*IF($E471&gt;_xlfn.AGGREGATE(4,6,'KM Data'!$E$6:$E$205),NA(),INDEX('KM Data'!$F$6:$F$205,MATCH($E471,'KM Data'!$E$6:$E$205,1)))</f>
        <v>#N/A</v>
      </c>
      <c r="S471" s="21">
        <f t="shared" si="152"/>
        <v>6.9025009473239196E-2</v>
      </c>
      <c r="T471" s="8">
        <f t="shared" si="155"/>
        <v>2.4166710610344921E-3</v>
      </c>
      <c r="U471" s="21">
        <f t="shared" si="165"/>
        <v>5.8394413707723363E-3</v>
      </c>
      <c r="V471" s="21">
        <f t="shared" si="166"/>
        <v>2.9406198973907477E-2</v>
      </c>
      <c r="W471" s="21">
        <f t="shared" si="167"/>
        <v>5.8394413707723363E-3</v>
      </c>
      <c r="Y471" s="23">
        <f t="shared" si="156"/>
        <v>1.3579187651872658E-3</v>
      </c>
      <c r="Z471" s="6">
        <f t="shared" si="157"/>
        <v>4.4815226055850707E-3</v>
      </c>
      <c r="AA471" s="6">
        <f t="shared" si="158"/>
        <v>0.9941605586292277</v>
      </c>
      <c r="AB471" s="6">
        <f t="shared" si="159"/>
        <v>1</v>
      </c>
    </row>
    <row r="472" spans="1:28" x14ac:dyDescent="0.35">
      <c r="A472">
        <v>463</v>
      </c>
      <c r="B472" s="17">
        <f t="shared" si="160"/>
        <v>14062.125</v>
      </c>
      <c r="C472" s="17">
        <f t="shared" si="153"/>
        <v>14092.5625</v>
      </c>
      <c r="D472" s="17">
        <f t="shared" si="161"/>
        <v>14077.34375</v>
      </c>
      <c r="E472" s="17">
        <f t="shared" si="147"/>
        <v>462.5</v>
      </c>
      <c r="F472" s="17">
        <f t="shared" si="148"/>
        <v>98.541666666666657</v>
      </c>
      <c r="G472" s="21">
        <f>INDEX('Life Tables'!$F$8:$F$123,MATCH(Engine!F472,'Life Tables'!$B$8:$B$123,1))</f>
        <v>3.1756725144922449E-2</v>
      </c>
      <c r="H472" s="8">
        <f t="shared" si="149"/>
        <v>0.27056194224174673</v>
      </c>
      <c r="I472">
        <f t="shared" si="150"/>
        <v>1</v>
      </c>
      <c r="K472" s="22" t="e">
        <f>$I472*IF($E472&gt;_xlfn.AGGREGATE(4,6,'KM Data'!$B$6:$B$310),NA(),INDEX('KM Data'!$C$6:$C$310,MATCH($E472,'KM Data'!$B$6:$B$310,1)))</f>
        <v>#N/A</v>
      </c>
      <c r="L472" s="21">
        <f t="shared" si="151"/>
        <v>1.1426325517130298E-2</v>
      </c>
      <c r="M472" s="20">
        <f t="shared" si="154"/>
        <v>3.729952063876163E-3</v>
      </c>
      <c r="N472" s="21">
        <f t="shared" si="162"/>
        <v>1.3147957121920812E-3</v>
      </c>
      <c r="O472" s="21">
        <f t="shared" si="163"/>
        <v>2.8472354395536196E-2</v>
      </c>
      <c r="P472" s="21">
        <f t="shared" si="164"/>
        <v>1.3147957121920812E-3</v>
      </c>
      <c r="R472" s="22" t="e">
        <f>$I472*IF($E472&gt;_xlfn.AGGREGATE(4,6,'KM Data'!$E$6:$E$205),NA(),INDEX('KM Data'!$F$6:$F$205,MATCH($E472,'KM Data'!$E$6:$E$205,1)))</f>
        <v>#N/A</v>
      </c>
      <c r="S472" s="21">
        <f t="shared" si="152"/>
        <v>6.8858198730357589E-2</v>
      </c>
      <c r="T472" s="8">
        <f t="shared" si="155"/>
        <v>2.4127919597934921E-3</v>
      </c>
      <c r="U472" s="21">
        <f t="shared" si="165"/>
        <v>5.6539998361608305E-3</v>
      </c>
      <c r="V472" s="21">
        <f t="shared" si="166"/>
        <v>2.8472354395536196E-2</v>
      </c>
      <c r="W472" s="21">
        <f t="shared" si="167"/>
        <v>5.6539998361608305E-3</v>
      </c>
      <c r="Y472" s="23">
        <f t="shared" si="156"/>
        <v>1.3147957121920812E-3</v>
      </c>
      <c r="Z472" s="6">
        <f t="shared" si="157"/>
        <v>4.3392041239687495E-3</v>
      </c>
      <c r="AA472" s="6">
        <f t="shared" si="158"/>
        <v>0.99434600016383912</v>
      </c>
      <c r="AB472" s="6">
        <f t="shared" si="159"/>
        <v>1</v>
      </c>
    </row>
    <row r="473" spans="1:28" x14ac:dyDescent="0.35">
      <c r="A473">
        <v>464</v>
      </c>
      <c r="B473" s="17">
        <f t="shared" si="160"/>
        <v>14092.5625</v>
      </c>
      <c r="C473" s="17">
        <f t="shared" si="153"/>
        <v>14123</v>
      </c>
      <c r="D473" s="17">
        <f t="shared" si="161"/>
        <v>14107.78125</v>
      </c>
      <c r="E473" s="17">
        <f t="shared" si="147"/>
        <v>463.5</v>
      </c>
      <c r="F473" s="17">
        <f t="shared" si="148"/>
        <v>98.625</v>
      </c>
      <c r="G473" s="21">
        <f>INDEX('Life Tables'!$F$8:$F$123,MATCH(Engine!F473,'Life Tables'!$B$8:$B$123,1))</f>
        <v>3.1756725144922449E-2</v>
      </c>
      <c r="H473" s="8">
        <f t="shared" si="149"/>
        <v>0.27056194224174673</v>
      </c>
      <c r="I473">
        <f t="shared" si="150"/>
        <v>1</v>
      </c>
      <c r="K473" s="22" t="e">
        <f>$I473*IF($E473&gt;_xlfn.AGGREGATE(4,6,'KM Data'!$B$6:$B$310),NA(),INDEX('KM Data'!$C$6:$C$310,MATCH($E473,'KM Data'!$B$6:$B$310,1)))</f>
        <v>#N/A</v>
      </c>
      <c r="L473" s="21">
        <f t="shared" si="151"/>
        <v>1.1383705870685157E-2</v>
      </c>
      <c r="M473" s="20">
        <f t="shared" si="154"/>
        <v>3.7237476172969908E-3</v>
      </c>
      <c r="N473" s="21">
        <f t="shared" si="162"/>
        <v>1.2730421061382747E-3</v>
      </c>
      <c r="O473" s="21">
        <f t="shared" si="163"/>
        <v>2.7568165662768328E-2</v>
      </c>
      <c r="P473" s="21">
        <f t="shared" si="164"/>
        <v>1.2730421061382747E-3</v>
      </c>
      <c r="R473" s="22" t="e">
        <f>$I473*IF($E473&gt;_xlfn.AGGREGATE(4,6,'KM Data'!$E$6:$E$205),NA(),INDEX('KM Data'!$F$6:$F$205,MATCH($E473,'KM Data'!$E$6:$E$205,1)))</f>
        <v>#N/A</v>
      </c>
      <c r="S473" s="21">
        <f t="shared" si="152"/>
        <v>6.869205822209512E-2</v>
      </c>
      <c r="T473" s="8">
        <f t="shared" si="155"/>
        <v>2.4089268563625144E-3</v>
      </c>
      <c r="U473" s="21">
        <f t="shared" si="165"/>
        <v>5.4744473173944349E-3</v>
      </c>
      <c r="V473" s="21">
        <f t="shared" si="166"/>
        <v>2.7568165662768328E-2</v>
      </c>
      <c r="W473" s="21">
        <f t="shared" si="167"/>
        <v>5.4744473173944349E-3</v>
      </c>
      <c r="Y473" s="23">
        <f t="shared" si="156"/>
        <v>1.2730421061382747E-3</v>
      </c>
      <c r="Z473" s="6">
        <f t="shared" si="157"/>
        <v>4.2014052112561602E-3</v>
      </c>
      <c r="AA473" s="6">
        <f t="shared" si="158"/>
        <v>0.99452555268260556</v>
      </c>
      <c r="AB473" s="6">
        <f t="shared" si="159"/>
        <v>1</v>
      </c>
    </row>
    <row r="474" spans="1:28" x14ac:dyDescent="0.35">
      <c r="A474">
        <v>465</v>
      </c>
      <c r="B474" s="17">
        <f t="shared" si="160"/>
        <v>14123</v>
      </c>
      <c r="C474" s="17">
        <f t="shared" si="153"/>
        <v>14153.4375</v>
      </c>
      <c r="D474" s="17">
        <f t="shared" si="161"/>
        <v>14138.21875</v>
      </c>
      <c r="E474" s="17">
        <f t="shared" si="147"/>
        <v>464.5</v>
      </c>
      <c r="F474" s="17">
        <f t="shared" si="148"/>
        <v>98.708333333333343</v>
      </c>
      <c r="G474" s="21">
        <f>INDEX('Life Tables'!$F$8:$F$123,MATCH(Engine!F474,'Life Tables'!$B$8:$B$123,1))</f>
        <v>3.1756725144922449E-2</v>
      </c>
      <c r="H474" s="8">
        <f t="shared" si="149"/>
        <v>0.27056194224174673</v>
      </c>
      <c r="I474">
        <f t="shared" si="150"/>
        <v>1</v>
      </c>
      <c r="K474" s="22" t="e">
        <f>$I474*IF($E474&gt;_xlfn.AGGREGATE(4,6,'KM Data'!$B$6:$B$310),NA(),INDEX('KM Data'!$C$6:$C$310,MATCH($E474,'KM Data'!$B$6:$B$310,1)))</f>
        <v>#N/A</v>
      </c>
      <c r="L474" s="21">
        <f t="shared" si="151"/>
        <v>1.1341315823073184E-2</v>
      </c>
      <c r="M474" s="20">
        <f t="shared" si="154"/>
        <v>3.7175660514118247E-3</v>
      </c>
      <c r="N474" s="21">
        <f t="shared" si="162"/>
        <v>1.2326144578757284E-3</v>
      </c>
      <c r="O474" s="21">
        <f t="shared" si="163"/>
        <v>2.6692691003066107E-2</v>
      </c>
      <c r="P474" s="21">
        <f t="shared" si="164"/>
        <v>1.2326144578757284E-3</v>
      </c>
      <c r="R474" s="22" t="e">
        <f>$I474*IF($E474&gt;_xlfn.AGGREGATE(4,6,'KM Data'!$E$6:$E$205),NA(),INDEX('KM Data'!$F$6:$F$205,MATCH($E474,'KM Data'!$E$6:$E$205,1)))</f>
        <v>#N/A</v>
      </c>
      <c r="S474" s="21">
        <f t="shared" si="152"/>
        <v>6.8526584078225095E-2</v>
      </c>
      <c r="T474" s="8">
        <f t="shared" si="155"/>
        <v>2.4050756716440524E-3</v>
      </c>
      <c r="U474" s="21">
        <f t="shared" si="165"/>
        <v>5.300596798615582E-3</v>
      </c>
      <c r="V474" s="21">
        <f t="shared" si="166"/>
        <v>2.6692691003066107E-2</v>
      </c>
      <c r="W474" s="21">
        <f t="shared" si="167"/>
        <v>5.300596798615582E-3</v>
      </c>
      <c r="Y474" s="23">
        <f t="shared" si="156"/>
        <v>1.2326144578757284E-3</v>
      </c>
      <c r="Z474" s="6">
        <f t="shared" si="157"/>
        <v>4.0679823407398534E-3</v>
      </c>
      <c r="AA474" s="6">
        <f t="shared" si="158"/>
        <v>0.99469940320138439</v>
      </c>
      <c r="AB474" s="6">
        <f t="shared" si="159"/>
        <v>1</v>
      </c>
    </row>
    <row r="475" spans="1:28" x14ac:dyDescent="0.35">
      <c r="A475">
        <v>466</v>
      </c>
      <c r="B475" s="17">
        <f t="shared" si="160"/>
        <v>14153.4375</v>
      </c>
      <c r="C475" s="17">
        <f t="shared" si="153"/>
        <v>14183.875</v>
      </c>
      <c r="D475" s="17">
        <f t="shared" si="161"/>
        <v>14168.65625</v>
      </c>
      <c r="E475" s="17">
        <f t="shared" si="147"/>
        <v>465.5</v>
      </c>
      <c r="F475" s="17">
        <f t="shared" si="148"/>
        <v>98.791666666666657</v>
      </c>
      <c r="G475" s="21">
        <f>INDEX('Life Tables'!$F$8:$F$123,MATCH(Engine!F475,'Life Tables'!$B$8:$B$123,1))</f>
        <v>3.1756725144922449E-2</v>
      </c>
      <c r="H475" s="8">
        <f t="shared" si="149"/>
        <v>0.27056194224174673</v>
      </c>
      <c r="I475">
        <f t="shared" si="150"/>
        <v>1</v>
      </c>
      <c r="K475" s="22" t="e">
        <f>$I475*IF($E475&gt;_xlfn.AGGREGATE(4,6,'KM Data'!$B$6:$B$310),NA(),INDEX('KM Data'!$C$6:$C$310,MATCH($E475,'KM Data'!$B$6:$B$310,1)))</f>
        <v>#N/A</v>
      </c>
      <c r="L475" s="21">
        <f t="shared" si="151"/>
        <v>1.1299153732390987E-2</v>
      </c>
      <c r="M475" s="20">
        <f t="shared" si="154"/>
        <v>3.7114072348475302E-3</v>
      </c>
      <c r="N475" s="21">
        <f t="shared" si="162"/>
        <v>1.1934706593273114E-3</v>
      </c>
      <c r="O475" s="21">
        <f t="shared" si="163"/>
        <v>2.5845018551503392E-2</v>
      </c>
      <c r="P475" s="21">
        <f t="shared" si="164"/>
        <v>1.1934706593273114E-3</v>
      </c>
      <c r="R475" s="22" t="e">
        <f>$I475*IF($E475&gt;_xlfn.AGGREGATE(4,6,'KM Data'!$E$6:$E$205),NA(),INDEX('KM Data'!$F$6:$F$205,MATCH($E475,'KM Data'!$E$6:$E$205,1)))</f>
        <v>#N/A</v>
      </c>
      <c r="S475" s="21">
        <f t="shared" si="152"/>
        <v>6.8361772457997683E-2</v>
      </c>
      <c r="T475" s="8">
        <f t="shared" si="155"/>
        <v>2.4012383271343474E-3</v>
      </c>
      <c r="U475" s="21">
        <f t="shared" si="165"/>
        <v>5.1322672029778908E-3</v>
      </c>
      <c r="V475" s="21">
        <f t="shared" si="166"/>
        <v>2.5845018551503392E-2</v>
      </c>
      <c r="W475" s="21">
        <f t="shared" si="167"/>
        <v>5.1322672029778908E-3</v>
      </c>
      <c r="Y475" s="23">
        <f t="shared" si="156"/>
        <v>1.1934706593273114E-3</v>
      </c>
      <c r="Z475" s="6">
        <f t="shared" si="157"/>
        <v>3.938796543650579E-3</v>
      </c>
      <c r="AA475" s="6">
        <f t="shared" si="158"/>
        <v>0.99486773279702212</v>
      </c>
      <c r="AB475" s="6">
        <f t="shared" si="159"/>
        <v>1</v>
      </c>
    </row>
    <row r="476" spans="1:28" x14ac:dyDescent="0.35">
      <c r="A476">
        <v>467</v>
      </c>
      <c r="B476" s="17">
        <f t="shared" si="160"/>
        <v>14183.875</v>
      </c>
      <c r="C476" s="17">
        <f t="shared" si="153"/>
        <v>14214.3125</v>
      </c>
      <c r="D476" s="17">
        <f t="shared" si="161"/>
        <v>14199.09375</v>
      </c>
      <c r="E476" s="17">
        <f t="shared" si="147"/>
        <v>466.5</v>
      </c>
      <c r="F476" s="17">
        <f t="shared" si="148"/>
        <v>98.875</v>
      </c>
      <c r="G476" s="21">
        <f>INDEX('Life Tables'!$F$8:$F$123,MATCH(Engine!F476,'Life Tables'!$B$8:$B$123,1))</f>
        <v>3.1756725144922449E-2</v>
      </c>
      <c r="H476" s="8">
        <f t="shared" si="149"/>
        <v>0.27056194224174673</v>
      </c>
      <c r="I476">
        <f t="shared" si="150"/>
        <v>1</v>
      </c>
      <c r="K476" s="22" t="e">
        <f>$I476*IF($E476&gt;_xlfn.AGGREGATE(4,6,'KM Data'!$B$6:$B$310),NA(),INDEX('KM Data'!$C$6:$C$310,MATCH($E476,'KM Data'!$B$6:$B$310,1)))</f>
        <v>#N/A</v>
      </c>
      <c r="L476" s="21">
        <f t="shared" si="151"/>
        <v>1.1257217971480937E-2</v>
      </c>
      <c r="M476" s="20">
        <f t="shared" si="154"/>
        <v>3.7052710371925368E-3</v>
      </c>
      <c r="N476" s="21">
        <f t="shared" si="162"/>
        <v>1.1555699396305246E-3</v>
      </c>
      <c r="O476" s="21">
        <f t="shared" si="163"/>
        <v>2.5024265400997878E-2</v>
      </c>
      <c r="P476" s="21">
        <f t="shared" si="164"/>
        <v>1.1555699396305246E-3</v>
      </c>
      <c r="R476" s="22" t="e">
        <f>$I476*IF($E476&gt;_xlfn.AGGREGATE(4,6,'KM Data'!$E$6:$E$205),NA(),INDEX('KM Data'!$F$6:$F$205,MATCH($E476,'KM Data'!$E$6:$E$205,1)))</f>
        <v>#N/A</v>
      </c>
      <c r="S476" s="21">
        <f t="shared" si="152"/>
        <v>6.81976195498607E-2</v>
      </c>
      <c r="T476" s="8">
        <f t="shared" si="155"/>
        <v>2.3974147449482563E-3</v>
      </c>
      <c r="U476" s="21">
        <f t="shared" si="165"/>
        <v>4.9692832040426219E-3</v>
      </c>
      <c r="V476" s="21">
        <f t="shared" si="166"/>
        <v>2.5024265400997878E-2</v>
      </c>
      <c r="W476" s="21">
        <f t="shared" si="167"/>
        <v>4.9692832040426219E-3</v>
      </c>
      <c r="Y476" s="23">
        <f t="shared" si="156"/>
        <v>1.1555699396305246E-3</v>
      </c>
      <c r="Z476" s="6">
        <f t="shared" si="157"/>
        <v>3.8137132644120971E-3</v>
      </c>
      <c r="AA476" s="6">
        <f t="shared" si="158"/>
        <v>0.99503071679595734</v>
      </c>
      <c r="AB476" s="6">
        <f t="shared" si="159"/>
        <v>1</v>
      </c>
    </row>
    <row r="477" spans="1:28" x14ac:dyDescent="0.35">
      <c r="A477">
        <v>468</v>
      </c>
      <c r="B477" s="17">
        <f t="shared" si="160"/>
        <v>14214.3125</v>
      </c>
      <c r="C477" s="17">
        <f t="shared" si="153"/>
        <v>14244.75</v>
      </c>
      <c r="D477" s="17">
        <f t="shared" si="161"/>
        <v>14229.53125</v>
      </c>
      <c r="E477" s="17">
        <f t="shared" si="147"/>
        <v>467.5</v>
      </c>
      <c r="F477" s="17">
        <f t="shared" si="148"/>
        <v>98.958333333333343</v>
      </c>
      <c r="G477" s="21">
        <f>INDEX('Life Tables'!$F$8:$F$123,MATCH(Engine!F477,'Life Tables'!$B$8:$B$123,1))</f>
        <v>3.1756725144922449E-2</v>
      </c>
      <c r="H477" s="8">
        <f t="shared" si="149"/>
        <v>0.26141250458139786</v>
      </c>
      <c r="I477">
        <f t="shared" si="150"/>
        <v>1</v>
      </c>
      <c r="K477" s="22" t="e">
        <f>$I477*IF($E477&gt;_xlfn.AGGREGATE(4,6,'KM Data'!$B$6:$B$310),NA(),INDEX('KM Data'!$C$6:$C$310,MATCH($E477,'KM Data'!$B$6:$B$310,1)))</f>
        <v>#N/A</v>
      </c>
      <c r="L477" s="21">
        <f t="shared" si="151"/>
        <v>1.1215506927771846E-2</v>
      </c>
      <c r="M477" s="20">
        <f t="shared" si="154"/>
        <v>3.6991573291079716E-3</v>
      </c>
      <c r="N477" s="21">
        <f t="shared" si="162"/>
        <v>1.1188728226719435E-3</v>
      </c>
      <c r="O477" s="21">
        <f t="shared" si="163"/>
        <v>2.4229576682704795E-2</v>
      </c>
      <c r="P477" s="21">
        <f t="shared" si="164"/>
        <v>1.1188728226719435E-3</v>
      </c>
      <c r="R477" s="22" t="e">
        <f>$I477*IF($E477&gt;_xlfn.AGGREGATE(4,6,'KM Data'!$E$6:$E$205),NA(),INDEX('KM Data'!$F$6:$F$205,MATCH($E477,'KM Data'!$E$6:$E$205,1)))</f>
        <v>#N/A</v>
      </c>
      <c r="S477" s="21">
        <f t="shared" si="152"/>
        <v>6.8034121571181494E-2</v>
      </c>
      <c r="T477" s="8">
        <f t="shared" si="155"/>
        <v>2.3936048477894989E-3</v>
      </c>
      <c r="U477" s="21">
        <f t="shared" si="165"/>
        <v>4.8114750431645604E-3</v>
      </c>
      <c r="V477" s="21">
        <f t="shared" si="166"/>
        <v>2.4229576682704795E-2</v>
      </c>
      <c r="W477" s="21">
        <f t="shared" si="167"/>
        <v>4.8114750431645604E-3</v>
      </c>
      <c r="Y477" s="23">
        <f t="shared" si="156"/>
        <v>1.1188728226719435E-3</v>
      </c>
      <c r="Z477" s="6">
        <f t="shared" si="157"/>
        <v>3.6926022204926169E-3</v>
      </c>
      <c r="AA477" s="6">
        <f t="shared" si="158"/>
        <v>0.99518852495683541</v>
      </c>
      <c r="AB477" s="6">
        <f t="shared" si="159"/>
        <v>1</v>
      </c>
    </row>
    <row r="478" spans="1:28" x14ac:dyDescent="0.35">
      <c r="A478">
        <v>469</v>
      </c>
      <c r="B478" s="17">
        <f t="shared" si="160"/>
        <v>14244.75</v>
      </c>
      <c r="C478" s="17">
        <f t="shared" si="153"/>
        <v>14275.1875</v>
      </c>
      <c r="D478" s="17">
        <f t="shared" si="161"/>
        <v>14259.96875</v>
      </c>
      <c r="E478" s="17">
        <f t="shared" si="147"/>
        <v>468.5</v>
      </c>
      <c r="F478" s="17">
        <f t="shared" si="148"/>
        <v>99.041666666666657</v>
      </c>
      <c r="G478" s="21">
        <f>INDEX('Life Tables'!$F$8:$F$123,MATCH(Engine!F478,'Life Tables'!$B$8:$B$123,1))</f>
        <v>3.5627153996814376E-2</v>
      </c>
      <c r="H478" s="8">
        <f t="shared" si="149"/>
        <v>0.26141250458139786</v>
      </c>
      <c r="I478">
        <f t="shared" si="150"/>
        <v>1</v>
      </c>
      <c r="K478" s="22" t="e">
        <f>$I478*IF($E478&gt;_xlfn.AGGREGATE(4,6,'KM Data'!$B$6:$B$310),NA(),INDEX('KM Data'!$C$6:$C$310,MATCH($E478,'KM Data'!$B$6:$B$310,1)))</f>
        <v>#N/A</v>
      </c>
      <c r="L478" s="21">
        <f t="shared" si="151"/>
        <v>1.1174019003120317E-2</v>
      </c>
      <c r="M478" s="20">
        <f t="shared" si="154"/>
        <v>3.6930659822206335E-3</v>
      </c>
      <c r="N478" s="21">
        <f t="shared" si="162"/>
        <v>1.0833410859702271E-3</v>
      </c>
      <c r="O478" s="21">
        <f t="shared" si="163"/>
        <v>2.3460124675614317E-2</v>
      </c>
      <c r="P478" s="21">
        <f t="shared" si="164"/>
        <v>1.0833410859702271E-3</v>
      </c>
      <c r="R478" s="22" t="e">
        <f>$I478*IF($E478&gt;_xlfn.AGGREGATE(4,6,'KM Data'!$E$6:$E$205),NA(),INDEX('KM Data'!$F$6:$F$205,MATCH($E478,'KM Data'!$E$6:$E$205,1)))</f>
        <v>#N/A</v>
      </c>
      <c r="S478" s="21">
        <f t="shared" si="152"/>
        <v>6.7871274767973611E-2</v>
      </c>
      <c r="T478" s="8">
        <f t="shared" si="155"/>
        <v>2.3898085589586504E-3</v>
      </c>
      <c r="U478" s="21">
        <f t="shared" si="165"/>
        <v>4.65867835267713E-3</v>
      </c>
      <c r="V478" s="21">
        <f t="shared" si="166"/>
        <v>2.3460124675614317E-2</v>
      </c>
      <c r="W478" s="21">
        <f t="shared" si="167"/>
        <v>4.65867835267713E-3</v>
      </c>
      <c r="Y478" s="23">
        <f t="shared" si="156"/>
        <v>1.0833410859702271E-3</v>
      </c>
      <c r="Z478" s="6">
        <f t="shared" si="157"/>
        <v>3.5753372667069027E-3</v>
      </c>
      <c r="AA478" s="6">
        <f t="shared" si="158"/>
        <v>0.99534132164732292</v>
      </c>
      <c r="AB478" s="6">
        <f t="shared" si="159"/>
        <v>1</v>
      </c>
    </row>
    <row r="479" spans="1:28" x14ac:dyDescent="0.35">
      <c r="A479">
        <v>470</v>
      </c>
      <c r="B479" s="17">
        <f t="shared" si="160"/>
        <v>14275.1875</v>
      </c>
      <c r="C479" s="17">
        <f t="shared" si="153"/>
        <v>14305.625</v>
      </c>
      <c r="D479" s="17">
        <f t="shared" si="161"/>
        <v>14290.40625</v>
      </c>
      <c r="E479" s="17">
        <f t="shared" si="147"/>
        <v>469.5</v>
      </c>
      <c r="F479" s="17">
        <f t="shared" si="148"/>
        <v>99.125</v>
      </c>
      <c r="G479" s="21">
        <f>INDEX('Life Tables'!$F$8:$F$123,MATCH(Engine!F479,'Life Tables'!$B$8:$B$123,1))</f>
        <v>3.5627153996814376E-2</v>
      </c>
      <c r="H479" s="8">
        <f t="shared" si="149"/>
        <v>0.26141250458139786</v>
      </c>
      <c r="I479">
        <f t="shared" si="150"/>
        <v>1</v>
      </c>
      <c r="K479" s="22" t="e">
        <f>$I479*IF($E479&gt;_xlfn.AGGREGATE(4,6,'KM Data'!$B$6:$B$310),NA(),INDEX('KM Data'!$C$6:$C$310,MATCH($E479,'KM Data'!$B$6:$B$310,1)))</f>
        <v>#N/A</v>
      </c>
      <c r="L479" s="21">
        <f t="shared" si="151"/>
        <v>1.1132752613655206E-2</v>
      </c>
      <c r="M479" s="20">
        <f t="shared" si="154"/>
        <v>3.6869968691707333E-3</v>
      </c>
      <c r="N479" s="21">
        <f t="shared" si="162"/>
        <v>1.0447447262692897E-3</v>
      </c>
      <c r="O479" s="21">
        <f t="shared" si="163"/>
        <v>2.2624307201011742E-2</v>
      </c>
      <c r="P479" s="21">
        <f t="shared" si="164"/>
        <v>1.0447447262692897E-3</v>
      </c>
      <c r="R479" s="22" t="e">
        <f>$I479*IF($E479&gt;_xlfn.AGGREGATE(4,6,'KM Data'!$E$6:$E$205),NA(),INDEX('KM Data'!$F$6:$F$205,MATCH($E479,'KM Data'!$E$6:$E$205,1)))</f>
        <v>#N/A</v>
      </c>
      <c r="S479" s="21">
        <f t="shared" si="152"/>
        <v>6.7709075414625675E-2</v>
      </c>
      <c r="T479" s="8">
        <f t="shared" si="155"/>
        <v>2.3860258023346015E-3</v>
      </c>
      <c r="U479" s="21">
        <f t="shared" si="165"/>
        <v>4.4927029015846762E-3</v>
      </c>
      <c r="V479" s="21">
        <f t="shared" si="166"/>
        <v>2.2624307201011742E-2</v>
      </c>
      <c r="W479" s="21">
        <f t="shared" si="167"/>
        <v>4.4927029015846762E-3</v>
      </c>
      <c r="Y479" s="23">
        <f t="shared" si="156"/>
        <v>1.0447447262692897E-3</v>
      </c>
      <c r="Z479" s="6">
        <f t="shared" si="157"/>
        <v>3.4479581753153864E-3</v>
      </c>
      <c r="AA479" s="6">
        <f t="shared" si="158"/>
        <v>0.99550729709841534</v>
      </c>
      <c r="AB479" s="6">
        <f t="shared" si="159"/>
        <v>1</v>
      </c>
    </row>
    <row r="480" spans="1:28" x14ac:dyDescent="0.35">
      <c r="A480">
        <v>471</v>
      </c>
      <c r="B480" s="17">
        <f t="shared" si="160"/>
        <v>14305.625</v>
      </c>
      <c r="C480" s="17">
        <f t="shared" si="153"/>
        <v>14336.0625</v>
      </c>
      <c r="D480" s="17">
        <f t="shared" si="161"/>
        <v>14320.84375</v>
      </c>
      <c r="E480" s="17">
        <f t="shared" si="147"/>
        <v>470.5</v>
      </c>
      <c r="F480" s="17">
        <f t="shared" si="148"/>
        <v>99.208333333333343</v>
      </c>
      <c r="G480" s="21">
        <f>INDEX('Life Tables'!$F$8:$F$123,MATCH(Engine!F480,'Life Tables'!$B$8:$B$123,1))</f>
        <v>3.5627153996814376E-2</v>
      </c>
      <c r="H480" s="8">
        <f t="shared" si="149"/>
        <v>0.26141250458139786</v>
      </c>
      <c r="I480">
        <f t="shared" si="150"/>
        <v>1</v>
      </c>
      <c r="K480" s="22" t="e">
        <f>$I480*IF($E480&gt;_xlfn.AGGREGATE(4,6,'KM Data'!$B$6:$B$310),NA(),INDEX('KM Data'!$C$6:$C$310,MATCH($E480,'KM Data'!$B$6:$B$310,1)))</f>
        <v>#N/A</v>
      </c>
      <c r="L480" s="21">
        <f t="shared" si="151"/>
        <v>1.1091706189623407E-2</v>
      </c>
      <c r="M480" s="20">
        <f t="shared" si="154"/>
        <v>3.6809498635679283E-3</v>
      </c>
      <c r="N480" s="21">
        <f t="shared" si="162"/>
        <v>1.0075234450191341E-3</v>
      </c>
      <c r="O480" s="21">
        <f t="shared" si="163"/>
        <v>2.1818267524290062E-2</v>
      </c>
      <c r="P480" s="21">
        <f t="shared" si="164"/>
        <v>1.0075234450191341E-3</v>
      </c>
      <c r="R480" s="22" t="e">
        <f>$I480*IF($E480&gt;_xlfn.AGGREGATE(4,6,'KM Data'!$E$6:$E$205),NA(),INDEX('KM Data'!$F$6:$F$205,MATCH($E480,'KM Data'!$E$6:$E$205,1)))</f>
        <v>#N/A</v>
      </c>
      <c r="S480" s="21">
        <f t="shared" si="152"/>
        <v>6.754751981363416E-2</v>
      </c>
      <c r="T480" s="8">
        <f t="shared" si="155"/>
        <v>2.3822565023882136E-3</v>
      </c>
      <c r="U480" s="21">
        <f t="shared" si="165"/>
        <v>4.3326406834479844E-3</v>
      </c>
      <c r="V480" s="21">
        <f t="shared" si="166"/>
        <v>2.1818267524290062E-2</v>
      </c>
      <c r="W480" s="21">
        <f t="shared" si="167"/>
        <v>4.3326406834479844E-3</v>
      </c>
      <c r="Y480" s="23">
        <f t="shared" si="156"/>
        <v>1.0075234450191341E-3</v>
      </c>
      <c r="Z480" s="6">
        <f t="shared" si="157"/>
        <v>3.3251172384288503E-3</v>
      </c>
      <c r="AA480" s="6">
        <f t="shared" si="158"/>
        <v>0.99566735931655204</v>
      </c>
      <c r="AB480" s="6">
        <f t="shared" si="159"/>
        <v>1</v>
      </c>
    </row>
    <row r="481" spans="1:28" x14ac:dyDescent="0.35">
      <c r="A481">
        <v>472</v>
      </c>
      <c r="B481" s="17">
        <f t="shared" si="160"/>
        <v>14336.0625</v>
      </c>
      <c r="C481" s="17">
        <f t="shared" si="153"/>
        <v>14366.5</v>
      </c>
      <c r="D481" s="17">
        <f t="shared" si="161"/>
        <v>14351.28125</v>
      </c>
      <c r="E481" s="17">
        <f t="shared" si="147"/>
        <v>471.5</v>
      </c>
      <c r="F481" s="17">
        <f t="shared" si="148"/>
        <v>99.291666666666657</v>
      </c>
      <c r="G481" s="21">
        <f>INDEX('Life Tables'!$F$8:$F$123,MATCH(Engine!F481,'Life Tables'!$B$8:$B$123,1))</f>
        <v>3.5627153996814376E-2</v>
      </c>
      <c r="H481" s="8">
        <f t="shared" si="149"/>
        <v>0.26141250458139786</v>
      </c>
      <c r="I481">
        <f t="shared" si="150"/>
        <v>1</v>
      </c>
      <c r="K481" s="22" t="e">
        <f>$I481*IF($E481&gt;_xlfn.AGGREGATE(4,6,'KM Data'!$B$6:$B$310),NA(),INDEX('KM Data'!$C$6:$C$310,MATCH($E481,'KM Data'!$B$6:$B$310,1)))</f>
        <v>#N/A</v>
      </c>
      <c r="L481" s="21">
        <f t="shared" si="151"/>
        <v>1.1050878175237977E-2</v>
      </c>
      <c r="M481" s="20">
        <f t="shared" si="154"/>
        <v>3.6749248400155254E-3</v>
      </c>
      <c r="N481" s="21">
        <f t="shared" si="162"/>
        <v>9.7162825208803652E-4</v>
      </c>
      <c r="O481" s="21">
        <f t="shared" si="163"/>
        <v>2.1040944747258487E-2</v>
      </c>
      <c r="P481" s="21">
        <f t="shared" si="164"/>
        <v>9.7162825208803652E-4</v>
      </c>
      <c r="R481" s="22" t="e">
        <f>$I481*IF($E481&gt;_xlfn.AGGREGATE(4,6,'KM Data'!$E$6:$E$205),NA(),INDEX('KM Data'!$F$6:$F$205,MATCH($E481,'KM Data'!$E$6:$E$205,1)))</f>
        <v>#N/A</v>
      </c>
      <c r="S481" s="21">
        <f t="shared" si="152"/>
        <v>6.7386604295337937E-2</v>
      </c>
      <c r="T481" s="8">
        <f t="shared" si="155"/>
        <v>2.3785005841550078E-3</v>
      </c>
      <c r="U481" s="21">
        <f t="shared" si="165"/>
        <v>4.1782810266059196E-3</v>
      </c>
      <c r="V481" s="21">
        <f t="shared" si="166"/>
        <v>2.1040944747258487E-2</v>
      </c>
      <c r="W481" s="21">
        <f t="shared" si="167"/>
        <v>4.1782810266059196E-3</v>
      </c>
      <c r="Y481" s="23">
        <f t="shared" si="156"/>
        <v>9.7162825208803652E-4</v>
      </c>
      <c r="Z481" s="6">
        <f t="shared" si="157"/>
        <v>3.2066527745178829E-3</v>
      </c>
      <c r="AA481" s="6">
        <f t="shared" si="158"/>
        <v>0.99582171897339411</v>
      </c>
      <c r="AB481" s="6">
        <f t="shared" si="159"/>
        <v>1</v>
      </c>
    </row>
    <row r="482" spans="1:28" x14ac:dyDescent="0.35">
      <c r="A482">
        <v>473</v>
      </c>
      <c r="B482" s="17">
        <f t="shared" si="160"/>
        <v>14366.5</v>
      </c>
      <c r="C482" s="17">
        <f t="shared" si="153"/>
        <v>14396.9375</v>
      </c>
      <c r="D482" s="17">
        <f t="shared" si="161"/>
        <v>14381.71875</v>
      </c>
      <c r="E482" s="17">
        <f t="shared" si="147"/>
        <v>472.5</v>
      </c>
      <c r="F482" s="17">
        <f t="shared" si="148"/>
        <v>99.375</v>
      </c>
      <c r="G482" s="21">
        <f>INDEX('Life Tables'!$F$8:$F$123,MATCH(Engine!F482,'Life Tables'!$B$8:$B$123,1))</f>
        <v>3.5627153996814376E-2</v>
      </c>
      <c r="H482" s="8">
        <f t="shared" si="149"/>
        <v>0.26141250458139786</v>
      </c>
      <c r="I482">
        <f t="shared" si="150"/>
        <v>1</v>
      </c>
      <c r="K482" s="22" t="e">
        <f>$I482*IF($E482&gt;_xlfn.AGGREGATE(4,6,'KM Data'!$B$6:$B$310),NA(),INDEX('KM Data'!$C$6:$C$310,MATCH($E482,'KM Data'!$B$6:$B$310,1)))</f>
        <v>#N/A</v>
      </c>
      <c r="L482" s="21">
        <f t="shared" si="151"/>
        <v>1.1010267028527809E-2</v>
      </c>
      <c r="M482" s="20">
        <f t="shared" si="154"/>
        <v>3.6689216740712904E-3</v>
      </c>
      <c r="N482" s="21">
        <f t="shared" si="162"/>
        <v>9.3701190272324042E-4</v>
      </c>
      <c r="O482" s="21">
        <f t="shared" si="163"/>
        <v>2.0291315768509444E-2</v>
      </c>
      <c r="P482" s="21">
        <f t="shared" si="164"/>
        <v>9.3701190272324042E-4</v>
      </c>
      <c r="R482" s="22" t="e">
        <f>$I482*IF($E482&gt;_xlfn.AGGREGATE(4,6,'KM Data'!$E$6:$E$205),NA(),INDEX('KM Data'!$F$6:$F$205,MATCH($E482,'KM Data'!$E$6:$E$205,1)))</f>
        <v>#N/A</v>
      </c>
      <c r="S482" s="21">
        <f t="shared" si="152"/>
        <v>6.7226325217657257E-2</v>
      </c>
      <c r="T482" s="8">
        <f t="shared" si="155"/>
        <v>2.3747579732456003E-3</v>
      </c>
      <c r="U482" s="21">
        <f t="shared" si="165"/>
        <v>4.0294207650290624E-3</v>
      </c>
      <c r="V482" s="21">
        <f t="shared" si="166"/>
        <v>2.0291315768509444E-2</v>
      </c>
      <c r="W482" s="21">
        <f t="shared" si="167"/>
        <v>4.0294207650290624E-3</v>
      </c>
      <c r="Y482" s="23">
        <f t="shared" si="156"/>
        <v>9.3701190272324042E-4</v>
      </c>
      <c r="Z482" s="6">
        <f t="shared" si="157"/>
        <v>3.0924088623058218E-3</v>
      </c>
      <c r="AA482" s="6">
        <f t="shared" si="158"/>
        <v>0.9959705792349709</v>
      </c>
      <c r="AB482" s="6">
        <f t="shared" si="159"/>
        <v>1</v>
      </c>
    </row>
    <row r="483" spans="1:28" x14ac:dyDescent="0.35">
      <c r="A483">
        <v>474</v>
      </c>
      <c r="B483" s="17">
        <f t="shared" si="160"/>
        <v>14396.9375</v>
      </c>
      <c r="C483" s="17">
        <f t="shared" si="153"/>
        <v>14427.375</v>
      </c>
      <c r="D483" s="17">
        <f t="shared" si="161"/>
        <v>14412.15625</v>
      </c>
      <c r="E483" s="17">
        <f t="shared" si="147"/>
        <v>473.5</v>
      </c>
      <c r="F483" s="17">
        <f t="shared" si="148"/>
        <v>99.458333333333343</v>
      </c>
      <c r="G483" s="21">
        <f>INDEX('Life Tables'!$F$8:$F$123,MATCH(Engine!F483,'Life Tables'!$B$8:$B$123,1))</f>
        <v>3.5627153996814376E-2</v>
      </c>
      <c r="H483" s="8">
        <f t="shared" si="149"/>
        <v>0.26141250458139786</v>
      </c>
      <c r="I483">
        <f t="shared" si="150"/>
        <v>1</v>
      </c>
      <c r="K483" s="22" t="e">
        <f>$I483*IF($E483&gt;_xlfn.AGGREGATE(4,6,'KM Data'!$B$6:$B$310),NA(),INDEX('KM Data'!$C$6:$C$310,MATCH($E483,'KM Data'!$B$6:$B$310,1)))</f>
        <v>#N/A</v>
      </c>
      <c r="L483" s="21">
        <f t="shared" si="151"/>
        <v>1.0969871221189531E-2</v>
      </c>
      <c r="M483" s="20">
        <f t="shared" si="154"/>
        <v>3.6629402422767576E-3</v>
      </c>
      <c r="N483" s="21">
        <f t="shared" si="162"/>
        <v>9.0362883536807144E-4</v>
      </c>
      <c r="O483" s="21">
        <f t="shared" si="163"/>
        <v>1.9568393936826769E-2</v>
      </c>
      <c r="P483" s="21">
        <f t="shared" si="164"/>
        <v>9.0362883536807144E-4</v>
      </c>
      <c r="R483" s="22" t="e">
        <f>$I483*IF($E483&gt;_xlfn.AGGREGATE(4,6,'KM Data'!$E$6:$E$205),NA(),INDEX('KM Data'!$F$6:$F$205,MATCH($E483,'KM Data'!$E$6:$E$205,1)))</f>
        <v>#N/A</v>
      </c>
      <c r="S483" s="21">
        <f t="shared" si="152"/>
        <v>6.7066678965834625E-2</v>
      </c>
      <c r="T483" s="8">
        <f t="shared" si="155"/>
        <v>2.371028595834046E-3</v>
      </c>
      <c r="U483" s="21">
        <f t="shared" si="165"/>
        <v>3.8858639709154104E-3</v>
      </c>
      <c r="V483" s="21">
        <f t="shared" si="166"/>
        <v>1.9568393936826769E-2</v>
      </c>
      <c r="W483" s="21">
        <f t="shared" si="167"/>
        <v>3.8858639709154104E-3</v>
      </c>
      <c r="Y483" s="23">
        <f t="shared" si="156"/>
        <v>9.0362883536807144E-4</v>
      </c>
      <c r="Z483" s="6">
        <f t="shared" si="157"/>
        <v>2.9822351355473387E-3</v>
      </c>
      <c r="AA483" s="6">
        <f t="shared" si="158"/>
        <v>0.99611413602908461</v>
      </c>
      <c r="AB483" s="6">
        <f t="shared" si="159"/>
        <v>1</v>
      </c>
    </row>
    <row r="484" spans="1:28" x14ac:dyDescent="0.35">
      <c r="A484">
        <v>475</v>
      </c>
      <c r="B484" s="17">
        <f t="shared" si="160"/>
        <v>14427.375</v>
      </c>
      <c r="C484" s="17">
        <f t="shared" si="153"/>
        <v>14457.8125</v>
      </c>
      <c r="D484" s="17">
        <f t="shared" si="161"/>
        <v>14442.59375</v>
      </c>
      <c r="E484" s="17">
        <f t="shared" si="147"/>
        <v>474.5</v>
      </c>
      <c r="F484" s="17">
        <f t="shared" si="148"/>
        <v>99.541666666666657</v>
      </c>
      <c r="G484" s="21">
        <f>INDEX('Life Tables'!$F$8:$F$123,MATCH(Engine!F484,'Life Tables'!$B$8:$B$123,1))</f>
        <v>3.5627153996814376E-2</v>
      </c>
      <c r="H484" s="8">
        <f t="shared" si="149"/>
        <v>0.26141250458139786</v>
      </c>
      <c r="I484">
        <f t="shared" si="150"/>
        <v>1</v>
      </c>
      <c r="K484" s="22" t="e">
        <f>$I484*IF($E484&gt;_xlfn.AGGREGATE(4,6,'KM Data'!$B$6:$B$310),NA(),INDEX('KM Data'!$C$6:$C$310,MATCH($E484,'KM Data'!$B$6:$B$310,1)))</f>
        <v>#N/A</v>
      </c>
      <c r="L484" s="21">
        <f t="shared" si="151"/>
        <v>1.0929689238440843E-2</v>
      </c>
      <c r="M484" s="20">
        <f t="shared" si="154"/>
        <v>3.6569804220933921E-3</v>
      </c>
      <c r="N484" s="21">
        <f t="shared" si="162"/>
        <v>8.7143511169445115E-4</v>
      </c>
      <c r="O484" s="21">
        <f t="shared" si="163"/>
        <v>1.8871227752569112E-2</v>
      </c>
      <c r="P484" s="21">
        <f t="shared" si="164"/>
        <v>8.7143511169445115E-4</v>
      </c>
      <c r="R484" s="22" t="e">
        <f>$I484*IF($E484&gt;_xlfn.AGGREGATE(4,6,'KM Data'!$E$6:$E$205),NA(),INDEX('KM Data'!$F$6:$F$205,MATCH($E484,'KM Data'!$E$6:$E$205,1)))</f>
        <v>#N/A</v>
      </c>
      <c r="S484" s="21">
        <f t="shared" si="152"/>
        <v>6.6907661952179009E-2</v>
      </c>
      <c r="T484" s="8">
        <f t="shared" si="155"/>
        <v>2.3673123786474015E-3</v>
      </c>
      <c r="U484" s="21">
        <f t="shared" si="165"/>
        <v>3.7474216968129345E-3</v>
      </c>
      <c r="V484" s="21">
        <f t="shared" si="166"/>
        <v>1.8871227752569112E-2</v>
      </c>
      <c r="W484" s="21">
        <f t="shared" si="167"/>
        <v>3.7474216968129345E-3</v>
      </c>
      <c r="Y484" s="23">
        <f t="shared" si="156"/>
        <v>8.7143511169445115E-4</v>
      </c>
      <c r="Z484" s="6">
        <f t="shared" si="157"/>
        <v>2.8759865851184833E-3</v>
      </c>
      <c r="AA484" s="6">
        <f t="shared" si="158"/>
        <v>0.99625257830318703</v>
      </c>
      <c r="AB484" s="6">
        <f t="shared" si="159"/>
        <v>1</v>
      </c>
    </row>
    <row r="485" spans="1:28" x14ac:dyDescent="0.35">
      <c r="A485">
        <v>476</v>
      </c>
      <c r="B485" s="17">
        <f t="shared" si="160"/>
        <v>14457.8125</v>
      </c>
      <c r="C485" s="17">
        <f t="shared" si="153"/>
        <v>14488.25</v>
      </c>
      <c r="D485" s="17">
        <f t="shared" si="161"/>
        <v>14473.03125</v>
      </c>
      <c r="E485" s="17">
        <f t="shared" si="147"/>
        <v>475.5</v>
      </c>
      <c r="F485" s="17">
        <f t="shared" si="148"/>
        <v>99.625</v>
      </c>
      <c r="G485" s="21">
        <f>INDEX('Life Tables'!$F$8:$F$123,MATCH(Engine!F485,'Life Tables'!$B$8:$B$123,1))</f>
        <v>3.5627153996814376E-2</v>
      </c>
      <c r="H485" s="8">
        <f t="shared" si="149"/>
        <v>0.26141250458139786</v>
      </c>
      <c r="I485">
        <f t="shared" si="150"/>
        <v>1</v>
      </c>
      <c r="K485" s="22" t="e">
        <f>$I485*IF($E485&gt;_xlfn.AGGREGATE(4,6,'KM Data'!$B$6:$B$310),NA(),INDEX('KM Data'!$C$6:$C$310,MATCH($E485,'KM Data'!$B$6:$B$310,1)))</f>
        <v>#N/A</v>
      </c>
      <c r="L485" s="21">
        <f t="shared" si="151"/>
        <v>1.08897195788763E-2</v>
      </c>
      <c r="M485" s="20">
        <f t="shared" si="154"/>
        <v>3.6510420919068087E-3</v>
      </c>
      <c r="N485" s="21">
        <f t="shared" si="162"/>
        <v>8.4038835877188185E-4</v>
      </c>
      <c r="O485" s="21">
        <f t="shared" si="163"/>
        <v>1.8198899615319376E-2</v>
      </c>
      <c r="P485" s="21">
        <f t="shared" si="164"/>
        <v>8.4038835877188185E-4</v>
      </c>
      <c r="R485" s="22" t="e">
        <f>$I485*IF($E485&gt;_xlfn.AGGREGATE(4,6,'KM Data'!$E$6:$E$205),NA(),INDEX('KM Data'!$F$6:$F$205,MATCH($E485,'KM Data'!$E$6:$E$205,1)))</f>
        <v>#N/A</v>
      </c>
      <c r="S485" s="21">
        <f t="shared" si="152"/>
        <v>6.6749270615813261E-2</v>
      </c>
      <c r="T485" s="8">
        <f t="shared" si="155"/>
        <v>2.3636092489695004E-3</v>
      </c>
      <c r="U485" s="21">
        <f t="shared" si="165"/>
        <v>3.6139117269295765E-3</v>
      </c>
      <c r="V485" s="21">
        <f t="shared" si="166"/>
        <v>1.8198899615319376E-2</v>
      </c>
      <c r="W485" s="21">
        <f t="shared" si="167"/>
        <v>3.6139117269295765E-3</v>
      </c>
      <c r="Y485" s="23">
        <f t="shared" si="156"/>
        <v>8.4038835877188185E-4</v>
      </c>
      <c r="Z485" s="6">
        <f t="shared" si="157"/>
        <v>2.7735233681576944E-3</v>
      </c>
      <c r="AA485" s="6">
        <f t="shared" si="158"/>
        <v>0.9963860882730704</v>
      </c>
      <c r="AB485" s="6">
        <f t="shared" si="159"/>
        <v>1</v>
      </c>
    </row>
    <row r="486" spans="1:28" x14ac:dyDescent="0.35">
      <c r="A486">
        <v>477</v>
      </c>
      <c r="B486" s="17">
        <f t="shared" si="160"/>
        <v>14488.25</v>
      </c>
      <c r="C486" s="17">
        <f t="shared" si="153"/>
        <v>14518.6875</v>
      </c>
      <c r="D486" s="17">
        <f t="shared" si="161"/>
        <v>14503.46875</v>
      </c>
      <c r="E486" s="17">
        <f t="shared" si="147"/>
        <v>476.5</v>
      </c>
      <c r="F486" s="17">
        <f t="shared" si="148"/>
        <v>99.708333333333343</v>
      </c>
      <c r="G486" s="21">
        <f>INDEX('Life Tables'!$F$8:$F$123,MATCH(Engine!F486,'Life Tables'!$B$8:$B$123,1))</f>
        <v>3.5627153996814376E-2</v>
      </c>
      <c r="H486" s="8">
        <f t="shared" si="149"/>
        <v>0.26141250458139786</v>
      </c>
      <c r="I486">
        <f t="shared" si="150"/>
        <v>1</v>
      </c>
      <c r="K486" s="22" t="e">
        <f>$I486*IF($E486&gt;_xlfn.AGGREGATE(4,6,'KM Data'!$B$6:$B$310),NA(),INDEX('KM Data'!$C$6:$C$310,MATCH($E486,'KM Data'!$B$6:$B$310,1)))</f>
        <v>#N/A</v>
      </c>
      <c r="L486" s="21">
        <f t="shared" si="151"/>
        <v>1.0849960754324761E-2</v>
      </c>
      <c r="M486" s="20">
        <f t="shared" si="154"/>
        <v>3.6451251310796184E-3</v>
      </c>
      <c r="N486" s="21">
        <f t="shared" si="162"/>
        <v>8.1044771329678595E-4</v>
      </c>
      <c r="O486" s="21">
        <f t="shared" si="163"/>
        <v>1.7550524616151825E-2</v>
      </c>
      <c r="P486" s="21">
        <f t="shared" si="164"/>
        <v>8.1044771329678595E-4</v>
      </c>
      <c r="R486" s="22" t="e">
        <f>$I486*IF($E486&gt;_xlfn.AGGREGATE(4,6,'KM Data'!$E$6:$E$205),NA(),INDEX('KM Data'!$F$6:$F$205,MATCH($E486,'KM Data'!$E$6:$E$205,1)))</f>
        <v>#N/A</v>
      </c>
      <c r="S486" s="21">
        <f t="shared" si="152"/>
        <v>6.659150142242376E-2</v>
      </c>
      <c r="T486" s="8">
        <f t="shared" si="155"/>
        <v>2.3599191346410642E-3</v>
      </c>
      <c r="U486" s="21">
        <f t="shared" si="165"/>
        <v>3.4851583373033631E-3</v>
      </c>
      <c r="V486" s="21">
        <f t="shared" si="166"/>
        <v>1.7550524616151825E-2</v>
      </c>
      <c r="W486" s="21">
        <f t="shared" si="167"/>
        <v>3.4851583373033631E-3</v>
      </c>
      <c r="Y486" s="23">
        <f t="shared" si="156"/>
        <v>8.1044771329678595E-4</v>
      </c>
      <c r="Z486" s="6">
        <f t="shared" si="157"/>
        <v>2.6747106240065772E-3</v>
      </c>
      <c r="AA486" s="6">
        <f t="shared" si="158"/>
        <v>0.99651484166269666</v>
      </c>
      <c r="AB486" s="6">
        <f t="shared" si="159"/>
        <v>1</v>
      </c>
    </row>
    <row r="487" spans="1:28" x14ac:dyDescent="0.35">
      <c r="A487">
        <v>478</v>
      </c>
      <c r="B487" s="17">
        <f t="shared" si="160"/>
        <v>14518.6875</v>
      </c>
      <c r="C487" s="17">
        <f t="shared" si="153"/>
        <v>14549.125</v>
      </c>
      <c r="D487" s="17">
        <f t="shared" si="161"/>
        <v>14533.90625</v>
      </c>
      <c r="E487" s="17">
        <f t="shared" si="147"/>
        <v>477.5</v>
      </c>
      <c r="F487" s="17">
        <f t="shared" si="148"/>
        <v>99.791666666666657</v>
      </c>
      <c r="G487" s="21">
        <f>INDEX('Life Tables'!$F$8:$F$123,MATCH(Engine!F487,'Life Tables'!$B$8:$B$123,1))</f>
        <v>3.5627153996814376E-2</v>
      </c>
      <c r="H487" s="8">
        <f t="shared" si="149"/>
        <v>0.26141250458139786</v>
      </c>
      <c r="I487">
        <f t="shared" si="150"/>
        <v>1</v>
      </c>
      <c r="K487" s="22" t="e">
        <f>$I487*IF($E487&gt;_xlfn.AGGREGATE(4,6,'KM Data'!$B$6:$B$310),NA(),INDEX('KM Data'!$C$6:$C$310,MATCH($E487,'KM Data'!$B$6:$B$310,1)))</f>
        <v>#N/A</v>
      </c>
      <c r="L487" s="21">
        <f t="shared" si="151"/>
        <v>1.0810411289707944E-2</v>
      </c>
      <c r="M487" s="20">
        <f t="shared" si="154"/>
        <v>3.6392294198704933E-3</v>
      </c>
      <c r="N487" s="21">
        <f t="shared" si="162"/>
        <v>7.8157376780879531E-4</v>
      </c>
      <c r="O487" s="21">
        <f t="shared" si="163"/>
        <v>1.6925249372927303E-2</v>
      </c>
      <c r="P487" s="21">
        <f t="shared" si="164"/>
        <v>7.8157376780879531E-4</v>
      </c>
      <c r="R487" s="22" t="e">
        <f>$I487*IF($E487&gt;_xlfn.AGGREGATE(4,6,'KM Data'!$E$6:$E$205),NA(),INDEX('KM Data'!$F$6:$F$205,MATCH($E487,'KM Data'!$E$6:$E$205,1)))</f>
        <v>#N/A</v>
      </c>
      <c r="S487" s="21">
        <f t="shared" si="152"/>
        <v>6.6434350864012504E-2</v>
      </c>
      <c r="T487" s="8">
        <f t="shared" si="155"/>
        <v>2.3562419640265064E-3</v>
      </c>
      <c r="U487" s="21">
        <f t="shared" si="165"/>
        <v>3.3609920645169748E-3</v>
      </c>
      <c r="V487" s="21">
        <f t="shared" si="166"/>
        <v>1.6925249372927303E-2</v>
      </c>
      <c r="W487" s="21">
        <f t="shared" si="167"/>
        <v>3.3609920645169748E-3</v>
      </c>
      <c r="Y487" s="23">
        <f t="shared" si="156"/>
        <v>7.8157376780879531E-4</v>
      </c>
      <c r="Z487" s="6">
        <f t="shared" si="157"/>
        <v>2.5794182967081797E-3</v>
      </c>
      <c r="AA487" s="6">
        <f t="shared" si="158"/>
        <v>0.99663900793548299</v>
      </c>
      <c r="AB487" s="6">
        <f t="shared" si="159"/>
        <v>1</v>
      </c>
    </row>
    <row r="488" spans="1:28" x14ac:dyDescent="0.35">
      <c r="A488">
        <v>479</v>
      </c>
      <c r="B488" s="17">
        <f t="shared" si="160"/>
        <v>14549.125</v>
      </c>
      <c r="C488" s="17">
        <f t="shared" si="153"/>
        <v>14579.5625</v>
      </c>
      <c r="D488" s="17">
        <f t="shared" si="161"/>
        <v>14564.34375</v>
      </c>
      <c r="E488" s="17">
        <f t="shared" si="147"/>
        <v>478.5</v>
      </c>
      <c r="F488" s="17">
        <f t="shared" si="148"/>
        <v>99.875</v>
      </c>
      <c r="G488" s="21">
        <f>INDEX('Life Tables'!$F$8:$F$123,MATCH(Engine!F488,'Life Tables'!$B$8:$B$123,1))</f>
        <v>3.5627153996814376E-2</v>
      </c>
      <c r="H488" s="8">
        <f t="shared" si="149"/>
        <v>0.26141250458139786</v>
      </c>
      <c r="I488">
        <f t="shared" si="150"/>
        <v>1</v>
      </c>
      <c r="K488" s="22" t="e">
        <f>$I488*IF($E488&gt;_xlfn.AGGREGATE(4,6,'KM Data'!$B$6:$B$310),NA(),INDEX('KM Data'!$C$6:$C$310,MATCH($E488,'KM Data'!$B$6:$B$310,1)))</f>
        <v>#N/A</v>
      </c>
      <c r="L488" s="21">
        <f t="shared" si="151"/>
        <v>1.0771069722901538E-2</v>
      </c>
      <c r="M488" s="20">
        <f t="shared" si="154"/>
        <v>3.6333548394313908E-3</v>
      </c>
      <c r="N488" s="21">
        <f t="shared" si="162"/>
        <v>7.5372851882320093E-4</v>
      </c>
      <c r="O488" s="21">
        <f t="shared" si="163"/>
        <v>1.6322250907083537E-2</v>
      </c>
      <c r="P488" s="21">
        <f t="shared" si="164"/>
        <v>7.5372851882320093E-4</v>
      </c>
      <c r="R488" s="22" t="e">
        <f>$I488*IF($E488&gt;_xlfn.AGGREGATE(4,6,'KM Data'!$E$6:$E$205),NA(),INDEX('KM Data'!$F$6:$F$205,MATCH($E488,'KM Data'!$E$6:$E$205,1)))</f>
        <v>#N/A</v>
      </c>
      <c r="S488" s="21">
        <f t="shared" si="152"/>
        <v>6.6277815458653855E-2</v>
      </c>
      <c r="T488" s="8">
        <f t="shared" si="155"/>
        <v>2.3525776660408004E-3</v>
      </c>
      <c r="U488" s="21">
        <f t="shared" si="165"/>
        <v>3.2412494826523576E-3</v>
      </c>
      <c r="V488" s="21">
        <f t="shared" si="166"/>
        <v>1.6322250907083537E-2</v>
      </c>
      <c r="W488" s="21">
        <f t="shared" si="167"/>
        <v>3.2412494826523576E-3</v>
      </c>
      <c r="Y488" s="23">
        <f t="shared" si="156"/>
        <v>7.5372851882320093E-4</v>
      </c>
      <c r="Z488" s="6">
        <f t="shared" si="157"/>
        <v>2.4875209638291567E-3</v>
      </c>
      <c r="AA488" s="6">
        <f t="shared" si="158"/>
        <v>0.99675875051734764</v>
      </c>
      <c r="AB488" s="6">
        <f t="shared" si="159"/>
        <v>1</v>
      </c>
    </row>
    <row r="489" spans="1:28" x14ac:dyDescent="0.35">
      <c r="A489">
        <v>480</v>
      </c>
      <c r="B489" s="17">
        <f t="shared" si="160"/>
        <v>14579.5625</v>
      </c>
      <c r="C489" s="17">
        <f t="shared" si="153"/>
        <v>14610</v>
      </c>
      <c r="D489" s="17">
        <f t="shared" si="161"/>
        <v>14594.78125</v>
      </c>
      <c r="E489" s="17">
        <f t="shared" si="147"/>
        <v>479.5</v>
      </c>
      <c r="F489" s="17">
        <f t="shared" si="148"/>
        <v>99.958333333333343</v>
      </c>
      <c r="G489" s="21">
        <f>INDEX('Life Tables'!$F$8:$F$123,MATCH(Engine!F489,'Life Tables'!$B$8:$B$123,1))</f>
        <v>3.5627153996814376E-2</v>
      </c>
      <c r="H489" s="8">
        <f t="shared" si="149"/>
        <v>0.25257246819458734</v>
      </c>
      <c r="I489">
        <f t="shared" si="150"/>
        <v>1</v>
      </c>
      <c r="K489" s="22" t="e">
        <f>$I489*IF($E489&gt;_xlfn.AGGREGATE(4,6,'KM Data'!$B$6:$B$310),NA(),INDEX('KM Data'!$C$6:$C$310,MATCH($E489,'KM Data'!$B$6:$B$310,1)))</f>
        <v>#N/A</v>
      </c>
      <c r="L489" s="21">
        <f t="shared" si="151"/>
        <v>1.0731934604597981E-2</v>
      </c>
      <c r="M489" s="20">
        <f t="shared" si="154"/>
        <v>3.6275012718750554E-3</v>
      </c>
      <c r="N489" s="21">
        <f t="shared" si="162"/>
        <v>7.2687531681129593E-4</v>
      </c>
      <c r="O489" s="21">
        <f t="shared" si="163"/>
        <v>1.574073556044223E-2</v>
      </c>
      <c r="P489" s="21">
        <f t="shared" si="164"/>
        <v>7.2687531681129593E-4</v>
      </c>
      <c r="R489" s="22" t="e">
        <f>$I489*IF($E489&gt;_xlfn.AGGREGATE(4,6,'KM Data'!$E$6:$E$205),NA(),INDEX('KM Data'!$F$6:$F$205,MATCH($E489,'KM Data'!$E$6:$E$205,1)))</f>
        <v>#N/A</v>
      </c>
      <c r="S489" s="21">
        <f t="shared" si="152"/>
        <v>6.6121891750251849E-2</v>
      </c>
      <c r="T489" s="8">
        <f t="shared" si="155"/>
        <v>2.3489261701286068E-3</v>
      </c>
      <c r="U489" s="21">
        <f t="shared" si="165"/>
        <v>3.1257729881918072E-3</v>
      </c>
      <c r="V489" s="21">
        <f t="shared" si="166"/>
        <v>1.574073556044223E-2</v>
      </c>
      <c r="W489" s="21">
        <f t="shared" si="167"/>
        <v>3.1257729881918072E-3</v>
      </c>
      <c r="Y489" s="23">
        <f t="shared" si="156"/>
        <v>7.2687531681129593E-4</v>
      </c>
      <c r="Z489" s="6">
        <f t="shared" si="157"/>
        <v>2.3988976713805112E-3</v>
      </c>
      <c r="AA489" s="6">
        <f t="shared" si="158"/>
        <v>0.99687422701180817</v>
      </c>
      <c r="AB489" s="6">
        <f t="shared" si="159"/>
        <v>1</v>
      </c>
    </row>
    <row r="490" spans="1:28" x14ac:dyDescent="0.35">
      <c r="A490">
        <v>481</v>
      </c>
      <c r="B490" s="17">
        <f t="shared" si="160"/>
        <v>14610</v>
      </c>
      <c r="C490" s="17">
        <f t="shared" si="153"/>
        <v>14640.4375</v>
      </c>
      <c r="D490" s="17">
        <f t="shared" si="161"/>
        <v>14625.21875</v>
      </c>
      <c r="E490" s="17">
        <f t="shared" si="147"/>
        <v>480.5</v>
      </c>
      <c r="F490" s="17">
        <f t="shared" si="148"/>
        <v>100.04166666666666</v>
      </c>
      <c r="G490" s="21">
        <f>INDEX('Life Tables'!$F$8:$F$123,MATCH(Engine!F490,'Life Tables'!$B$8:$B$123,1))</f>
        <v>3.8866734643115852E-2</v>
      </c>
      <c r="H490" s="8">
        <f t="shared" si="149"/>
        <v>0.25257246819458734</v>
      </c>
      <c r="I490">
        <f t="shared" si="150"/>
        <v>1</v>
      </c>
      <c r="K490" s="22" t="e">
        <f>$I490*IF($E490&gt;_xlfn.AGGREGATE(4,6,'KM Data'!$B$6:$B$310),NA(),INDEX('KM Data'!$C$6:$C$310,MATCH($E490,'KM Data'!$B$6:$B$310,1)))</f>
        <v>#N/A</v>
      </c>
      <c r="L490" s="21">
        <f t="shared" si="151"/>
        <v>1.0693004498170122E-2</v>
      </c>
      <c r="M490" s="20">
        <f t="shared" si="154"/>
        <v>3.6216686001246945E-3</v>
      </c>
      <c r="N490" s="21">
        <f t="shared" si="162"/>
        <v>7.0097881796277661E-4</v>
      </c>
      <c r="O490" s="21">
        <f t="shared" si="163"/>
        <v>1.5179937950607222E-2</v>
      </c>
      <c r="P490" s="21">
        <f t="shared" si="164"/>
        <v>7.0097881796277661E-4</v>
      </c>
      <c r="R490" s="22" t="e">
        <f>$I490*IF($E490&gt;_xlfn.AGGREGATE(4,6,'KM Data'!$E$6:$E$205),NA(),INDEX('KM Data'!$F$6:$F$205,MATCH($E490,'KM Data'!$E$6:$E$205,1)))</f>
        <v>#N/A</v>
      </c>
      <c r="S490" s="21">
        <f t="shared" si="152"/>
        <v>6.5966576308301272E-2</v>
      </c>
      <c r="T490" s="8">
        <f t="shared" si="155"/>
        <v>2.3452874062637186E-3</v>
      </c>
      <c r="U490" s="21">
        <f t="shared" si="165"/>
        <v>3.0144105925824149E-3</v>
      </c>
      <c r="V490" s="21">
        <f t="shared" si="166"/>
        <v>1.5179937950607222E-2</v>
      </c>
      <c r="W490" s="21">
        <f t="shared" si="167"/>
        <v>3.0144105925824149E-3</v>
      </c>
      <c r="Y490" s="23">
        <f t="shared" si="156"/>
        <v>7.0097881796277661E-4</v>
      </c>
      <c r="Z490" s="6">
        <f t="shared" si="157"/>
        <v>2.3134317746196383E-3</v>
      </c>
      <c r="AA490" s="6">
        <f t="shared" si="158"/>
        <v>0.99698558940741755</v>
      </c>
      <c r="AB490" s="6">
        <f t="shared" si="159"/>
        <v>1</v>
      </c>
    </row>
    <row r="491" spans="1:28" x14ac:dyDescent="0.35">
      <c r="A491">
        <v>482</v>
      </c>
      <c r="B491" s="17">
        <f t="shared" si="160"/>
        <v>14640.4375</v>
      </c>
      <c r="C491" s="17">
        <f t="shared" si="153"/>
        <v>14670.875</v>
      </c>
      <c r="D491" s="17">
        <f t="shared" si="161"/>
        <v>14655.65625</v>
      </c>
      <c r="E491" s="17">
        <f t="shared" si="147"/>
        <v>481.5</v>
      </c>
      <c r="F491" s="17">
        <f t="shared" si="148"/>
        <v>100.125</v>
      </c>
      <c r="G491" s="21">
        <f>INDEX('Life Tables'!$F$8:$F$123,MATCH(Engine!F491,'Life Tables'!$B$8:$B$123,1))</f>
        <v>3.8866734643115852E-2</v>
      </c>
      <c r="H491" s="8">
        <f t="shared" si="149"/>
        <v>0.25257246819458734</v>
      </c>
      <c r="I491">
        <f t="shared" si="150"/>
        <v>1</v>
      </c>
      <c r="K491" s="22" t="e">
        <f>$I491*IF($E491&gt;_xlfn.AGGREGATE(4,6,'KM Data'!$B$6:$B$310),NA(),INDEX('KM Data'!$C$6:$C$310,MATCH($E491,'KM Data'!$B$6:$B$310,1)))</f>
        <v>#N/A</v>
      </c>
      <c r="L491" s="21">
        <f t="shared" si="151"/>
        <v>1.0654277979538107E-2</v>
      </c>
      <c r="M491" s="20">
        <f t="shared" si="154"/>
        <v>3.6158567080492032E-3</v>
      </c>
      <c r="N491" s="21">
        <f t="shared" si="162"/>
        <v>6.7373406025457233E-4</v>
      </c>
      <c r="O491" s="21">
        <f t="shared" si="163"/>
        <v>1.4589943330382008E-2</v>
      </c>
      <c r="P491" s="21">
        <f t="shared" si="164"/>
        <v>6.7373406025457233E-4</v>
      </c>
      <c r="R491" s="22" t="e">
        <f>$I491*IF($E491&gt;_xlfn.AGGREGATE(4,6,'KM Data'!$E$6:$E$205),NA(),INDEX('KM Data'!$F$6:$F$205,MATCH($E491,'KM Data'!$E$6:$E$205,1)))</f>
        <v>#N/A</v>
      </c>
      <c r="S491" s="21">
        <f t="shared" si="152"/>
        <v>6.5811865727651075E-2</v>
      </c>
      <c r="T491" s="8">
        <f t="shared" si="155"/>
        <v>2.3416613049341839E-3</v>
      </c>
      <c r="U491" s="21">
        <f t="shared" si="165"/>
        <v>2.8972502959751165E-3</v>
      </c>
      <c r="V491" s="21">
        <f t="shared" si="166"/>
        <v>1.4589943330382008E-2</v>
      </c>
      <c r="W491" s="21">
        <f t="shared" si="167"/>
        <v>2.8972502959751165E-3</v>
      </c>
      <c r="Y491" s="23">
        <f t="shared" si="156"/>
        <v>6.7373406025457233E-4</v>
      </c>
      <c r="Z491" s="6">
        <f t="shared" si="157"/>
        <v>2.2235162357205442E-3</v>
      </c>
      <c r="AA491" s="6">
        <f t="shared" si="158"/>
        <v>0.9971027497040249</v>
      </c>
      <c r="AB491" s="6">
        <f t="shared" si="159"/>
        <v>1</v>
      </c>
    </row>
    <row r="492" spans="1:28" x14ac:dyDescent="0.35">
      <c r="A492">
        <v>483</v>
      </c>
      <c r="B492" s="17">
        <f t="shared" si="160"/>
        <v>14670.875</v>
      </c>
      <c r="C492" s="17">
        <f t="shared" si="153"/>
        <v>14701.3125</v>
      </c>
      <c r="D492" s="17">
        <f t="shared" si="161"/>
        <v>14686.09375</v>
      </c>
      <c r="E492" s="17">
        <f t="shared" si="147"/>
        <v>482.5</v>
      </c>
      <c r="F492" s="17">
        <f t="shared" si="148"/>
        <v>100.20833333333334</v>
      </c>
      <c r="G492" s="21">
        <f>INDEX('Life Tables'!$F$8:$F$123,MATCH(Engine!F492,'Life Tables'!$B$8:$B$123,1))</f>
        <v>3.8866734643115852E-2</v>
      </c>
      <c r="H492" s="8">
        <f t="shared" si="149"/>
        <v>0.25257246819458734</v>
      </c>
      <c r="I492">
        <f t="shared" si="150"/>
        <v>1</v>
      </c>
      <c r="K492" s="22" t="e">
        <f>$I492*IF($E492&gt;_xlfn.AGGREGATE(4,6,'KM Data'!$B$6:$B$310),NA(),INDEX('KM Data'!$C$6:$C$310,MATCH($E492,'KM Data'!$B$6:$B$310,1)))</f>
        <v>#N/A</v>
      </c>
      <c r="L492" s="21">
        <f t="shared" si="151"/>
        <v>1.0615753637036374E-2</v>
      </c>
      <c r="M492" s="20">
        <f t="shared" si="154"/>
        <v>3.6100654804009924E-3</v>
      </c>
      <c r="N492" s="21">
        <f t="shared" si="162"/>
        <v>6.4754821731462882E-4</v>
      </c>
      <c r="O492" s="21">
        <f t="shared" si="163"/>
        <v>1.4022879874501952E-2</v>
      </c>
      <c r="P492" s="21">
        <f t="shared" si="164"/>
        <v>6.4754821731462882E-4</v>
      </c>
      <c r="R492" s="22" t="e">
        <f>$I492*IF($E492&gt;_xlfn.AGGREGATE(4,6,'KM Data'!$E$6:$E$205),NA(),INDEX('KM Data'!$F$6:$F$205,MATCH($E492,'KM Data'!$E$6:$E$205,1)))</f>
        <v>#N/A</v>
      </c>
      <c r="S492" s="21">
        <f t="shared" si="152"/>
        <v>6.5657756628271113E-2</v>
      </c>
      <c r="T492" s="8">
        <f t="shared" si="155"/>
        <v>2.338047797155407E-3</v>
      </c>
      <c r="U492" s="21">
        <f t="shared" si="165"/>
        <v>2.7846436375267626E-3</v>
      </c>
      <c r="V492" s="21">
        <f t="shared" si="166"/>
        <v>1.4022879874501952E-2</v>
      </c>
      <c r="W492" s="21">
        <f t="shared" si="167"/>
        <v>2.7846436375267626E-3</v>
      </c>
      <c r="Y492" s="23">
        <f t="shared" si="156"/>
        <v>6.4754821731462882E-4</v>
      </c>
      <c r="Z492" s="6">
        <f t="shared" si="157"/>
        <v>2.1370954202121336E-3</v>
      </c>
      <c r="AA492" s="6">
        <f t="shared" si="158"/>
        <v>0.99721535636247327</v>
      </c>
      <c r="AB492" s="6">
        <f t="shared" si="159"/>
        <v>1</v>
      </c>
    </row>
    <row r="493" spans="1:28" x14ac:dyDescent="0.35">
      <c r="A493">
        <v>484</v>
      </c>
      <c r="B493" s="17">
        <f t="shared" si="160"/>
        <v>14701.3125</v>
      </c>
      <c r="C493" s="17">
        <f t="shared" si="153"/>
        <v>14731.75</v>
      </c>
      <c r="D493" s="17">
        <f t="shared" si="161"/>
        <v>14716.53125</v>
      </c>
      <c r="E493" s="17">
        <f t="shared" si="147"/>
        <v>483.5</v>
      </c>
      <c r="F493" s="17">
        <f t="shared" si="148"/>
        <v>100.29166666666666</v>
      </c>
      <c r="G493" s="21">
        <f>INDEX('Life Tables'!$F$8:$F$123,MATCH(Engine!F493,'Life Tables'!$B$8:$B$123,1))</f>
        <v>3.8866734643115852E-2</v>
      </c>
      <c r="H493" s="8">
        <f t="shared" si="149"/>
        <v>0.25257246819458734</v>
      </c>
      <c r="I493">
        <f t="shared" si="150"/>
        <v>1</v>
      </c>
      <c r="K493" s="22" t="e">
        <f>$I493*IF($E493&gt;_xlfn.AGGREGATE(4,6,'KM Data'!$B$6:$B$310),NA(),INDEX('KM Data'!$C$6:$C$310,MATCH($E493,'KM Data'!$B$6:$B$310,1)))</f>
        <v>#N/A</v>
      </c>
      <c r="L493" s="21">
        <f t="shared" si="151"/>
        <v>1.0577430071282867E-2</v>
      </c>
      <c r="M493" s="20">
        <f t="shared" si="154"/>
        <v>3.6042948027723565E-3</v>
      </c>
      <c r="N493" s="21">
        <f t="shared" si="162"/>
        <v>6.2238013258363847E-4</v>
      </c>
      <c r="O493" s="21">
        <f t="shared" si="163"/>
        <v>1.3477856323487395E-2</v>
      </c>
      <c r="P493" s="21">
        <f t="shared" si="164"/>
        <v>6.2238013258363847E-4</v>
      </c>
      <c r="R493" s="22" t="e">
        <f>$I493*IF($E493&gt;_xlfn.AGGREGATE(4,6,'KM Data'!$E$6:$E$205),NA(),INDEX('KM Data'!$F$6:$F$205,MATCH($E493,'KM Data'!$E$6:$E$205,1)))</f>
        <v>#N/A</v>
      </c>
      <c r="S493" s="21">
        <f t="shared" si="152"/>
        <v>6.5504245655020221E-2</v>
      </c>
      <c r="T493" s="8">
        <f t="shared" si="155"/>
        <v>2.3344468144476105E-3</v>
      </c>
      <c r="U493" s="21">
        <f t="shared" si="165"/>
        <v>2.676413632191369E-3</v>
      </c>
      <c r="V493" s="21">
        <f t="shared" si="166"/>
        <v>1.3477856323487395E-2</v>
      </c>
      <c r="W493" s="21">
        <f t="shared" si="167"/>
        <v>2.676413632191369E-3</v>
      </c>
      <c r="Y493" s="23">
        <f t="shared" si="156"/>
        <v>6.2238013258363847E-4</v>
      </c>
      <c r="Z493" s="6">
        <f t="shared" si="157"/>
        <v>2.0540334996077304E-3</v>
      </c>
      <c r="AA493" s="6">
        <f t="shared" si="158"/>
        <v>0.9973235863678086</v>
      </c>
      <c r="AB493" s="6">
        <f t="shared" si="159"/>
        <v>1</v>
      </c>
    </row>
    <row r="494" spans="1:28" x14ac:dyDescent="0.35">
      <c r="A494">
        <v>485</v>
      </c>
      <c r="B494" s="17">
        <f t="shared" si="160"/>
        <v>14731.75</v>
      </c>
      <c r="C494" s="17">
        <f t="shared" si="153"/>
        <v>14762.1875</v>
      </c>
      <c r="D494" s="17">
        <f t="shared" si="161"/>
        <v>14746.96875</v>
      </c>
      <c r="E494" s="17">
        <f t="shared" si="147"/>
        <v>484.5</v>
      </c>
      <c r="F494" s="17">
        <f t="shared" si="148"/>
        <v>100.375</v>
      </c>
      <c r="G494" s="21">
        <f>INDEX('Life Tables'!$F$8:$F$123,MATCH(Engine!F494,'Life Tables'!$B$8:$B$123,1))</f>
        <v>3.8866734643115852E-2</v>
      </c>
      <c r="H494" s="8">
        <f t="shared" si="149"/>
        <v>0.25257246819458734</v>
      </c>
      <c r="I494">
        <f t="shared" si="150"/>
        <v>1</v>
      </c>
      <c r="K494" s="22" t="e">
        <f>$I494*IF($E494&gt;_xlfn.AGGREGATE(4,6,'KM Data'!$B$6:$B$310),NA(),INDEX('KM Data'!$C$6:$C$310,MATCH($E494,'KM Data'!$B$6:$B$310,1)))</f>
        <v>#N/A</v>
      </c>
      <c r="L494" s="21">
        <f t="shared" si="151"/>
        <v>1.0539305895050255E-2</v>
      </c>
      <c r="M494" s="20">
        <f t="shared" si="154"/>
        <v>3.5985445616000256E-3</v>
      </c>
      <c r="N494" s="21">
        <f t="shared" si="162"/>
        <v>5.9819024912336296E-4</v>
      </c>
      <c r="O494" s="21">
        <f t="shared" si="163"/>
        <v>1.2954016058204369E-2</v>
      </c>
      <c r="P494" s="21">
        <f t="shared" si="164"/>
        <v>5.9819024912336296E-4</v>
      </c>
      <c r="R494" s="22" t="e">
        <f>$I494*IF($E494&gt;_xlfn.AGGREGATE(4,6,'KM Data'!$E$6:$E$205),NA(),INDEX('KM Data'!$F$6:$F$205,MATCH($E494,'KM Data'!$E$6:$E$205,1)))</f>
        <v>#N/A</v>
      </c>
      <c r="S494" s="21">
        <f t="shared" si="152"/>
        <v>6.5351329477418063E-2</v>
      </c>
      <c r="T494" s="8">
        <f t="shared" si="155"/>
        <v>2.3308582888457163E-3</v>
      </c>
      <c r="U494" s="21">
        <f t="shared" si="165"/>
        <v>2.5723901737537691E-3</v>
      </c>
      <c r="V494" s="21">
        <f t="shared" si="166"/>
        <v>1.2954016058204369E-2</v>
      </c>
      <c r="W494" s="21">
        <f t="shared" si="167"/>
        <v>2.5723901737537691E-3</v>
      </c>
      <c r="Y494" s="23">
        <f t="shared" si="156"/>
        <v>5.9819024912336296E-4</v>
      </c>
      <c r="Z494" s="6">
        <f t="shared" si="157"/>
        <v>1.9741999246304064E-3</v>
      </c>
      <c r="AA494" s="6">
        <f t="shared" si="158"/>
        <v>0.99742760982624623</v>
      </c>
      <c r="AB494" s="6">
        <f t="shared" si="159"/>
        <v>1</v>
      </c>
    </row>
    <row r="495" spans="1:28" x14ac:dyDescent="0.35">
      <c r="A495">
        <v>486</v>
      </c>
      <c r="B495" s="17">
        <f t="shared" si="160"/>
        <v>14762.1875</v>
      </c>
      <c r="C495" s="17">
        <f t="shared" si="153"/>
        <v>14792.625</v>
      </c>
      <c r="D495" s="17">
        <f t="shared" si="161"/>
        <v>14777.40625</v>
      </c>
      <c r="E495" s="17">
        <f t="shared" si="147"/>
        <v>485.5</v>
      </c>
      <c r="F495" s="17">
        <f t="shared" si="148"/>
        <v>100.45833333333334</v>
      </c>
      <c r="G495" s="21">
        <f>INDEX('Life Tables'!$F$8:$F$123,MATCH(Engine!F495,'Life Tables'!$B$8:$B$123,1))</f>
        <v>3.8866734643115852E-2</v>
      </c>
      <c r="H495" s="8">
        <f t="shared" si="149"/>
        <v>0.25257246819458734</v>
      </c>
      <c r="I495">
        <f t="shared" si="150"/>
        <v>1</v>
      </c>
      <c r="K495" s="22" t="e">
        <f>$I495*IF($E495&gt;_xlfn.AGGREGATE(4,6,'KM Data'!$B$6:$B$310),NA(),INDEX('KM Data'!$C$6:$C$310,MATCH($E495,'KM Data'!$B$6:$B$310,1)))</f>
        <v>#N/A</v>
      </c>
      <c r="L495" s="21">
        <f t="shared" si="151"/>
        <v>1.0501379733138583E-2</v>
      </c>
      <c r="M495" s="20">
        <f t="shared" si="154"/>
        <v>3.5928146442224529E-3</v>
      </c>
      <c r="N495" s="21">
        <f t="shared" si="162"/>
        <v>5.7494054744458589E-4</v>
      </c>
      <c r="O495" s="21">
        <f t="shared" si="163"/>
        <v>1.2450535753507477E-2</v>
      </c>
      <c r="P495" s="21">
        <f t="shared" si="164"/>
        <v>5.7494054744458589E-4</v>
      </c>
      <c r="R495" s="22" t="e">
        <f>$I495*IF($E495&gt;_xlfn.AGGREGATE(4,6,'KM Data'!$E$6:$E$205),NA(),INDEX('KM Data'!$F$6:$F$205,MATCH($E495,'KM Data'!$E$6:$E$205,1)))</f>
        <v>#N/A</v>
      </c>
      <c r="S495" s="21">
        <f t="shared" si="152"/>
        <v>6.5199004789418535E-2</v>
      </c>
      <c r="T495" s="8">
        <f t="shared" si="155"/>
        <v>2.3272821528761423E-3</v>
      </c>
      <c r="U495" s="21">
        <f t="shared" si="165"/>
        <v>2.4724097674719229E-3</v>
      </c>
      <c r="V495" s="21">
        <f t="shared" si="166"/>
        <v>1.2450535753507477E-2</v>
      </c>
      <c r="W495" s="21">
        <f t="shared" si="167"/>
        <v>2.4724097674719229E-3</v>
      </c>
      <c r="Y495" s="23">
        <f t="shared" si="156"/>
        <v>5.7494054744458589E-4</v>
      </c>
      <c r="Z495" s="6">
        <f t="shared" si="157"/>
        <v>1.897469220027337E-3</v>
      </c>
      <c r="AA495" s="6">
        <f t="shared" si="158"/>
        <v>0.99752759023252813</v>
      </c>
      <c r="AB495" s="6">
        <f t="shared" si="159"/>
        <v>1</v>
      </c>
    </row>
    <row r="496" spans="1:28" x14ac:dyDescent="0.35">
      <c r="A496">
        <v>487</v>
      </c>
      <c r="B496" s="17">
        <f t="shared" si="160"/>
        <v>14792.625</v>
      </c>
      <c r="C496" s="17">
        <f t="shared" si="153"/>
        <v>14823.0625</v>
      </c>
      <c r="D496" s="17">
        <f t="shared" si="161"/>
        <v>14807.84375</v>
      </c>
      <c r="E496" s="17">
        <f t="shared" si="147"/>
        <v>486.5</v>
      </c>
      <c r="F496" s="17">
        <f t="shared" si="148"/>
        <v>100.54166666666666</v>
      </c>
      <c r="G496" s="21">
        <f>INDEX('Life Tables'!$F$8:$F$123,MATCH(Engine!F496,'Life Tables'!$B$8:$B$123,1))</f>
        <v>3.8866734643115852E-2</v>
      </c>
      <c r="H496" s="8">
        <f t="shared" si="149"/>
        <v>0.25257246819458734</v>
      </c>
      <c r="I496">
        <f t="shared" si="150"/>
        <v>1</v>
      </c>
      <c r="K496" s="22" t="e">
        <f>$I496*IF($E496&gt;_xlfn.AGGREGATE(4,6,'KM Data'!$B$6:$B$310),NA(),INDEX('KM Data'!$C$6:$C$310,MATCH($E496,'KM Data'!$B$6:$B$310,1)))</f>
        <v>#N/A</v>
      </c>
      <c r="L496" s="21">
        <f t="shared" si="151"/>
        <v>1.0463650222248821E-2</v>
      </c>
      <c r="M496" s="20">
        <f t="shared" si="154"/>
        <v>3.5871049387974363E-3</v>
      </c>
      <c r="N496" s="21">
        <f t="shared" si="162"/>
        <v>5.5259448575148938E-4</v>
      </c>
      <c r="O496" s="21">
        <f t="shared" si="163"/>
        <v>1.1966624084211275E-2</v>
      </c>
      <c r="P496" s="21">
        <f t="shared" si="164"/>
        <v>5.5259448575148938E-4</v>
      </c>
      <c r="R496" s="22" t="e">
        <f>$I496*IF($E496&gt;_xlfn.AGGREGATE(4,6,'KM Data'!$E$6:$E$205),NA(),INDEX('KM Data'!$F$6:$F$205,MATCH($E496,'KM Data'!$E$6:$E$205,1)))</f>
        <v>#N/A</v>
      </c>
      <c r="S496" s="21">
        <f t="shared" si="152"/>
        <v>6.5047268309186834E-2</v>
      </c>
      <c r="T496" s="8">
        <f t="shared" si="155"/>
        <v>2.3237183395784511E-3</v>
      </c>
      <c r="U496" s="21">
        <f t="shared" si="165"/>
        <v>2.3763152731105441E-3</v>
      </c>
      <c r="V496" s="21">
        <f t="shared" si="166"/>
        <v>1.1966624084211275E-2</v>
      </c>
      <c r="W496" s="21">
        <f t="shared" si="167"/>
        <v>2.3763152731105441E-3</v>
      </c>
      <c r="Y496" s="23">
        <f t="shared" si="156"/>
        <v>5.5259448575148938E-4</v>
      </c>
      <c r="Z496" s="6">
        <f t="shared" si="157"/>
        <v>1.8237207873590547E-3</v>
      </c>
      <c r="AA496" s="6">
        <f t="shared" si="158"/>
        <v>0.99762368472688945</v>
      </c>
      <c r="AB496" s="6">
        <f t="shared" si="159"/>
        <v>1</v>
      </c>
    </row>
    <row r="497" spans="1:28" x14ac:dyDescent="0.35">
      <c r="A497">
        <v>488</v>
      </c>
      <c r="B497" s="17">
        <f t="shared" si="160"/>
        <v>14823.0625</v>
      </c>
      <c r="C497" s="17">
        <f t="shared" si="153"/>
        <v>14853.5</v>
      </c>
      <c r="D497" s="17">
        <f t="shared" si="161"/>
        <v>14838.28125</v>
      </c>
      <c r="E497" s="17">
        <f t="shared" si="147"/>
        <v>487.5</v>
      </c>
      <c r="F497" s="17">
        <f t="shared" si="148"/>
        <v>100.625</v>
      </c>
      <c r="G497" s="21">
        <f>INDEX('Life Tables'!$F$8:$F$123,MATCH(Engine!F497,'Life Tables'!$B$8:$B$123,1))</f>
        <v>3.8866734643115852E-2</v>
      </c>
      <c r="H497" s="8">
        <f t="shared" si="149"/>
        <v>0.25257246819458734</v>
      </c>
      <c r="I497">
        <f t="shared" si="150"/>
        <v>1</v>
      </c>
      <c r="K497" s="22" t="e">
        <f>$I497*IF($E497&gt;_xlfn.AGGREGATE(4,6,'KM Data'!$B$6:$B$310),NA(),INDEX('KM Data'!$C$6:$C$310,MATCH($E497,'KM Data'!$B$6:$B$310,1)))</f>
        <v>#N/A</v>
      </c>
      <c r="L497" s="21">
        <f t="shared" si="151"/>
        <v>1.0426116010858744E-2</v>
      </c>
      <c r="M497" s="20">
        <f t="shared" si="154"/>
        <v>3.5814153343125543E-3</v>
      </c>
      <c r="N497" s="21">
        <f t="shared" si="162"/>
        <v>5.3111694250853713E-4</v>
      </c>
      <c r="O497" s="21">
        <f t="shared" si="163"/>
        <v>1.1501520481356317E-2</v>
      </c>
      <c r="P497" s="21">
        <f t="shared" si="164"/>
        <v>5.3111694250853713E-4</v>
      </c>
      <c r="R497" s="22" t="e">
        <f>$I497*IF($E497&gt;_xlfn.AGGREGATE(4,6,'KM Data'!$E$6:$E$205),NA(),INDEX('KM Data'!$F$6:$F$205,MATCH($E497,'KM Data'!$E$6:$E$205,1)))</f>
        <v>#N/A</v>
      </c>
      <c r="S497" s="21">
        <f t="shared" si="152"/>
        <v>6.48961167788773E-2</v>
      </c>
      <c r="T497" s="8">
        <f t="shared" si="155"/>
        <v>2.3201667824761518E-3</v>
      </c>
      <c r="U497" s="21">
        <f t="shared" si="165"/>
        <v>2.2839556579621733E-3</v>
      </c>
      <c r="V497" s="21">
        <f t="shared" si="166"/>
        <v>1.1501520481356317E-2</v>
      </c>
      <c r="W497" s="21">
        <f t="shared" si="167"/>
        <v>2.2839556579621733E-3</v>
      </c>
      <c r="Y497" s="23">
        <f t="shared" si="156"/>
        <v>5.3111694250853713E-4</v>
      </c>
      <c r="Z497" s="6">
        <f t="shared" si="157"/>
        <v>1.7528387154536361E-3</v>
      </c>
      <c r="AA497" s="6">
        <f t="shared" si="158"/>
        <v>0.99771604434203787</v>
      </c>
      <c r="AB497" s="6">
        <f t="shared" si="159"/>
        <v>1</v>
      </c>
    </row>
    <row r="498" spans="1:28" x14ac:dyDescent="0.35">
      <c r="A498">
        <v>489</v>
      </c>
      <c r="B498" s="17">
        <f t="shared" si="160"/>
        <v>14853.5</v>
      </c>
      <c r="C498" s="17">
        <f t="shared" si="153"/>
        <v>14883.9375</v>
      </c>
      <c r="D498" s="17">
        <f t="shared" si="161"/>
        <v>14868.71875</v>
      </c>
      <c r="E498" s="17">
        <f t="shared" si="147"/>
        <v>488.5</v>
      </c>
      <c r="F498" s="17">
        <f t="shared" si="148"/>
        <v>100.70833333333334</v>
      </c>
      <c r="G498" s="21">
        <f>INDEX('Life Tables'!$F$8:$F$123,MATCH(Engine!F498,'Life Tables'!$B$8:$B$123,1))</f>
        <v>3.8866734643115852E-2</v>
      </c>
      <c r="H498" s="8">
        <f t="shared" si="149"/>
        <v>0.25257246819458734</v>
      </c>
      <c r="I498">
        <f t="shared" si="150"/>
        <v>1</v>
      </c>
      <c r="K498" s="22" t="e">
        <f>$I498*IF($E498&gt;_xlfn.AGGREGATE(4,6,'KM Data'!$B$6:$B$310),NA(),INDEX('KM Data'!$C$6:$C$310,MATCH($E498,'KM Data'!$B$6:$B$310,1)))</f>
        <v>#N/A</v>
      </c>
      <c r="L498" s="21">
        <f t="shared" si="151"/>
        <v>1.0388775759100133E-2</v>
      </c>
      <c r="M498" s="20">
        <f t="shared" si="154"/>
        <v>3.5757457205934928E-3</v>
      </c>
      <c r="N498" s="21">
        <f t="shared" si="162"/>
        <v>5.1047416123959483E-4</v>
      </c>
      <c r="O498" s="21">
        <f t="shared" si="163"/>
        <v>1.1054493936815079E-2</v>
      </c>
      <c r="P498" s="21">
        <f t="shared" si="164"/>
        <v>5.1047416123959483E-4</v>
      </c>
      <c r="R498" s="22" t="e">
        <f>$I498*IF($E498&gt;_xlfn.AGGREGATE(4,6,'KM Data'!$E$6:$E$205),NA(),INDEX('KM Data'!$F$6:$F$205,MATCH($E498,'KM Data'!$E$6:$E$205,1)))</f>
        <v>#N/A</v>
      </c>
      <c r="S498" s="21">
        <f t="shared" si="152"/>
        <v>6.4745546964415257E-2</v>
      </c>
      <c r="T498" s="8">
        <f t="shared" si="155"/>
        <v>2.3166274155769218E-3</v>
      </c>
      <c r="U498" s="21">
        <f t="shared" si="165"/>
        <v>2.1951857594675146E-3</v>
      </c>
      <c r="V498" s="21">
        <f t="shared" si="166"/>
        <v>1.1054493936815079E-2</v>
      </c>
      <c r="W498" s="21">
        <f t="shared" si="167"/>
        <v>2.1951857594675146E-3</v>
      </c>
      <c r="Y498" s="23">
        <f t="shared" si="156"/>
        <v>5.1047416123959483E-4</v>
      </c>
      <c r="Z498" s="6">
        <f t="shared" si="157"/>
        <v>1.6847115982279197E-3</v>
      </c>
      <c r="AA498" s="6">
        <f t="shared" si="158"/>
        <v>0.99780481424053247</v>
      </c>
      <c r="AB498" s="6">
        <f t="shared" si="159"/>
        <v>1</v>
      </c>
    </row>
    <row r="499" spans="1:28" x14ac:dyDescent="0.35">
      <c r="A499">
        <v>490</v>
      </c>
      <c r="B499" s="17">
        <f t="shared" si="160"/>
        <v>14883.9375</v>
      </c>
      <c r="C499" s="17">
        <f t="shared" si="153"/>
        <v>14914.375</v>
      </c>
      <c r="D499" s="17">
        <f t="shared" si="161"/>
        <v>14899.15625</v>
      </c>
      <c r="E499" s="17">
        <f t="shared" si="147"/>
        <v>489.5</v>
      </c>
      <c r="F499" s="17">
        <f t="shared" si="148"/>
        <v>100.79166666666666</v>
      </c>
      <c r="G499" s="21">
        <f>INDEX('Life Tables'!$F$8:$F$123,MATCH(Engine!F499,'Life Tables'!$B$8:$B$123,1))</f>
        <v>3.8866734643115852E-2</v>
      </c>
      <c r="H499" s="8">
        <f t="shared" si="149"/>
        <v>0.25257246819458734</v>
      </c>
      <c r="I499">
        <f t="shared" si="150"/>
        <v>1</v>
      </c>
      <c r="K499" s="22" t="e">
        <f>$I499*IF($E499&gt;_xlfn.AGGREGATE(4,6,'KM Data'!$B$6:$B$310),NA(),INDEX('KM Data'!$C$6:$C$310,MATCH($E499,'KM Data'!$B$6:$B$310,1)))</f>
        <v>#N/A</v>
      </c>
      <c r="L499" s="21">
        <f t="shared" si="151"/>
        <v>1.0351628138637325E-2</v>
      </c>
      <c r="M499" s="20">
        <f t="shared" si="154"/>
        <v>3.5700959882900563E-3</v>
      </c>
      <c r="N499" s="21">
        <f t="shared" si="162"/>
        <v>4.9063369747252839E-4</v>
      </c>
      <c r="O499" s="21">
        <f t="shared" si="163"/>
        <v>1.0624841854358955E-2</v>
      </c>
      <c r="P499" s="21">
        <f t="shared" si="164"/>
        <v>4.9063369747252839E-4</v>
      </c>
      <c r="R499" s="22" t="e">
        <f>$I499*IF($E499&gt;_xlfn.AGGREGATE(4,6,'KM Data'!$E$6:$E$205),NA(),INDEX('KM Data'!$F$6:$F$205,MATCH($E499,'KM Data'!$E$6:$E$205,1)))</f>
        <v>#N/A</v>
      </c>
      <c r="S499" s="21">
        <f t="shared" si="152"/>
        <v>6.4595555655280967E-2</v>
      </c>
      <c r="T499" s="8">
        <f t="shared" si="155"/>
        <v>2.3131001733872614E-3</v>
      </c>
      <c r="U499" s="21">
        <f t="shared" si="165"/>
        <v>2.1098660570619439E-3</v>
      </c>
      <c r="V499" s="21">
        <f t="shared" si="166"/>
        <v>1.0624841854358955E-2</v>
      </c>
      <c r="W499" s="21">
        <f t="shared" si="167"/>
        <v>2.1098660570619439E-3</v>
      </c>
      <c r="Y499" s="23">
        <f t="shared" si="156"/>
        <v>4.9063369747252839E-4</v>
      </c>
      <c r="Z499" s="6">
        <f t="shared" si="157"/>
        <v>1.6192323595894155E-3</v>
      </c>
      <c r="AA499" s="6">
        <f t="shared" si="158"/>
        <v>0.99789013394293802</v>
      </c>
      <c r="AB499" s="6">
        <f t="shared" si="159"/>
        <v>1</v>
      </c>
    </row>
    <row r="500" spans="1:28" x14ac:dyDescent="0.35">
      <c r="A500">
        <v>491</v>
      </c>
      <c r="B500" s="17">
        <f t="shared" si="160"/>
        <v>14914.375</v>
      </c>
      <c r="C500" s="17">
        <f t="shared" si="153"/>
        <v>14944.8125</v>
      </c>
      <c r="D500" s="17">
        <f t="shared" si="161"/>
        <v>14929.59375</v>
      </c>
      <c r="E500" s="17">
        <f t="shared" si="147"/>
        <v>490.5</v>
      </c>
      <c r="F500" s="17">
        <f t="shared" si="148"/>
        <v>100.875</v>
      </c>
      <c r="G500" s="21">
        <f>INDEX('Life Tables'!$F$8:$F$123,MATCH(Engine!F500,'Life Tables'!$B$8:$B$123,1))</f>
        <v>3.8866734643115852E-2</v>
      </c>
      <c r="H500" s="8">
        <f t="shared" si="149"/>
        <v>0.25257246819458734</v>
      </c>
      <c r="I500">
        <f t="shared" si="150"/>
        <v>1</v>
      </c>
      <c r="K500" s="22" t="e">
        <f>$I500*IF($E500&gt;_xlfn.AGGREGATE(4,6,'KM Data'!$B$6:$B$310),NA(),INDEX('KM Data'!$C$6:$C$310,MATCH($E500,'KM Data'!$B$6:$B$310,1)))</f>
        <v>#N/A</v>
      </c>
      <c r="L500" s="21">
        <f t="shared" si="151"/>
        <v>1.0314671832547306E-2</v>
      </c>
      <c r="M500" s="20">
        <f t="shared" si="154"/>
        <v>3.564466028848523E-3</v>
      </c>
      <c r="N500" s="21">
        <f t="shared" si="162"/>
        <v>4.7156436774589282E-4</v>
      </c>
      <c r="O500" s="21">
        <f t="shared" si="163"/>
        <v>1.0211888945380514E-2</v>
      </c>
      <c r="P500" s="21">
        <f t="shared" si="164"/>
        <v>4.7156436774589282E-4</v>
      </c>
      <c r="R500" s="22" t="e">
        <f>$I500*IF($E500&gt;_xlfn.AGGREGATE(4,6,'KM Data'!$E$6:$E$205),NA(),INDEX('KM Data'!$F$6:$F$205,MATCH($E500,'KM Data'!$E$6:$E$205,1)))</f>
        <v>#N/A</v>
      </c>
      <c r="S500" s="21">
        <f t="shared" si="152"/>
        <v>6.4446139664294688E-2</v>
      </c>
      <c r="T500" s="8">
        <f t="shared" si="155"/>
        <v>2.3095849908805199E-3</v>
      </c>
      <c r="U500" s="21">
        <f t="shared" si="165"/>
        <v>2.0278624528896E-3</v>
      </c>
      <c r="V500" s="21">
        <f t="shared" si="166"/>
        <v>1.0211888945380514E-2</v>
      </c>
      <c r="W500" s="21">
        <f t="shared" si="167"/>
        <v>2.0278624528896E-3</v>
      </c>
      <c r="Y500" s="23">
        <f t="shared" si="156"/>
        <v>4.7156436774589282E-4</v>
      </c>
      <c r="Z500" s="6">
        <f t="shared" si="157"/>
        <v>1.5562980851437072E-3</v>
      </c>
      <c r="AA500" s="6">
        <f t="shared" si="158"/>
        <v>0.99797213754711045</v>
      </c>
      <c r="AB500" s="6">
        <f t="shared" si="159"/>
        <v>1</v>
      </c>
    </row>
    <row r="501" spans="1:28" x14ac:dyDescent="0.35">
      <c r="A501">
        <v>492</v>
      </c>
      <c r="B501" s="17">
        <f t="shared" si="160"/>
        <v>14944.8125</v>
      </c>
      <c r="C501" s="17">
        <f t="shared" si="153"/>
        <v>14975.25</v>
      </c>
      <c r="D501" s="17">
        <f t="shared" si="161"/>
        <v>14960.03125</v>
      </c>
      <c r="E501" s="17">
        <f t="shared" si="147"/>
        <v>491.5</v>
      </c>
      <c r="F501" s="17">
        <f t="shared" si="148"/>
        <v>100.95833333333334</v>
      </c>
      <c r="G501" s="21">
        <f>INDEX('Life Tables'!$F$8:$F$123,MATCH(Engine!F501,'Life Tables'!$B$8:$B$123,1))</f>
        <v>3.8866734643115852E-2</v>
      </c>
      <c r="H501" s="8">
        <f t="shared" si="149"/>
        <v>0.24403137023631633</v>
      </c>
      <c r="I501">
        <f t="shared" si="150"/>
        <v>1</v>
      </c>
      <c r="K501" s="22" t="e">
        <f>$I501*IF($E501&gt;_xlfn.AGGREGATE(4,6,'KM Data'!$B$6:$B$310),NA(),INDEX('KM Data'!$C$6:$C$310,MATCH($E501,'KM Data'!$B$6:$B$310,1)))</f>
        <v>#N/A</v>
      </c>
      <c r="L501" s="21">
        <f t="shared" si="151"/>
        <v>1.027790553520147E-2</v>
      </c>
      <c r="M501" s="20">
        <f t="shared" si="154"/>
        <v>3.5588557345473948E-3</v>
      </c>
      <c r="N501" s="21">
        <f t="shared" si="162"/>
        <v>4.5323620059756453E-4</v>
      </c>
      <c r="O501" s="21">
        <f t="shared" si="163"/>
        <v>9.8149861675354416E-3</v>
      </c>
      <c r="P501" s="21">
        <f t="shared" si="164"/>
        <v>4.5323620059756453E-4</v>
      </c>
      <c r="R501" s="22" t="e">
        <f>$I501*IF($E501&gt;_xlfn.AGGREGATE(4,6,'KM Data'!$E$6:$E$205),NA(),INDEX('KM Data'!$F$6:$F$205,MATCH($E501,'KM Data'!$E$6:$E$205,1)))</f>
        <v>#N/A</v>
      </c>
      <c r="S501" s="21">
        <f t="shared" si="152"/>
        <v>6.4297295827405843E-2</v>
      </c>
      <c r="T501" s="8">
        <f t="shared" si="155"/>
        <v>2.3060818035127717E-3</v>
      </c>
      <c r="U501" s="21">
        <f t="shared" si="165"/>
        <v>1.949046061040402E-3</v>
      </c>
      <c r="V501" s="21">
        <f t="shared" si="166"/>
        <v>9.8149861675354416E-3</v>
      </c>
      <c r="W501" s="21">
        <f t="shared" si="167"/>
        <v>1.949046061040402E-3</v>
      </c>
      <c r="Y501" s="23">
        <f t="shared" si="156"/>
        <v>4.5323620059756453E-4</v>
      </c>
      <c r="Z501" s="6">
        <f t="shared" si="157"/>
        <v>1.4958098604428375E-3</v>
      </c>
      <c r="AA501" s="6">
        <f t="shared" si="158"/>
        <v>0.9980509539389596</v>
      </c>
      <c r="AB501" s="6">
        <f t="shared" si="159"/>
        <v>1</v>
      </c>
    </row>
    <row r="502" spans="1:28" x14ac:dyDescent="0.35">
      <c r="A502">
        <v>493</v>
      </c>
      <c r="B502" s="17">
        <f t="shared" si="160"/>
        <v>14975.25</v>
      </c>
      <c r="C502" s="17">
        <f t="shared" si="153"/>
        <v>15005.6875</v>
      </c>
      <c r="D502" s="17">
        <f t="shared" si="161"/>
        <v>14990.46875</v>
      </c>
      <c r="E502" s="17">
        <f t="shared" si="147"/>
        <v>492.5</v>
      </c>
      <c r="F502" s="17">
        <f t="shared" si="148"/>
        <v>101.04166666666666</v>
      </c>
      <c r="G502" s="21">
        <f>INDEX('Life Tables'!$F$8:$F$123,MATCH(Engine!F502,'Life Tables'!$B$8:$B$123,1))</f>
        <v>1</v>
      </c>
      <c r="H502" s="8">
        <f t="shared" si="149"/>
        <v>0.24403137023631633</v>
      </c>
      <c r="I502">
        <f t="shared" si="150"/>
        <v>1</v>
      </c>
      <c r="K502" s="22" t="e">
        <f>$I502*IF($E502&gt;_xlfn.AGGREGATE(4,6,'KM Data'!$B$6:$B$310),NA(),INDEX('KM Data'!$C$6:$C$310,MATCH($E502,'KM Data'!$B$6:$B$310,1)))</f>
        <v>#N/A</v>
      </c>
      <c r="L502" s="21">
        <f t="shared" si="151"/>
        <v>1.0241327952148382E-2</v>
      </c>
      <c r="M502" s="20">
        <f t="shared" si="154"/>
        <v>3.5532649984333364E-3</v>
      </c>
      <c r="N502" s="21">
        <f t="shared" si="162"/>
        <v>4.3562038945828496E-4</v>
      </c>
      <c r="O502" s="21">
        <f t="shared" si="163"/>
        <v>9.4335097046359898E-3</v>
      </c>
      <c r="P502" s="21">
        <f t="shared" si="164"/>
        <v>4.3562038945828496E-4</v>
      </c>
      <c r="R502" s="22" t="e">
        <f>$I502*IF($E502&gt;_xlfn.AGGREGATE(4,6,'KM Data'!$E$6:$E$205),NA(),INDEX('KM Data'!$F$6:$F$205,MATCH($E502,'KM Data'!$E$6:$E$205,1)))</f>
        <v>#N/A</v>
      </c>
      <c r="S502" s="21">
        <f t="shared" si="152"/>
        <v>6.4149021003483186E-2</v>
      </c>
      <c r="T502" s="8">
        <f t="shared" si="155"/>
        <v>2.3025905472088271E-3</v>
      </c>
      <c r="U502" s="21">
        <f t="shared" si="165"/>
        <v>1.8732930049787345E-3</v>
      </c>
      <c r="V502" s="21">
        <f t="shared" si="166"/>
        <v>9.4335097046359898E-3</v>
      </c>
      <c r="W502" s="21">
        <f t="shared" si="167"/>
        <v>1.8732930049787345E-3</v>
      </c>
      <c r="Y502" s="23">
        <f t="shared" si="156"/>
        <v>4.3562038945828496E-4</v>
      </c>
      <c r="Z502" s="6">
        <f t="shared" si="157"/>
        <v>1.4376726155204496E-3</v>
      </c>
      <c r="AA502" s="6">
        <f t="shared" si="158"/>
        <v>0.99812670699502126</v>
      </c>
      <c r="AB502" s="6">
        <f t="shared" si="159"/>
        <v>1</v>
      </c>
    </row>
    <row r="503" spans="1:28" x14ac:dyDescent="0.35">
      <c r="A503">
        <v>494</v>
      </c>
      <c r="B503" s="17">
        <f t="shared" si="160"/>
        <v>15005.6875</v>
      </c>
      <c r="C503" s="17">
        <f t="shared" si="153"/>
        <v>15036.125</v>
      </c>
      <c r="D503" s="17">
        <f t="shared" si="161"/>
        <v>15020.90625</v>
      </c>
      <c r="E503" s="17">
        <f t="shared" si="147"/>
        <v>493.5</v>
      </c>
      <c r="F503" s="17">
        <f t="shared" si="148"/>
        <v>101.125</v>
      </c>
      <c r="G503" s="21">
        <f>INDEX('Life Tables'!$F$8:$F$123,MATCH(Engine!F503,'Life Tables'!$B$8:$B$123,1))</f>
        <v>1</v>
      </c>
      <c r="H503" s="8">
        <f t="shared" si="149"/>
        <v>0.24403137023631633</v>
      </c>
      <c r="I503">
        <f t="shared" si="150"/>
        <v>1</v>
      </c>
      <c r="K503" s="22" t="e">
        <f>$I503*IF($E503&gt;_xlfn.AGGREGATE(4,6,'KM Data'!$B$6:$B$310),NA(),INDEX('KM Data'!$C$6:$C$310,MATCH($E503,'KM Data'!$B$6:$B$310,1)))</f>
        <v>#N/A</v>
      </c>
      <c r="L503" s="21">
        <f t="shared" si="151"/>
        <v>1.0204937799998537E-2</v>
      </c>
      <c r="M503" s="20">
        <f t="shared" si="154"/>
        <v>3.5476937143533727E-3</v>
      </c>
      <c r="N503" s="21">
        <f t="shared" si="162"/>
        <v>0</v>
      </c>
      <c r="O503" s="21">
        <f t="shared" si="163"/>
        <v>0</v>
      </c>
      <c r="P503" s="21">
        <f t="shared" si="164"/>
        <v>0</v>
      </c>
      <c r="R503" s="22" t="e">
        <f>$I503*IF($E503&gt;_xlfn.AGGREGATE(4,6,'KM Data'!$E$6:$E$205),NA(),INDEX('KM Data'!$F$6:$F$205,MATCH($E503,'KM Data'!$E$6:$E$205,1)))</f>
        <v>#N/A</v>
      </c>
      <c r="S503" s="21">
        <f t="shared" si="152"/>
        <v>6.4001312074107863E-2</v>
      </c>
      <c r="T503" s="8">
        <f t="shared" si="155"/>
        <v>2.2991111583553492E-3</v>
      </c>
      <c r="U503" s="21">
        <f t="shared" si="165"/>
        <v>0</v>
      </c>
      <c r="V503" s="21">
        <f t="shared" si="166"/>
        <v>0</v>
      </c>
      <c r="W503" s="21">
        <f t="shared" si="167"/>
        <v>0</v>
      </c>
      <c r="Y503" s="23">
        <f t="shared" si="156"/>
        <v>0</v>
      </c>
      <c r="Z503" s="6">
        <f t="shared" si="157"/>
        <v>0</v>
      </c>
      <c r="AA503" s="6">
        <f t="shared" si="158"/>
        <v>1</v>
      </c>
      <c r="AB503" s="6">
        <f t="shared" si="159"/>
        <v>1</v>
      </c>
    </row>
    <row r="504" spans="1:28" x14ac:dyDescent="0.35">
      <c r="A504">
        <v>495</v>
      </c>
      <c r="B504" s="17">
        <f t="shared" si="160"/>
        <v>15036.125</v>
      </c>
      <c r="C504" s="17">
        <f t="shared" si="153"/>
        <v>15066.5625</v>
      </c>
      <c r="D504" s="17">
        <f t="shared" si="161"/>
        <v>15051.34375</v>
      </c>
      <c r="E504" s="17">
        <f t="shared" si="147"/>
        <v>494.5</v>
      </c>
      <c r="F504" s="17">
        <f t="shared" si="148"/>
        <v>101.20833333333334</v>
      </c>
      <c r="G504" s="21">
        <f>INDEX('Life Tables'!$F$8:$F$123,MATCH(Engine!F504,'Life Tables'!$B$8:$B$123,1))</f>
        <v>1</v>
      </c>
      <c r="H504" s="8">
        <f t="shared" si="149"/>
        <v>0.24403137023631633</v>
      </c>
      <c r="I504">
        <f t="shared" si="150"/>
        <v>1</v>
      </c>
      <c r="K504" s="22" t="e">
        <f>$I504*IF($E504&gt;_xlfn.AGGREGATE(4,6,'KM Data'!$B$6:$B$310),NA(),INDEX('KM Data'!$C$6:$C$310,MATCH($E504,'KM Data'!$B$6:$B$310,1)))</f>
        <v>#N/A</v>
      </c>
      <c r="L504" s="21">
        <f t="shared" si="151"/>
        <v>1.0168733806310115E-2</v>
      </c>
      <c r="M504" s="20">
        <f t="shared" si="154"/>
        <v>3.5421417769633257E-3</v>
      </c>
      <c r="N504" s="21">
        <f t="shared" si="162"/>
        <v>0</v>
      </c>
      <c r="O504" s="21">
        <f t="shared" si="163"/>
        <v>0</v>
      </c>
      <c r="P504" s="21">
        <f t="shared" si="164"/>
        <v>0</v>
      </c>
      <c r="R504" s="22" t="e">
        <f>$I504*IF($E504&gt;_xlfn.AGGREGATE(4,6,'KM Data'!$E$6:$E$205),NA(),INDEX('KM Data'!$F$6:$F$205,MATCH($E504,'KM Data'!$E$6:$E$205,1)))</f>
        <v>#N/A</v>
      </c>
      <c r="S504" s="21">
        <f t="shared" si="152"/>
        <v>6.3854165943368901E-2</v>
      </c>
      <c r="T504" s="8">
        <f t="shared" si="155"/>
        <v>2.2956435738077374E-3</v>
      </c>
      <c r="U504" s="21">
        <f t="shared" si="165"/>
        <v>0</v>
      </c>
      <c r="V504" s="21">
        <f t="shared" si="166"/>
        <v>0</v>
      </c>
      <c r="W504" s="21">
        <f t="shared" si="167"/>
        <v>0</v>
      </c>
      <c r="Y504" s="23">
        <f t="shared" si="156"/>
        <v>0</v>
      </c>
      <c r="Z504" s="6">
        <f t="shared" si="157"/>
        <v>0</v>
      </c>
      <c r="AA504" s="6">
        <f t="shared" si="158"/>
        <v>1</v>
      </c>
      <c r="AB504" s="6">
        <f t="shared" si="159"/>
        <v>1</v>
      </c>
    </row>
    <row r="505" spans="1:28" x14ac:dyDescent="0.35">
      <c r="A505">
        <v>496</v>
      </c>
      <c r="B505" s="17">
        <f t="shared" si="160"/>
        <v>15066.5625</v>
      </c>
      <c r="C505" s="17">
        <f t="shared" si="153"/>
        <v>15097</v>
      </c>
      <c r="D505" s="17">
        <f t="shared" si="161"/>
        <v>15081.78125</v>
      </c>
      <c r="E505" s="17">
        <f t="shared" si="147"/>
        <v>495.5</v>
      </c>
      <c r="F505" s="17">
        <f t="shared" si="148"/>
        <v>101.29166666666666</v>
      </c>
      <c r="G505" s="21">
        <f>INDEX('Life Tables'!$F$8:$F$123,MATCH(Engine!F505,'Life Tables'!$B$8:$B$123,1))</f>
        <v>1</v>
      </c>
      <c r="H505" s="8">
        <f t="shared" si="149"/>
        <v>0.24403137023631633</v>
      </c>
      <c r="I505">
        <f t="shared" si="150"/>
        <v>1</v>
      </c>
      <c r="K505" s="22" t="e">
        <f>$I505*IF($E505&gt;_xlfn.AGGREGATE(4,6,'KM Data'!$B$6:$B$310),NA(),INDEX('KM Data'!$C$6:$C$310,MATCH($E505,'KM Data'!$B$6:$B$310,1)))</f>
        <v>#N/A</v>
      </c>
      <c r="L505" s="21">
        <f t="shared" si="151"/>
        <v>1.0132714709475965E-2</v>
      </c>
      <c r="M505" s="20">
        <f t="shared" si="154"/>
        <v>3.5366090816584261E-3</v>
      </c>
      <c r="N505" s="21">
        <f t="shared" si="162"/>
        <v>0</v>
      </c>
      <c r="O505" s="21">
        <f t="shared" si="163"/>
        <v>0</v>
      </c>
      <c r="P505" s="21">
        <f t="shared" si="164"/>
        <v>0</v>
      </c>
      <c r="R505" s="22" t="e">
        <f>$I505*IF($E505&gt;_xlfn.AGGREGATE(4,6,'KM Data'!$E$6:$E$205),NA(),INDEX('KM Data'!$F$6:$F$205,MATCH($E505,'KM Data'!$E$6:$E$205,1)))</f>
        <v>#N/A</v>
      </c>
      <c r="S505" s="21">
        <f t="shared" si="152"/>
        <v>6.3707579537660153E-2</v>
      </c>
      <c r="T505" s="8">
        <f t="shared" si="155"/>
        <v>2.2921877308829108E-3</v>
      </c>
      <c r="U505" s="21">
        <f t="shared" si="165"/>
        <v>0</v>
      </c>
      <c r="V505" s="21">
        <f t="shared" si="166"/>
        <v>0</v>
      </c>
      <c r="W505" s="21">
        <f t="shared" si="167"/>
        <v>0</v>
      </c>
      <c r="Y505" s="23">
        <f t="shared" si="156"/>
        <v>0</v>
      </c>
      <c r="Z505" s="6">
        <f t="shared" si="157"/>
        <v>0</v>
      </c>
      <c r="AA505" s="6">
        <f t="shared" si="158"/>
        <v>1</v>
      </c>
      <c r="AB505" s="6">
        <f t="shared" si="159"/>
        <v>1</v>
      </c>
    </row>
    <row r="506" spans="1:28" x14ac:dyDescent="0.35">
      <c r="A506">
        <v>497</v>
      </c>
      <c r="B506" s="17">
        <f t="shared" si="160"/>
        <v>15097</v>
      </c>
      <c r="C506" s="17">
        <f t="shared" si="153"/>
        <v>15127.4375</v>
      </c>
      <c r="D506" s="17">
        <f t="shared" si="161"/>
        <v>15112.21875</v>
      </c>
      <c r="E506" s="17">
        <f t="shared" si="147"/>
        <v>496.5</v>
      </c>
      <c r="F506" s="17">
        <f t="shared" si="148"/>
        <v>101.375</v>
      </c>
      <c r="G506" s="21">
        <f>INDEX('Life Tables'!$F$8:$F$123,MATCH(Engine!F506,'Life Tables'!$B$8:$B$123,1))</f>
        <v>1</v>
      </c>
      <c r="H506" s="8">
        <f t="shared" si="149"/>
        <v>0.24403137023631633</v>
      </c>
      <c r="I506">
        <f t="shared" si="150"/>
        <v>1</v>
      </c>
      <c r="K506" s="22" t="e">
        <f>$I506*IF($E506&gt;_xlfn.AGGREGATE(4,6,'KM Data'!$B$6:$B$310),NA(),INDEX('KM Data'!$C$6:$C$310,MATCH($E506,'KM Data'!$B$6:$B$310,1)))</f>
        <v>#N/A</v>
      </c>
      <c r="L506" s="21">
        <f t="shared" si="151"/>
        <v>1.0096879258612579E-2</v>
      </c>
      <c r="M506" s="20">
        <f t="shared" si="154"/>
        <v>3.5310955245996256E-3</v>
      </c>
      <c r="N506" s="21">
        <f t="shared" si="162"/>
        <v>0</v>
      </c>
      <c r="O506" s="21">
        <f t="shared" si="163"/>
        <v>0</v>
      </c>
      <c r="P506" s="21">
        <f t="shared" si="164"/>
        <v>0</v>
      </c>
      <c r="R506" s="22" t="e">
        <f>$I506*IF($E506&gt;_xlfn.AGGREGATE(4,6,'KM Data'!$E$6:$E$205),NA(),INDEX('KM Data'!$F$6:$F$205,MATCH($E506,'KM Data'!$E$6:$E$205,1)))</f>
        <v>#N/A</v>
      </c>
      <c r="S506" s="21">
        <f t="shared" si="152"/>
        <v>6.3561549805479678E-2</v>
      </c>
      <c r="T506" s="8">
        <f t="shared" si="155"/>
        <v>2.2887435673363266E-3</v>
      </c>
      <c r="U506" s="21">
        <f t="shared" si="165"/>
        <v>0</v>
      </c>
      <c r="V506" s="21">
        <f t="shared" si="166"/>
        <v>0</v>
      </c>
      <c r="W506" s="21">
        <f t="shared" si="167"/>
        <v>0</v>
      </c>
      <c r="Y506" s="23">
        <f t="shared" si="156"/>
        <v>0</v>
      </c>
      <c r="Z506" s="6">
        <f t="shared" si="157"/>
        <v>0</v>
      </c>
      <c r="AA506" s="6">
        <f t="shared" si="158"/>
        <v>1</v>
      </c>
      <c r="AB506" s="6">
        <f t="shared" si="159"/>
        <v>1</v>
      </c>
    </row>
    <row r="507" spans="1:28" x14ac:dyDescent="0.35">
      <c r="A507">
        <v>498</v>
      </c>
      <c r="B507" s="17">
        <f t="shared" si="160"/>
        <v>15127.4375</v>
      </c>
      <c r="C507" s="17">
        <f t="shared" si="153"/>
        <v>15157.875</v>
      </c>
      <c r="D507" s="17">
        <f t="shared" si="161"/>
        <v>15142.65625</v>
      </c>
      <c r="E507" s="17">
        <f t="shared" si="147"/>
        <v>497.5</v>
      </c>
      <c r="F507" s="17">
        <f t="shared" si="148"/>
        <v>101.45833333333334</v>
      </c>
      <c r="G507" s="21">
        <f>INDEX('Life Tables'!$F$8:$F$123,MATCH(Engine!F507,'Life Tables'!$B$8:$B$123,1))</f>
        <v>1</v>
      </c>
      <c r="H507" s="8">
        <f t="shared" si="149"/>
        <v>0.24403137023631633</v>
      </c>
      <c r="I507">
        <f t="shared" si="150"/>
        <v>1</v>
      </c>
      <c r="K507" s="22" t="e">
        <f>$I507*IF($E507&gt;_xlfn.AGGREGATE(4,6,'KM Data'!$B$6:$B$310),NA(),INDEX('KM Data'!$C$6:$C$310,MATCH($E507,'KM Data'!$B$6:$B$310,1)))</f>
        <v>#N/A</v>
      </c>
      <c r="L507" s="21">
        <f t="shared" si="151"/>
        <v>1.006122621345007E-2</v>
      </c>
      <c r="M507" s="20">
        <f t="shared" si="154"/>
        <v>3.5256010027718832E-3</v>
      </c>
      <c r="N507" s="21">
        <f t="shared" si="162"/>
        <v>0</v>
      </c>
      <c r="O507" s="21">
        <f t="shared" si="163"/>
        <v>0</v>
      </c>
      <c r="P507" s="21">
        <f t="shared" si="164"/>
        <v>0</v>
      </c>
      <c r="R507" s="22" t="e">
        <f>$I507*IF($E507&gt;_xlfn.AGGREGATE(4,6,'KM Data'!$E$6:$E$205),NA(),INDEX('KM Data'!$F$6:$F$205,MATCH($E507,'KM Data'!$E$6:$E$205,1)))</f>
        <v>#N/A</v>
      </c>
      <c r="S507" s="21">
        <f t="shared" si="152"/>
        <v>6.3416073717232457E-2</v>
      </c>
      <c r="T507" s="8">
        <f t="shared" si="155"/>
        <v>2.2853110213929551E-3</v>
      </c>
      <c r="U507" s="21">
        <f t="shared" si="165"/>
        <v>0</v>
      </c>
      <c r="V507" s="21">
        <f t="shared" si="166"/>
        <v>0</v>
      </c>
      <c r="W507" s="21">
        <f t="shared" si="167"/>
        <v>0</v>
      </c>
      <c r="Y507" s="23">
        <f t="shared" si="156"/>
        <v>0</v>
      </c>
      <c r="Z507" s="6">
        <f t="shared" si="157"/>
        <v>0</v>
      </c>
      <c r="AA507" s="6">
        <f t="shared" si="158"/>
        <v>1</v>
      </c>
      <c r="AB507" s="6">
        <f t="shared" si="159"/>
        <v>1</v>
      </c>
    </row>
    <row r="508" spans="1:28" x14ac:dyDescent="0.35">
      <c r="A508">
        <v>499</v>
      </c>
      <c r="B508" s="17">
        <f t="shared" si="160"/>
        <v>15157.875</v>
      </c>
      <c r="C508" s="17">
        <f t="shared" si="153"/>
        <v>15188.3125</v>
      </c>
      <c r="D508" s="17">
        <f t="shared" si="161"/>
        <v>15173.09375</v>
      </c>
      <c r="E508" s="17">
        <f t="shared" si="147"/>
        <v>498.5</v>
      </c>
      <c r="F508" s="17">
        <f t="shared" si="148"/>
        <v>101.54166666666666</v>
      </c>
      <c r="G508" s="21">
        <f>INDEX('Life Tables'!$F$8:$F$123,MATCH(Engine!F508,'Life Tables'!$B$8:$B$123,1))</f>
        <v>1</v>
      </c>
      <c r="H508" s="8">
        <f t="shared" si="149"/>
        <v>0.24403137023631633</v>
      </c>
      <c r="I508">
        <f t="shared" si="150"/>
        <v>1</v>
      </c>
      <c r="K508" s="22" t="e">
        <f>$I508*IF($E508&gt;_xlfn.AGGREGATE(4,6,'KM Data'!$B$6:$B$310),NA(),INDEX('KM Data'!$C$6:$C$310,MATCH($E508,'KM Data'!$B$6:$B$310,1)))</f>
        <v>#N/A</v>
      </c>
      <c r="L508" s="21">
        <f t="shared" si="151"/>
        <v>1.0025754344222815E-2</v>
      </c>
      <c r="M508" s="20">
        <f t="shared" si="154"/>
        <v>3.5201254138214066E-3</v>
      </c>
      <c r="N508" s="21">
        <f t="shared" si="162"/>
        <v>0</v>
      </c>
      <c r="O508" s="21">
        <f t="shared" si="163"/>
        <v>0</v>
      </c>
      <c r="P508" s="21">
        <f t="shared" si="164"/>
        <v>0</v>
      </c>
      <c r="R508" s="22" t="e">
        <f>$I508*IF($E508&gt;_xlfn.AGGREGATE(4,6,'KM Data'!$E$6:$E$205),NA(),INDEX('KM Data'!$F$6:$F$205,MATCH($E508,'KM Data'!$E$6:$E$205,1)))</f>
        <v>#N/A</v>
      </c>
      <c r="S508" s="21">
        <f t="shared" si="152"/>
        <v>6.3271148265032995E-2</v>
      </c>
      <c r="T508" s="8">
        <f t="shared" si="155"/>
        <v>2.2818900317052027E-3</v>
      </c>
      <c r="U508" s="21">
        <f t="shared" si="165"/>
        <v>0</v>
      </c>
      <c r="V508" s="21">
        <f t="shared" si="166"/>
        <v>0</v>
      </c>
      <c r="W508" s="21">
        <f t="shared" si="167"/>
        <v>0</v>
      </c>
      <c r="Y508" s="23">
        <f t="shared" si="156"/>
        <v>0</v>
      </c>
      <c r="Z508" s="6">
        <f t="shared" si="157"/>
        <v>0</v>
      </c>
      <c r="AA508" s="6">
        <f t="shared" si="158"/>
        <v>1</v>
      </c>
      <c r="AB508" s="6">
        <f t="shared" si="159"/>
        <v>1</v>
      </c>
    </row>
    <row r="509" spans="1:28" x14ac:dyDescent="0.35">
      <c r="A509">
        <v>500</v>
      </c>
      <c r="B509" s="17">
        <f t="shared" si="160"/>
        <v>15188.3125</v>
      </c>
      <c r="C509" s="17">
        <f t="shared" si="153"/>
        <v>15218.75</v>
      </c>
      <c r="D509" s="17">
        <f t="shared" si="161"/>
        <v>15203.53125</v>
      </c>
      <c r="E509" s="17">
        <f t="shared" si="147"/>
        <v>499.5</v>
      </c>
      <c r="F509" s="17">
        <f t="shared" si="148"/>
        <v>101.625</v>
      </c>
      <c r="G509" s="21">
        <f>INDEX('Life Tables'!$F$8:$F$123,MATCH(Engine!F509,'Life Tables'!$B$8:$B$123,1))</f>
        <v>1</v>
      </c>
      <c r="H509" s="8">
        <f t="shared" si="149"/>
        <v>0.24403137023631633</v>
      </c>
      <c r="I509">
        <f t="shared" si="150"/>
        <v>1</v>
      </c>
      <c r="K509" s="22" t="e">
        <f>$I509*IF($E509&gt;_xlfn.AGGREGATE(4,6,'KM Data'!$B$6:$B$310),NA(),INDEX('KM Data'!$C$6:$C$310,MATCH($E509,'KM Data'!$B$6:$B$310,1)))</f>
        <v>#N/A</v>
      </c>
      <c r="L509" s="21">
        <f t="shared" si="151"/>
        <v>9.9904624315629853E-3</v>
      </c>
      <c r="M509" s="20">
        <f t="shared" si="154"/>
        <v>3.5146686562084195E-3</v>
      </c>
      <c r="N509" s="21">
        <f t="shared" si="162"/>
        <v>0</v>
      </c>
      <c r="O509" s="21">
        <f t="shared" si="163"/>
        <v>0</v>
      </c>
      <c r="P509" s="21">
        <f t="shared" si="164"/>
        <v>0</v>
      </c>
      <c r="R509" s="22" t="e">
        <f>$I509*IF($E509&gt;_xlfn.AGGREGATE(4,6,'KM Data'!$E$6:$E$205),NA(),INDEX('KM Data'!$F$6:$F$205,MATCH($E509,'KM Data'!$E$6:$E$205,1)))</f>
        <v>#N/A</v>
      </c>
      <c r="S509" s="21">
        <f t="shared" si="152"/>
        <v>6.3126770462512471E-2</v>
      </c>
      <c r="T509" s="8">
        <f t="shared" si="155"/>
        <v>2.2784805373760042E-3</v>
      </c>
      <c r="U509" s="21">
        <f t="shared" si="165"/>
        <v>0</v>
      </c>
      <c r="V509" s="21">
        <f t="shared" si="166"/>
        <v>0</v>
      </c>
      <c r="W509" s="21">
        <f t="shared" si="167"/>
        <v>0</v>
      </c>
      <c r="Y509" s="23">
        <f t="shared" si="156"/>
        <v>0</v>
      </c>
      <c r="Z509" s="6">
        <f t="shared" si="157"/>
        <v>0</v>
      </c>
      <c r="AA509" s="6">
        <f t="shared" si="158"/>
        <v>1</v>
      </c>
      <c r="AB509" s="6">
        <f t="shared" si="159"/>
        <v>1</v>
      </c>
    </row>
    <row r="510" spans="1:28" x14ac:dyDescent="0.35">
      <c r="A510">
        <v>501</v>
      </c>
      <c r="B510" s="17">
        <f t="shared" si="160"/>
        <v>15218.75</v>
      </c>
      <c r="C510" s="17">
        <f t="shared" si="153"/>
        <v>15249.1875</v>
      </c>
      <c r="D510" s="17">
        <f t="shared" si="161"/>
        <v>15233.96875</v>
      </c>
      <c r="E510" s="17">
        <f t="shared" si="147"/>
        <v>500.5</v>
      </c>
      <c r="F510" s="17">
        <f t="shared" si="148"/>
        <v>101.70833333333334</v>
      </c>
      <c r="G510" s="21">
        <f>INDEX('Life Tables'!$F$8:$F$123,MATCH(Engine!F510,'Life Tables'!$B$8:$B$123,1))</f>
        <v>1</v>
      </c>
      <c r="H510" s="8">
        <f t="shared" si="149"/>
        <v>0.24403137023631633</v>
      </c>
      <c r="I510">
        <f t="shared" si="150"/>
        <v>1</v>
      </c>
      <c r="K510" s="22" t="e">
        <f>$I510*IF($E510&gt;_xlfn.AGGREGATE(4,6,'KM Data'!$B$6:$B$310),NA(),INDEX('KM Data'!$C$6:$C$310,MATCH($E510,'KM Data'!$B$6:$B$310,1)))</f>
        <v>#N/A</v>
      </c>
      <c r="L510" s="21">
        <f t="shared" si="151"/>
        <v>9.9553492663937426E-3</v>
      </c>
      <c r="M510" s="20">
        <f t="shared" si="154"/>
        <v>3.5092306291182318E-3</v>
      </c>
      <c r="N510" s="21">
        <f t="shared" si="162"/>
        <v>0</v>
      </c>
      <c r="O510" s="21">
        <f t="shared" si="163"/>
        <v>0</v>
      </c>
      <c r="P510" s="21">
        <f t="shared" si="164"/>
        <v>0</v>
      </c>
      <c r="R510" s="22" t="e">
        <f>$I510*IF($E510&gt;_xlfn.AGGREGATE(4,6,'KM Data'!$E$6:$E$205),NA(),INDEX('KM Data'!$F$6:$F$205,MATCH($E510,'KM Data'!$E$6:$E$205,1)))</f>
        <v>#N/A</v>
      </c>
      <c r="S510" s="21">
        <f t="shared" si="152"/>
        <v>6.2982937344626233E-2</v>
      </c>
      <c r="T510" s="8">
        <f t="shared" si="155"/>
        <v>2.275082477948942E-3</v>
      </c>
      <c r="U510" s="21">
        <f t="shared" si="165"/>
        <v>0</v>
      </c>
      <c r="V510" s="21">
        <f t="shared" si="166"/>
        <v>0</v>
      </c>
      <c r="W510" s="21">
        <f t="shared" si="167"/>
        <v>0</v>
      </c>
      <c r="Y510" s="23">
        <f t="shared" si="156"/>
        <v>0</v>
      </c>
      <c r="Z510" s="6">
        <f t="shared" si="157"/>
        <v>0</v>
      </c>
      <c r="AA510" s="6">
        <f t="shared" si="158"/>
        <v>1</v>
      </c>
      <c r="AB510" s="6">
        <f t="shared" si="159"/>
        <v>1</v>
      </c>
    </row>
    <row r="511" spans="1:28" x14ac:dyDescent="0.35">
      <c r="A511">
        <v>502</v>
      </c>
      <c r="B511" s="17">
        <f t="shared" si="160"/>
        <v>15249.1875</v>
      </c>
      <c r="C511" s="17">
        <f t="shared" si="153"/>
        <v>15279.625</v>
      </c>
      <c r="D511" s="17">
        <f t="shared" si="161"/>
        <v>15264.40625</v>
      </c>
      <c r="E511" s="17">
        <f t="shared" si="147"/>
        <v>501.5</v>
      </c>
      <c r="F511" s="17">
        <f t="shared" si="148"/>
        <v>101.79166666666666</v>
      </c>
      <c r="G511" s="21">
        <f>INDEX('Life Tables'!$F$8:$F$123,MATCH(Engine!F511,'Life Tables'!$B$8:$B$123,1))</f>
        <v>1</v>
      </c>
      <c r="H511" s="8">
        <f t="shared" si="149"/>
        <v>0.24403137023631633</v>
      </c>
      <c r="I511">
        <f t="shared" si="150"/>
        <v>1</v>
      </c>
      <c r="K511" s="22" t="e">
        <f>$I511*IF($E511&gt;_xlfn.AGGREGATE(4,6,'KM Data'!$B$6:$B$310),NA(),INDEX('KM Data'!$C$6:$C$310,MATCH($E511,'KM Data'!$B$6:$B$310,1)))</f>
        <v>#N/A</v>
      </c>
      <c r="L511" s="21">
        <f t="shared" si="151"/>
        <v>9.9204136498245443E-3</v>
      </c>
      <c r="M511" s="20">
        <f t="shared" si="154"/>
        <v>3.5038112324680126E-3</v>
      </c>
      <c r="N511" s="21">
        <f t="shared" si="162"/>
        <v>0</v>
      </c>
      <c r="O511" s="21">
        <f t="shared" si="163"/>
        <v>0</v>
      </c>
      <c r="P511" s="21">
        <f t="shared" si="164"/>
        <v>0</v>
      </c>
      <c r="R511" s="22" t="e">
        <f>$I511*IF($E511&gt;_xlfn.AGGREGATE(4,6,'KM Data'!$E$6:$E$205),NA(),INDEX('KM Data'!$F$6:$F$205,MATCH($E511,'KM Data'!$E$6:$E$205,1)))</f>
        <v>#N/A</v>
      </c>
      <c r="S511" s="21">
        <f t="shared" si="152"/>
        <v>6.283964596746372E-2</v>
      </c>
      <c r="T511" s="8">
        <f t="shared" si="155"/>
        <v>2.2716957933940352E-3</v>
      </c>
      <c r="U511" s="21">
        <f t="shared" si="165"/>
        <v>0</v>
      </c>
      <c r="V511" s="21">
        <f t="shared" si="166"/>
        <v>0</v>
      </c>
      <c r="W511" s="21">
        <f t="shared" si="167"/>
        <v>0</v>
      </c>
      <c r="Y511" s="23">
        <f t="shared" si="156"/>
        <v>0</v>
      </c>
      <c r="Z511" s="6">
        <f t="shared" si="157"/>
        <v>0</v>
      </c>
      <c r="AA511" s="6">
        <f t="shared" si="158"/>
        <v>1</v>
      </c>
      <c r="AB511" s="6">
        <f t="shared" si="159"/>
        <v>1</v>
      </c>
    </row>
    <row r="512" spans="1:28" x14ac:dyDescent="0.35">
      <c r="A512">
        <v>503</v>
      </c>
      <c r="B512" s="17">
        <f t="shared" si="160"/>
        <v>15279.625</v>
      </c>
      <c r="C512" s="17">
        <f t="shared" si="153"/>
        <v>15310.0625</v>
      </c>
      <c r="D512" s="17">
        <f t="shared" si="161"/>
        <v>15294.84375</v>
      </c>
      <c r="E512" s="17">
        <f t="shared" si="147"/>
        <v>502.5</v>
      </c>
      <c r="F512" s="17">
        <f t="shared" si="148"/>
        <v>101.875</v>
      </c>
      <c r="G512" s="21">
        <f>INDEX('Life Tables'!$F$8:$F$123,MATCH(Engine!F512,'Life Tables'!$B$8:$B$123,1))</f>
        <v>1</v>
      </c>
      <c r="H512" s="8">
        <f t="shared" si="149"/>
        <v>0.24403137023631633</v>
      </c>
      <c r="I512">
        <f t="shared" si="150"/>
        <v>1</v>
      </c>
      <c r="K512" s="22" t="e">
        <f>$I512*IF($E512&gt;_xlfn.AGGREGATE(4,6,'KM Data'!$B$6:$B$310),NA(),INDEX('KM Data'!$C$6:$C$310,MATCH($E512,'KM Data'!$B$6:$B$310,1)))</f>
        <v>#N/A</v>
      </c>
      <c r="L512" s="21">
        <f t="shared" si="151"/>
        <v>9.8856543930475604E-3</v>
      </c>
      <c r="M512" s="20">
        <f t="shared" si="154"/>
        <v>3.4984103668797006E-3</v>
      </c>
      <c r="N512" s="21">
        <f t="shared" si="162"/>
        <v>0</v>
      </c>
      <c r="O512" s="21">
        <f t="shared" si="163"/>
        <v>0</v>
      </c>
      <c r="P512" s="21">
        <f t="shared" si="164"/>
        <v>0</v>
      </c>
      <c r="R512" s="22" t="e">
        <f>$I512*IF($E512&gt;_xlfn.AGGREGATE(4,6,'KM Data'!$E$6:$E$205),NA(),INDEX('KM Data'!$F$6:$F$205,MATCH($E512,'KM Data'!$E$6:$E$205,1)))</f>
        <v>#N/A</v>
      </c>
      <c r="S512" s="21">
        <f t="shared" si="152"/>
        <v>6.2696893408061061E-2</v>
      </c>
      <c r="T512" s="8">
        <f t="shared" si="155"/>
        <v>2.2683204241131794E-3</v>
      </c>
      <c r="U512" s="21">
        <f t="shared" si="165"/>
        <v>0</v>
      </c>
      <c r="V512" s="21">
        <f t="shared" si="166"/>
        <v>0</v>
      </c>
      <c r="W512" s="21">
        <f t="shared" si="167"/>
        <v>0</v>
      </c>
      <c r="Y512" s="23">
        <f t="shared" si="156"/>
        <v>0</v>
      </c>
      <c r="Z512" s="6">
        <f t="shared" si="157"/>
        <v>0</v>
      </c>
      <c r="AA512" s="6">
        <f t="shared" si="158"/>
        <v>1</v>
      </c>
      <c r="AB512" s="6">
        <f t="shared" si="159"/>
        <v>1</v>
      </c>
    </row>
    <row r="513" spans="1:28" x14ac:dyDescent="0.35">
      <c r="A513">
        <v>504</v>
      </c>
      <c r="B513" s="17">
        <f t="shared" si="160"/>
        <v>15310.0625</v>
      </c>
      <c r="C513" s="17">
        <f t="shared" si="153"/>
        <v>15340.5</v>
      </c>
      <c r="D513" s="17">
        <f t="shared" si="161"/>
        <v>15325.28125</v>
      </c>
      <c r="E513" s="17">
        <f t="shared" si="147"/>
        <v>503.5</v>
      </c>
      <c r="F513" s="17">
        <f t="shared" si="148"/>
        <v>101.95833333333334</v>
      </c>
      <c r="G513" s="21">
        <f>INDEX('Life Tables'!$F$8:$F$123,MATCH(Engine!F513,'Life Tables'!$B$8:$B$123,1))</f>
        <v>1</v>
      </c>
      <c r="H513" s="8">
        <f t="shared" si="149"/>
        <v>0.2357791016776003</v>
      </c>
      <c r="I513">
        <f t="shared" si="150"/>
        <v>1</v>
      </c>
      <c r="K513" s="22" t="e">
        <f>$I513*IF($E513&gt;_xlfn.AGGREGATE(4,6,'KM Data'!$B$6:$B$310),NA(),INDEX('KM Data'!$C$6:$C$310,MATCH($E513,'KM Data'!$B$6:$B$310,1)))</f>
        <v>#N/A</v>
      </c>
      <c r="L513" s="21">
        <f t="shared" si="151"/>
        <v>9.8510703172355329E-3</v>
      </c>
      <c r="M513" s="20">
        <f t="shared" si="154"/>
        <v>3.4930279337401782E-3</v>
      </c>
      <c r="N513" s="21">
        <f t="shared" si="162"/>
        <v>0</v>
      </c>
      <c r="O513" s="21">
        <f t="shared" si="163"/>
        <v>0</v>
      </c>
      <c r="P513" s="21">
        <f t="shared" si="164"/>
        <v>0</v>
      </c>
      <c r="R513" s="22" t="e">
        <f>$I513*IF($E513&gt;_xlfn.AGGREGATE(4,6,'KM Data'!$E$6:$E$205),NA(),INDEX('KM Data'!$F$6:$F$205,MATCH($E513,'KM Data'!$E$6:$E$205,1)))</f>
        <v>#N/A</v>
      </c>
      <c r="S513" s="21">
        <f t="shared" si="152"/>
        <v>6.2554676764215111E-2</v>
      </c>
      <c r="T513" s="8">
        <f t="shared" si="155"/>
        <v>2.2649563109352622E-3</v>
      </c>
      <c r="U513" s="21">
        <f t="shared" si="165"/>
        <v>0</v>
      </c>
      <c r="V513" s="21">
        <f t="shared" si="166"/>
        <v>0</v>
      </c>
      <c r="W513" s="21">
        <f t="shared" si="167"/>
        <v>0</v>
      </c>
      <c r="Y513" s="23">
        <f t="shared" si="156"/>
        <v>0</v>
      </c>
      <c r="Z513" s="6">
        <f t="shared" si="157"/>
        <v>0</v>
      </c>
      <c r="AA513" s="6">
        <f t="shared" si="158"/>
        <v>1</v>
      </c>
      <c r="AB513" s="6">
        <f t="shared" si="159"/>
        <v>1</v>
      </c>
    </row>
    <row r="514" spans="1:28" x14ac:dyDescent="0.35">
      <c r="A514">
        <v>505</v>
      </c>
      <c r="B514" s="17">
        <f t="shared" si="160"/>
        <v>15340.5</v>
      </c>
      <c r="C514" s="17">
        <f t="shared" si="153"/>
        <v>15370.9375</v>
      </c>
      <c r="D514" s="17">
        <f t="shared" si="161"/>
        <v>15355.71875</v>
      </c>
      <c r="E514" s="17">
        <f t="shared" si="147"/>
        <v>504.5</v>
      </c>
      <c r="F514" s="17">
        <f t="shared" si="148"/>
        <v>102.04166666666666</v>
      </c>
      <c r="G514" s="21">
        <f>INDEX('Life Tables'!$F$8:$F$123,MATCH(Engine!F514,'Life Tables'!$B$8:$B$123,1))</f>
        <v>1</v>
      </c>
      <c r="H514" s="8">
        <f t="shared" si="149"/>
        <v>0.2357791016776003</v>
      </c>
      <c r="I514">
        <f t="shared" si="150"/>
        <v>1</v>
      </c>
      <c r="K514" s="22" t="e">
        <f>$I514*IF($E514&gt;_xlfn.AGGREGATE(4,6,'KM Data'!$B$6:$B$310),NA(),INDEX('KM Data'!$C$6:$C$310,MATCH($E514,'KM Data'!$B$6:$B$310,1)))</f>
        <v>#N/A</v>
      </c>
      <c r="L514" s="21">
        <f t="shared" si="151"/>
        <v>9.8166602534401903E-3</v>
      </c>
      <c r="M514" s="20">
        <f t="shared" si="154"/>
        <v>3.4876638350919142E-3</v>
      </c>
      <c r="N514" s="21">
        <f t="shared" si="162"/>
        <v>0</v>
      </c>
      <c r="O514" s="21">
        <f t="shared" si="163"/>
        <v>0</v>
      </c>
      <c r="P514" s="21">
        <f t="shared" si="164"/>
        <v>0</v>
      </c>
      <c r="R514" s="22" t="e">
        <f>$I514*IF($E514&gt;_xlfn.AGGREGATE(4,6,'KM Data'!$E$6:$E$205),NA(),INDEX('KM Data'!$F$6:$F$205,MATCH($E514,'KM Data'!$E$6:$E$205,1)))</f>
        <v>#N/A</v>
      </c>
      <c r="S514" s="21">
        <f t="shared" si="152"/>
        <v>6.241299315429949E-2</v>
      </c>
      <c r="T514" s="8">
        <f t="shared" si="155"/>
        <v>2.2616033951086134E-3</v>
      </c>
      <c r="U514" s="21">
        <f t="shared" si="165"/>
        <v>0</v>
      </c>
      <c r="V514" s="21">
        <f t="shared" si="166"/>
        <v>0</v>
      </c>
      <c r="W514" s="21">
        <f t="shared" si="167"/>
        <v>0</v>
      </c>
      <c r="Y514" s="23">
        <f t="shared" si="156"/>
        <v>0</v>
      </c>
      <c r="Z514" s="6">
        <f t="shared" si="157"/>
        <v>0</v>
      </c>
      <c r="AA514" s="6">
        <f t="shared" si="158"/>
        <v>1</v>
      </c>
      <c r="AB514" s="6">
        <f t="shared" si="159"/>
        <v>1</v>
      </c>
    </row>
    <row r="515" spans="1:28" x14ac:dyDescent="0.35">
      <c r="A515">
        <v>506</v>
      </c>
      <c r="B515" s="17">
        <f t="shared" si="160"/>
        <v>15370.9375</v>
      </c>
      <c r="C515" s="17">
        <f t="shared" si="153"/>
        <v>15401.375</v>
      </c>
      <c r="D515" s="17">
        <f t="shared" si="161"/>
        <v>15386.15625</v>
      </c>
      <c r="E515" s="17">
        <f t="shared" si="147"/>
        <v>505.5</v>
      </c>
      <c r="F515" s="17">
        <f t="shared" si="148"/>
        <v>102.125</v>
      </c>
      <c r="G515" s="21">
        <f>INDEX('Life Tables'!$F$8:$F$123,MATCH(Engine!F515,'Life Tables'!$B$8:$B$123,1))</f>
        <v>1</v>
      </c>
      <c r="H515" s="8">
        <f t="shared" si="149"/>
        <v>0.2357791016776003</v>
      </c>
      <c r="I515">
        <f t="shared" si="150"/>
        <v>1</v>
      </c>
      <c r="K515" s="22" t="e">
        <f>$I515*IF($E515&gt;_xlfn.AGGREGATE(4,6,'KM Data'!$B$6:$B$310),NA(),INDEX('KM Data'!$C$6:$C$310,MATCH($E515,'KM Data'!$B$6:$B$310,1)))</f>
        <v>#N/A</v>
      </c>
      <c r="L515" s="21">
        <f t="shared" si="151"/>
        <v>9.7824230424928826E-3</v>
      </c>
      <c r="M515" s="20">
        <f t="shared" si="154"/>
        <v>3.4823179737579757E-3</v>
      </c>
      <c r="N515" s="21">
        <f t="shared" si="162"/>
        <v>0</v>
      </c>
      <c r="O515" s="21">
        <f t="shared" si="163"/>
        <v>0</v>
      </c>
      <c r="P515" s="21">
        <f t="shared" si="164"/>
        <v>0</v>
      </c>
      <c r="R515" s="22" t="e">
        <f>$I515*IF($E515&gt;_xlfn.AGGREGATE(4,6,'KM Data'!$E$6:$E$205),NA(),INDEX('KM Data'!$F$6:$F$205,MATCH($E515,'KM Data'!$E$6:$E$205,1)))</f>
        <v>#N/A</v>
      </c>
      <c r="S515" s="21">
        <f t="shared" si="152"/>
        <v>6.2271839717082833E-2</v>
      </c>
      <c r="T515" s="8">
        <f t="shared" si="155"/>
        <v>2.2582616183015602E-3</v>
      </c>
      <c r="U515" s="21">
        <f t="shared" si="165"/>
        <v>0</v>
      </c>
      <c r="V515" s="21">
        <f t="shared" si="166"/>
        <v>0</v>
      </c>
      <c r="W515" s="21">
        <f t="shared" si="167"/>
        <v>0</v>
      </c>
      <c r="Y515" s="23">
        <f t="shared" si="156"/>
        <v>0</v>
      </c>
      <c r="Z515" s="6">
        <f t="shared" si="157"/>
        <v>0</v>
      </c>
      <c r="AA515" s="6">
        <f t="shared" si="158"/>
        <v>1</v>
      </c>
      <c r="AB515" s="6">
        <f t="shared" si="159"/>
        <v>1</v>
      </c>
    </row>
    <row r="516" spans="1:28" x14ac:dyDescent="0.35">
      <c r="A516">
        <v>507</v>
      </c>
      <c r="B516" s="17">
        <f t="shared" si="160"/>
        <v>15401.375</v>
      </c>
      <c r="C516" s="17">
        <f t="shared" si="153"/>
        <v>15431.8125</v>
      </c>
      <c r="D516" s="17">
        <f t="shared" si="161"/>
        <v>15416.59375</v>
      </c>
      <c r="E516" s="17">
        <f t="shared" si="147"/>
        <v>506.5</v>
      </c>
      <c r="F516" s="17">
        <f t="shared" si="148"/>
        <v>102.20833333333334</v>
      </c>
      <c r="G516" s="21">
        <f>INDEX('Life Tables'!$F$8:$F$123,MATCH(Engine!F516,'Life Tables'!$B$8:$B$123,1))</f>
        <v>1</v>
      </c>
      <c r="H516" s="8">
        <f t="shared" si="149"/>
        <v>0.2357791016776003</v>
      </c>
      <c r="I516">
        <f t="shared" si="150"/>
        <v>1</v>
      </c>
      <c r="K516" s="22" t="e">
        <f>$I516*IF($E516&gt;_xlfn.AGGREGATE(4,6,'KM Data'!$B$6:$B$310),NA(),INDEX('KM Data'!$C$6:$C$310,MATCH($E516,'KM Data'!$B$6:$B$310,1)))</f>
        <v>#N/A</v>
      </c>
      <c r="L516" s="21">
        <f t="shared" si="151"/>
        <v>9.7483575349051055E-3</v>
      </c>
      <c r="M516" s="20">
        <f t="shared" si="154"/>
        <v>3.4769902531839314E-3</v>
      </c>
      <c r="N516" s="21">
        <f t="shared" si="162"/>
        <v>0</v>
      </c>
      <c r="O516" s="21">
        <f t="shared" si="163"/>
        <v>0</v>
      </c>
      <c r="P516" s="21">
        <f t="shared" si="164"/>
        <v>0</v>
      </c>
      <c r="R516" s="22" t="e">
        <f>$I516*IF($E516&gt;_xlfn.AGGREGATE(4,6,'KM Data'!$E$6:$E$205),NA(),INDEX('KM Data'!$F$6:$F$205,MATCH($E516,'KM Data'!$E$6:$E$205,1)))</f>
        <v>#N/A</v>
      </c>
      <c r="S516" s="21">
        <f t="shared" si="152"/>
        <v>6.2131213611548719E-2</v>
      </c>
      <c r="T516" s="8">
        <f t="shared" si="155"/>
        <v>2.2549309225983194E-3</v>
      </c>
      <c r="U516" s="21">
        <f t="shared" si="165"/>
        <v>0</v>
      </c>
      <c r="V516" s="21">
        <f t="shared" si="166"/>
        <v>0</v>
      </c>
      <c r="W516" s="21">
        <f t="shared" si="167"/>
        <v>0</v>
      </c>
      <c r="Y516" s="23">
        <f t="shared" si="156"/>
        <v>0</v>
      </c>
      <c r="Z516" s="6">
        <f t="shared" si="157"/>
        <v>0</v>
      </c>
      <c r="AA516" s="6">
        <f t="shared" si="158"/>
        <v>1</v>
      </c>
      <c r="AB516" s="6">
        <f t="shared" si="159"/>
        <v>1</v>
      </c>
    </row>
    <row r="517" spans="1:28" x14ac:dyDescent="0.35">
      <c r="A517">
        <v>508</v>
      </c>
      <c r="B517" s="17">
        <f t="shared" si="160"/>
        <v>15431.8125</v>
      </c>
      <c r="C517" s="17">
        <f t="shared" si="153"/>
        <v>15462.25</v>
      </c>
      <c r="D517" s="17">
        <f t="shared" si="161"/>
        <v>15447.03125</v>
      </c>
      <c r="E517" s="17">
        <f t="shared" si="147"/>
        <v>507.5</v>
      </c>
      <c r="F517" s="17">
        <f t="shared" si="148"/>
        <v>102.29166666666666</v>
      </c>
      <c r="G517" s="21">
        <f>INDEX('Life Tables'!$F$8:$F$123,MATCH(Engine!F517,'Life Tables'!$B$8:$B$123,1))</f>
        <v>1</v>
      </c>
      <c r="H517" s="8">
        <f t="shared" si="149"/>
        <v>0.2357791016776003</v>
      </c>
      <c r="I517">
        <f t="shared" si="150"/>
        <v>1</v>
      </c>
      <c r="K517" s="22" t="e">
        <f>$I517*IF($E517&gt;_xlfn.AGGREGATE(4,6,'KM Data'!$B$6:$B$310),NA(),INDEX('KM Data'!$C$6:$C$310,MATCH($E517,'KM Data'!$B$6:$B$310,1)))</f>
        <v>#N/A</v>
      </c>
      <c r="L517" s="21">
        <f t="shared" si="151"/>
        <v>9.7144625907716886E-3</v>
      </c>
      <c r="M517" s="20">
        <f t="shared" si="154"/>
        <v>3.4716805775714121E-3</v>
      </c>
      <c r="N517" s="21">
        <f t="shared" si="162"/>
        <v>0</v>
      </c>
      <c r="O517" s="21">
        <f t="shared" si="163"/>
        <v>0</v>
      </c>
      <c r="P517" s="21">
        <f t="shared" si="164"/>
        <v>0</v>
      </c>
      <c r="R517" s="22" t="e">
        <f>$I517*IF($E517&gt;_xlfn.AGGREGATE(4,6,'KM Data'!$E$6:$E$205),NA(),INDEX('KM Data'!$F$6:$F$205,MATCH($E517,'KM Data'!$E$6:$E$205,1)))</f>
        <v>#N/A</v>
      </c>
      <c r="S517" s="21">
        <f t="shared" si="152"/>
        <v>6.1991112016717476E-2</v>
      </c>
      <c r="T517" s="8">
        <f t="shared" si="155"/>
        <v>2.2516112504887831E-3</v>
      </c>
      <c r="U517" s="21">
        <f t="shared" si="165"/>
        <v>0</v>
      </c>
      <c r="V517" s="21">
        <f t="shared" si="166"/>
        <v>0</v>
      </c>
      <c r="W517" s="21">
        <f t="shared" si="167"/>
        <v>0</v>
      </c>
      <c r="Y517" s="23">
        <f t="shared" si="156"/>
        <v>0</v>
      </c>
      <c r="Z517" s="6">
        <f t="shared" si="157"/>
        <v>0</v>
      </c>
      <c r="AA517" s="6">
        <f t="shared" si="158"/>
        <v>1</v>
      </c>
      <c r="AB517" s="6">
        <f t="shared" si="159"/>
        <v>1</v>
      </c>
    </row>
    <row r="518" spans="1:28" x14ac:dyDescent="0.35">
      <c r="A518">
        <v>509</v>
      </c>
      <c r="B518" s="17">
        <f t="shared" si="160"/>
        <v>15462.25</v>
      </c>
      <c r="C518" s="17">
        <f t="shared" si="153"/>
        <v>15492.6875</v>
      </c>
      <c r="D518" s="17">
        <f t="shared" si="161"/>
        <v>15477.46875</v>
      </c>
      <c r="E518" s="17">
        <f t="shared" si="147"/>
        <v>508.5</v>
      </c>
      <c r="F518" s="17">
        <f t="shared" si="148"/>
        <v>102.375</v>
      </c>
      <c r="G518" s="21">
        <f>INDEX('Life Tables'!$F$8:$F$123,MATCH(Engine!F518,'Life Tables'!$B$8:$B$123,1))</f>
        <v>1</v>
      </c>
      <c r="H518" s="8">
        <f t="shared" si="149"/>
        <v>0.2357791016776003</v>
      </c>
      <c r="I518">
        <f t="shared" si="150"/>
        <v>1</v>
      </c>
      <c r="K518" s="22" t="e">
        <f>$I518*IF($E518&gt;_xlfn.AGGREGATE(4,6,'KM Data'!$B$6:$B$310),NA(),INDEX('KM Data'!$C$6:$C$310,MATCH($E518,'KM Data'!$B$6:$B$310,1)))</f>
        <v>#N/A</v>
      </c>
      <c r="L518" s="21">
        <f t="shared" si="151"/>
        <v>9.6807370796737624E-3</v>
      </c>
      <c r="M518" s="20">
        <f t="shared" si="154"/>
        <v>3.4663888517617591E-3</v>
      </c>
      <c r="N518" s="21">
        <f t="shared" si="162"/>
        <v>0</v>
      </c>
      <c r="O518" s="21">
        <f t="shared" si="163"/>
        <v>0</v>
      </c>
      <c r="P518" s="21">
        <f t="shared" si="164"/>
        <v>0</v>
      </c>
      <c r="R518" s="22" t="e">
        <f>$I518*IF($E518&gt;_xlfn.AGGREGATE(4,6,'KM Data'!$E$6:$E$205),NA(),INDEX('KM Data'!$F$6:$F$205,MATCH($E518,'KM Data'!$E$6:$E$205,1)))</f>
        <v>#N/A</v>
      </c>
      <c r="S518" s="21">
        <f t="shared" si="152"/>
        <v>6.1851532131470321E-2</v>
      </c>
      <c r="T518" s="8">
        <f t="shared" si="155"/>
        <v>2.2483025448712946E-3</v>
      </c>
      <c r="U518" s="21">
        <f t="shared" si="165"/>
        <v>0</v>
      </c>
      <c r="V518" s="21">
        <f t="shared" si="166"/>
        <v>0</v>
      </c>
      <c r="W518" s="21">
        <f t="shared" si="167"/>
        <v>0</v>
      </c>
      <c r="Y518" s="23">
        <f t="shared" si="156"/>
        <v>0</v>
      </c>
      <c r="Z518" s="6">
        <f t="shared" si="157"/>
        <v>0</v>
      </c>
      <c r="AA518" s="6">
        <f t="shared" si="158"/>
        <v>1</v>
      </c>
      <c r="AB518" s="6">
        <f t="shared" si="159"/>
        <v>1</v>
      </c>
    </row>
    <row r="519" spans="1:28" x14ac:dyDescent="0.35">
      <c r="A519">
        <v>510</v>
      </c>
      <c r="B519" s="17">
        <f t="shared" si="160"/>
        <v>15492.6875</v>
      </c>
      <c r="C519" s="17">
        <f t="shared" si="153"/>
        <v>15523.125</v>
      </c>
      <c r="D519" s="17">
        <f t="shared" si="161"/>
        <v>15507.90625</v>
      </c>
      <c r="E519" s="17">
        <f t="shared" si="147"/>
        <v>509.5</v>
      </c>
      <c r="F519" s="17">
        <f t="shared" si="148"/>
        <v>102.45833333333334</v>
      </c>
      <c r="G519" s="21">
        <f>INDEX('Life Tables'!$F$8:$F$123,MATCH(Engine!F519,'Life Tables'!$B$8:$B$123,1))</f>
        <v>1</v>
      </c>
      <c r="H519" s="8">
        <f t="shared" si="149"/>
        <v>0.2357791016776003</v>
      </c>
      <c r="I519">
        <f t="shared" si="150"/>
        <v>1</v>
      </c>
      <c r="K519" s="22" t="e">
        <f>$I519*IF($E519&gt;_xlfn.AGGREGATE(4,6,'KM Data'!$B$6:$B$310),NA(),INDEX('KM Data'!$C$6:$C$310,MATCH($E519,'KM Data'!$B$6:$B$310,1)))</f>
        <v>#N/A</v>
      </c>
      <c r="L519" s="21">
        <f t="shared" si="151"/>
        <v>9.6471798805839448E-3</v>
      </c>
      <c r="M519" s="20">
        <f t="shared" si="154"/>
        <v>3.4611149813331687E-3</v>
      </c>
      <c r="N519" s="21">
        <f t="shared" si="162"/>
        <v>0</v>
      </c>
      <c r="O519" s="21">
        <f t="shared" si="163"/>
        <v>0</v>
      </c>
      <c r="P519" s="21">
        <f t="shared" si="164"/>
        <v>0</v>
      </c>
      <c r="R519" s="22" t="e">
        <f>$I519*IF($E519&gt;_xlfn.AGGREGATE(4,6,'KM Data'!$E$6:$E$205),NA(),INDEX('KM Data'!$F$6:$F$205,MATCH($E519,'KM Data'!$E$6:$E$205,1)))</f>
        <v>#N/A</v>
      </c>
      <c r="S519" s="21">
        <f t="shared" si="152"/>
        <v>6.171247117437495E-2</v>
      </c>
      <c r="T519" s="8">
        <f t="shared" si="155"/>
        <v>2.2450047490496505E-3</v>
      </c>
      <c r="U519" s="21">
        <f t="shared" si="165"/>
        <v>0</v>
      </c>
      <c r="V519" s="21">
        <f t="shared" si="166"/>
        <v>0</v>
      </c>
      <c r="W519" s="21">
        <f t="shared" si="167"/>
        <v>0</v>
      </c>
      <c r="Y519" s="23">
        <f t="shared" si="156"/>
        <v>0</v>
      </c>
      <c r="Z519" s="6">
        <f t="shared" si="157"/>
        <v>0</v>
      </c>
      <c r="AA519" s="6">
        <f t="shared" si="158"/>
        <v>1</v>
      </c>
      <c r="AB519" s="6">
        <f t="shared" si="159"/>
        <v>1</v>
      </c>
    </row>
    <row r="520" spans="1:28" x14ac:dyDescent="0.35">
      <c r="A520">
        <v>511</v>
      </c>
      <c r="B520" s="17">
        <f t="shared" si="160"/>
        <v>15523.125</v>
      </c>
      <c r="C520" s="17">
        <f t="shared" si="153"/>
        <v>15553.5625</v>
      </c>
      <c r="D520" s="17">
        <f t="shared" si="161"/>
        <v>15538.34375</v>
      </c>
      <c r="E520" s="17">
        <f t="shared" si="147"/>
        <v>510.5</v>
      </c>
      <c r="F520" s="17">
        <f t="shared" si="148"/>
        <v>102.54166666666666</v>
      </c>
      <c r="G520" s="21">
        <f>INDEX('Life Tables'!$F$8:$F$123,MATCH(Engine!F520,'Life Tables'!$B$8:$B$123,1))</f>
        <v>1</v>
      </c>
      <c r="H520" s="8">
        <f t="shared" si="149"/>
        <v>0.2357791016776003</v>
      </c>
      <c r="I520">
        <f t="shared" si="150"/>
        <v>1</v>
      </c>
      <c r="K520" s="22" t="e">
        <f>$I520*IF($E520&gt;_xlfn.AGGREGATE(4,6,'KM Data'!$B$6:$B$310),NA(),INDEX('KM Data'!$C$6:$C$310,MATCH($E520,'KM Data'!$B$6:$B$310,1)))</f>
        <v>#N/A</v>
      </c>
      <c r="L520" s="21">
        <f t="shared" si="151"/>
        <v>9.6137898817716394E-3</v>
      </c>
      <c r="M520" s="20">
        <f t="shared" si="154"/>
        <v>3.4558588724806771E-3</v>
      </c>
      <c r="N520" s="21">
        <f t="shared" si="162"/>
        <v>0</v>
      </c>
      <c r="O520" s="21">
        <f t="shared" si="163"/>
        <v>0</v>
      </c>
      <c r="P520" s="21">
        <f t="shared" si="164"/>
        <v>0</v>
      </c>
      <c r="R520" s="22" t="e">
        <f>$I520*IF($E520&gt;_xlfn.AGGREGATE(4,6,'KM Data'!$E$6:$E$205),NA(),INDEX('KM Data'!$F$6:$F$205,MATCH($E520,'KM Data'!$E$6:$E$205,1)))</f>
        <v>#N/A</v>
      </c>
      <c r="S520" s="21">
        <f t="shared" si="152"/>
        <v>6.1573926383512889E-2</v>
      </c>
      <c r="T520" s="8">
        <f t="shared" si="155"/>
        <v>2.2417178067289933E-3</v>
      </c>
      <c r="U520" s="21">
        <f t="shared" si="165"/>
        <v>0</v>
      </c>
      <c r="V520" s="21">
        <f t="shared" si="166"/>
        <v>0</v>
      </c>
      <c r="W520" s="21">
        <f t="shared" si="167"/>
        <v>0</v>
      </c>
      <c r="Y520" s="23">
        <f t="shared" si="156"/>
        <v>0</v>
      </c>
      <c r="Z520" s="6">
        <f t="shared" si="157"/>
        <v>0</v>
      </c>
      <c r="AA520" s="6">
        <f t="shared" si="158"/>
        <v>1</v>
      </c>
      <c r="AB520" s="6">
        <f t="shared" si="159"/>
        <v>1</v>
      </c>
    </row>
    <row r="521" spans="1:28" x14ac:dyDescent="0.35">
      <c r="A521">
        <v>512</v>
      </c>
      <c r="B521" s="17">
        <f t="shared" si="160"/>
        <v>15553.5625</v>
      </c>
      <c r="C521" s="17">
        <f t="shared" si="153"/>
        <v>15584</v>
      </c>
      <c r="D521" s="17">
        <f t="shared" si="161"/>
        <v>15568.78125</v>
      </c>
      <c r="E521" s="17">
        <f t="shared" ref="E521:E584" si="168">D521/Days_per_Month</f>
        <v>511.5</v>
      </c>
      <c r="F521" s="17">
        <f t="shared" ref="F521:F584" si="169">Patient_Baseline_Age+(D521/365.25)</f>
        <v>102.625</v>
      </c>
      <c r="G521" s="21">
        <f>INDEX('Life Tables'!$F$8:$F$123,MATCH(Engine!F521,'Life Tables'!$B$8:$B$123,1))</f>
        <v>1</v>
      </c>
      <c r="H521" s="8">
        <f t="shared" ref="H521:H584" si="170">1/(1+Discount_Rate)^ROUNDDOWN(A521/12,0)</f>
        <v>0.2357791016776003</v>
      </c>
      <c r="I521">
        <f t="shared" ref="I521:I584" si="171">IF(E521&lt;Min_Time_Horizon__5_Years___60_Months,1,IF(C521/Days_per_Year&lt;Max_Time_Horizon__in_Years,1,NA()))</f>
        <v>1</v>
      </c>
      <c r="K521" s="22" t="e">
        <f>$I521*IF($E521&gt;_xlfn.AGGREGATE(4,6,'KM Data'!$B$6:$B$310),NA(),INDEX('KM Data'!$C$6:$C$310,MATCH($E521,'KM Data'!$B$6:$B$310,1)))</f>
        <v>#N/A</v>
      </c>
      <c r="L521" s="21">
        <f t="shared" ref="L521:L584" si="172">$I521*CHOOSE(MATCH(K$4,label_curves,0),
    EXP(-$E521*EXP(L$5)),
    1-((EXP(GAMMALN(EXP(L$5)))*_xlfn.GAMMA.DIST(EXP(L$6)*$E521,EXP(L$5),1,TRUE))/_xlfn.GAMMA(EXP(L$5))),
    IF($E521=0,1, IF(L$7&gt;0,1,0) + IF(L$7&gt;0,-1,1) * IFERROR(_xlfn.GAMMA.DIST((L$7^-2)*EXP(L$7*((LN($E521)-(L$5))/EXP(L$6))),L$7^-2,1,TRUE),0)),
    EXP(-(EXP(L$5)/L$6)*(EXP(L$6*$E521)-1)),
    1/(1+($E521/EXP(L$5))^EXP(L$6)),
    1-IFERROR(_xlfn.LOGNORM.DIST($E521,L$5,EXP(L$6),TRUE),0),
    EXP(-(($E521/EXP(L$5))^EXP(L$6)))
)</f>
        <v>9.5805659807105537E-3</v>
      </c>
      <c r="M521" s="20">
        <f t="shared" si="154"/>
        <v>3.4506204320875478E-3</v>
      </c>
      <c r="N521" s="21">
        <f t="shared" si="162"/>
        <v>0</v>
      </c>
      <c r="O521" s="21">
        <f t="shared" si="163"/>
        <v>0</v>
      </c>
      <c r="P521" s="21">
        <f t="shared" si="164"/>
        <v>0</v>
      </c>
      <c r="R521" s="22" t="e">
        <f>$I521*IF($E521&gt;_xlfn.AGGREGATE(4,6,'KM Data'!$E$6:$E$205),NA(),INDEX('KM Data'!$F$6:$F$205,MATCH($E521,'KM Data'!$E$6:$E$205,1)))</f>
        <v>#N/A</v>
      </c>
      <c r="S521" s="21">
        <f t="shared" ref="S521:S584" si="173">$I521*CHOOSE(MATCH(R$4,label_curves,0),
    EXP(-$E521*EXP(S$5)),
    1-((EXP(GAMMALN(EXP(S$5)))*_xlfn.GAMMA.DIST(EXP(S$6)*$E521,EXP(S$5),1,TRUE))/_xlfn.GAMMA(EXP(S$5))),
    IF($E521=0,1, IF(S$7&gt;0,1,0) + IF(S$7&gt;0,-1,1) * IFERROR(_xlfn.GAMMA.DIST((S$7^-2)*EXP(S$7*((LN($E521)-(S$5))/EXP(S$6))),S$7^-2,1,TRUE),0)),
    EXP(-(EXP(S$5)/S$6)*(EXP(S$6*$E521)-1)),
    1/(1+($E521/EXP(S$5))^EXP(S$6)),
    1-IFERROR(_xlfn.LOGNORM.DIST($E521,S$5,EXP(S$6),TRUE),0),
    EXP(-(($E521/EXP(S$5))^EXP(S$6)))
)</f>
        <v>6.143589501630875E-2</v>
      </c>
      <c r="T521" s="8">
        <f t="shared" si="155"/>
        <v>2.2384416619974923E-3</v>
      </c>
      <c r="U521" s="21">
        <f t="shared" si="165"/>
        <v>0</v>
      </c>
      <c r="V521" s="21">
        <f t="shared" si="166"/>
        <v>0</v>
      </c>
      <c r="W521" s="21">
        <f t="shared" si="167"/>
        <v>0</v>
      </c>
      <c r="Y521" s="23">
        <f t="shared" si="156"/>
        <v>0</v>
      </c>
      <c r="Z521" s="6">
        <f t="shared" si="157"/>
        <v>0</v>
      </c>
      <c r="AA521" s="6">
        <f t="shared" si="158"/>
        <v>1</v>
      </c>
      <c r="AB521" s="6">
        <f t="shared" si="159"/>
        <v>1</v>
      </c>
    </row>
    <row r="522" spans="1:28" x14ac:dyDescent="0.35">
      <c r="A522">
        <v>513</v>
      </c>
      <c r="B522" s="17">
        <f t="shared" si="160"/>
        <v>15584</v>
      </c>
      <c r="C522" s="17">
        <f t="shared" ref="C522:C585" si="174">B522+Days_per_Month</f>
        <v>15614.4375</v>
      </c>
      <c r="D522" s="17">
        <f t="shared" si="161"/>
        <v>15599.21875</v>
      </c>
      <c r="E522" s="17">
        <f t="shared" si="168"/>
        <v>512.5</v>
      </c>
      <c r="F522" s="17">
        <f t="shared" si="169"/>
        <v>102.70833333333334</v>
      </c>
      <c r="G522" s="21">
        <f>INDEX('Life Tables'!$F$8:$F$123,MATCH(Engine!F522,'Life Tables'!$B$8:$B$123,1))</f>
        <v>1</v>
      </c>
      <c r="H522" s="8">
        <f t="shared" si="170"/>
        <v>0.2357791016776003</v>
      </c>
      <c r="I522">
        <f t="shared" si="171"/>
        <v>1</v>
      </c>
      <c r="K522" s="22" t="e">
        <f>$I522*IF($E522&gt;_xlfn.AGGREGATE(4,6,'KM Data'!$B$6:$B$310),NA(),INDEX('KM Data'!$C$6:$C$310,MATCH($E522,'KM Data'!$B$6:$B$310,1)))</f>
        <v>#N/A</v>
      </c>
      <c r="L522" s="21">
        <f t="shared" si="172"/>
        <v>9.5475070839865506E-3</v>
      </c>
      <c r="M522" s="20">
        <f t="shared" ref="M522:M585" si="175">1-(L523/L522)</f>
        <v>3.4453995677516946E-3</v>
      </c>
      <c r="N522" s="21">
        <f t="shared" si="162"/>
        <v>0</v>
      </c>
      <c r="O522" s="21">
        <f t="shared" si="163"/>
        <v>0</v>
      </c>
      <c r="P522" s="21">
        <f t="shared" si="164"/>
        <v>0</v>
      </c>
      <c r="R522" s="22" t="e">
        <f>$I522*IF($E522&gt;_xlfn.AGGREGATE(4,6,'KM Data'!$E$6:$E$205),NA(),INDEX('KM Data'!$F$6:$F$205,MATCH($E522,'KM Data'!$E$6:$E$205,1)))</f>
        <v>#N/A</v>
      </c>
      <c r="S522" s="21">
        <f t="shared" si="173"/>
        <v>6.1298374349362139E-2</v>
      </c>
      <c r="T522" s="8">
        <f t="shared" ref="T522:T585" si="176">1-(S523/S522)</f>
        <v>2.2351762593556534E-3</v>
      </c>
      <c r="U522" s="21">
        <f t="shared" si="165"/>
        <v>0</v>
      </c>
      <c r="V522" s="21">
        <f t="shared" si="166"/>
        <v>0</v>
      </c>
      <c r="W522" s="21">
        <f t="shared" si="167"/>
        <v>0</v>
      </c>
      <c r="Y522" s="23">
        <f t="shared" ref="Y522:Y585" si="177">N522</f>
        <v>0</v>
      </c>
      <c r="Z522" s="6">
        <f t="shared" ref="Z522:Z585" si="178">U522-N522</f>
        <v>0</v>
      </c>
      <c r="AA522" s="6">
        <f t="shared" ref="AA522:AA585" si="179">1-U522</f>
        <v>1</v>
      </c>
      <c r="AB522" s="6">
        <f t="shared" ref="AB522:AB585" si="180">SUM(Y522:AA522)</f>
        <v>1</v>
      </c>
    </row>
    <row r="523" spans="1:28" x14ac:dyDescent="0.35">
      <c r="A523">
        <v>514</v>
      </c>
      <c r="B523" s="17">
        <f t="shared" ref="B523:B586" si="181">C522</f>
        <v>15614.4375</v>
      </c>
      <c r="C523" s="17">
        <f t="shared" si="174"/>
        <v>15644.875</v>
      </c>
      <c r="D523" s="17">
        <f t="shared" ref="D523:D586" si="182">AVERAGE(B523:C523)</f>
        <v>15629.65625</v>
      </c>
      <c r="E523" s="17">
        <f t="shared" si="168"/>
        <v>513.5</v>
      </c>
      <c r="F523" s="17">
        <f t="shared" si="169"/>
        <v>102.79166666666666</v>
      </c>
      <c r="G523" s="21">
        <f>INDEX('Life Tables'!$F$8:$F$123,MATCH(Engine!F523,'Life Tables'!$B$8:$B$123,1))</f>
        <v>1</v>
      </c>
      <c r="H523" s="8">
        <f t="shared" si="170"/>
        <v>0.2357791016776003</v>
      </c>
      <c r="I523">
        <f t="shared" si="171"/>
        <v>1</v>
      </c>
      <c r="K523" s="22" t="e">
        <f>$I523*IF($E523&gt;_xlfn.AGGREGATE(4,6,'KM Data'!$B$6:$B$310),NA(),INDEX('KM Data'!$C$6:$C$310,MATCH($E523,'KM Data'!$B$6:$B$310,1)))</f>
        <v>#N/A</v>
      </c>
      <c r="L523" s="21">
        <f t="shared" si="172"/>
        <v>9.5146121072062773E-3</v>
      </c>
      <c r="M523" s="20">
        <f t="shared" si="175"/>
        <v>3.4401961876354692E-3</v>
      </c>
      <c r="N523" s="21">
        <f t="shared" ref="N523:N586" si="183">$I523*MIN(N522,U523,P523)</f>
        <v>0</v>
      </c>
      <c r="O523" s="21">
        <f t="shared" ref="O523:O586" si="184">I523*O522*(1-G522)</f>
        <v>0</v>
      </c>
      <c r="P523" s="21">
        <f t="shared" ref="P523:P586" si="185">$I523*P522*(1-MAX($G522,M522))</f>
        <v>0</v>
      </c>
      <c r="R523" s="22" t="e">
        <f>$I523*IF($E523&gt;_xlfn.AGGREGATE(4,6,'KM Data'!$E$6:$E$205),NA(),INDEX('KM Data'!$F$6:$F$205,MATCH($E523,'KM Data'!$E$6:$E$205,1)))</f>
        <v>#N/A</v>
      </c>
      <c r="S523" s="21">
        <f t="shared" si="173"/>
        <v>6.1161361678279347E-2</v>
      </c>
      <c r="T523" s="8">
        <f t="shared" si="176"/>
        <v>2.2319215436795714E-3</v>
      </c>
      <c r="U523" s="21">
        <f t="shared" ref="U523:U586" si="186">$I523*MIN(U522,W523)</f>
        <v>0</v>
      </c>
      <c r="V523" s="21">
        <f t="shared" ref="V523:V586" si="187">I523*V522*(1-G522)</f>
        <v>0</v>
      </c>
      <c r="W523" s="21">
        <f t="shared" ref="W523:W586" si="188">$I523*W522*(1-MAX($G522,T522))</f>
        <v>0</v>
      </c>
      <c r="Y523" s="23">
        <f t="shared" si="177"/>
        <v>0</v>
      </c>
      <c r="Z523" s="6">
        <f t="shared" si="178"/>
        <v>0</v>
      </c>
      <c r="AA523" s="6">
        <f t="shared" si="179"/>
        <v>1</v>
      </c>
      <c r="AB523" s="6">
        <f t="shared" si="180"/>
        <v>1</v>
      </c>
    </row>
    <row r="524" spans="1:28" x14ac:dyDescent="0.35">
      <c r="A524">
        <v>515</v>
      </c>
      <c r="B524" s="17">
        <f t="shared" si="181"/>
        <v>15644.875</v>
      </c>
      <c r="C524" s="17">
        <f t="shared" si="174"/>
        <v>15675.3125</v>
      </c>
      <c r="D524" s="17">
        <f t="shared" si="182"/>
        <v>15660.09375</v>
      </c>
      <c r="E524" s="17">
        <f t="shared" si="168"/>
        <v>514.5</v>
      </c>
      <c r="F524" s="17">
        <f t="shared" si="169"/>
        <v>102.875</v>
      </c>
      <c r="G524" s="21">
        <f>INDEX('Life Tables'!$F$8:$F$123,MATCH(Engine!F524,'Life Tables'!$B$8:$B$123,1))</f>
        <v>1</v>
      </c>
      <c r="H524" s="8">
        <f t="shared" si="170"/>
        <v>0.2357791016776003</v>
      </c>
      <c r="I524">
        <f t="shared" si="171"/>
        <v>1</v>
      </c>
      <c r="K524" s="22" t="e">
        <f>$I524*IF($E524&gt;_xlfn.AGGREGATE(4,6,'KM Data'!$B$6:$B$310),NA(),INDEX('KM Data'!$C$6:$C$310,MATCH($E524,'KM Data'!$B$6:$B$310,1)))</f>
        <v>#N/A</v>
      </c>
      <c r="L524" s="21">
        <f t="shared" si="172"/>
        <v>9.4818799749082361E-3</v>
      </c>
      <c r="M524" s="20">
        <f t="shared" si="175"/>
        <v>3.4350102006275307E-3</v>
      </c>
      <c r="N524" s="21">
        <f t="shared" si="183"/>
        <v>0</v>
      </c>
      <c r="O524" s="21">
        <f t="shared" si="184"/>
        <v>0</v>
      </c>
      <c r="P524" s="21">
        <f t="shared" si="185"/>
        <v>0</v>
      </c>
      <c r="R524" s="22" t="e">
        <f>$I524*IF($E524&gt;_xlfn.AGGREGATE(4,6,'KM Data'!$E$6:$E$205),NA(),INDEX('KM Data'!$F$6:$F$205,MATCH($E524,'KM Data'!$E$6:$E$205,1)))</f>
        <v>#N/A</v>
      </c>
      <c r="S524" s="21">
        <f t="shared" si="173"/>
        <v>6.1024854317508814E-2</v>
      </c>
      <c r="T524" s="8">
        <f t="shared" si="176"/>
        <v>2.2286774602312542E-3</v>
      </c>
      <c r="U524" s="21">
        <f t="shared" si="186"/>
        <v>0</v>
      </c>
      <c r="V524" s="21">
        <f t="shared" si="187"/>
        <v>0</v>
      </c>
      <c r="W524" s="21">
        <f t="shared" si="188"/>
        <v>0</v>
      </c>
      <c r="Y524" s="23">
        <f t="shared" si="177"/>
        <v>0</v>
      </c>
      <c r="Z524" s="6">
        <f t="shared" si="178"/>
        <v>0</v>
      </c>
      <c r="AA524" s="6">
        <f t="shared" si="179"/>
        <v>1</v>
      </c>
      <c r="AB524" s="6">
        <f t="shared" si="180"/>
        <v>1</v>
      </c>
    </row>
    <row r="525" spans="1:28" x14ac:dyDescent="0.35">
      <c r="A525">
        <v>516</v>
      </c>
      <c r="B525" s="17">
        <f t="shared" si="181"/>
        <v>15675.3125</v>
      </c>
      <c r="C525" s="17">
        <f t="shared" si="174"/>
        <v>15705.75</v>
      </c>
      <c r="D525" s="17">
        <f t="shared" si="182"/>
        <v>15690.53125</v>
      </c>
      <c r="E525" s="17">
        <f t="shared" si="168"/>
        <v>515.5</v>
      </c>
      <c r="F525" s="17">
        <f t="shared" si="169"/>
        <v>102.95833333333334</v>
      </c>
      <c r="G525" s="21">
        <f>INDEX('Life Tables'!$F$8:$F$123,MATCH(Engine!F525,'Life Tables'!$B$8:$B$123,1))</f>
        <v>1</v>
      </c>
      <c r="H525" s="8">
        <f t="shared" si="170"/>
        <v>0.22780589534067661</v>
      </c>
      <c r="I525">
        <f t="shared" si="171"/>
        <v>1</v>
      </c>
      <c r="K525" s="22" t="e">
        <f>$I525*IF($E525&gt;_xlfn.AGGREGATE(4,6,'KM Data'!$B$6:$B$310),NA(),INDEX('KM Data'!$C$6:$C$310,MATCH($E525,'KM Data'!$B$6:$B$310,1)))</f>
        <v>#N/A</v>
      </c>
      <c r="L525" s="21">
        <f t="shared" si="172"/>
        <v>9.4493096204733007E-3</v>
      </c>
      <c r="M525" s="20">
        <f t="shared" si="175"/>
        <v>3.429841516236265E-3</v>
      </c>
      <c r="N525" s="21">
        <f t="shared" si="183"/>
        <v>0</v>
      </c>
      <c r="O525" s="21">
        <f t="shared" si="184"/>
        <v>0</v>
      </c>
      <c r="P525" s="21">
        <f t="shared" si="185"/>
        <v>0</v>
      </c>
      <c r="R525" s="22" t="e">
        <f>$I525*IF($E525&gt;_xlfn.AGGREGATE(4,6,'KM Data'!$E$6:$E$205),NA(),INDEX('KM Data'!$F$6:$F$205,MATCH($E525,'KM Data'!$E$6:$E$205,1)))</f>
        <v>#N/A</v>
      </c>
      <c r="S525" s="21">
        <f t="shared" si="173"/>
        <v>6.0888849600177486E-2</v>
      </c>
      <c r="T525" s="8">
        <f t="shared" si="176"/>
        <v>2.2254439546594007E-3</v>
      </c>
      <c r="U525" s="21">
        <f t="shared" si="186"/>
        <v>0</v>
      </c>
      <c r="V525" s="21">
        <f t="shared" si="187"/>
        <v>0</v>
      </c>
      <c r="W525" s="21">
        <f t="shared" si="188"/>
        <v>0</v>
      </c>
      <c r="Y525" s="23">
        <f t="shared" si="177"/>
        <v>0</v>
      </c>
      <c r="Z525" s="6">
        <f t="shared" si="178"/>
        <v>0</v>
      </c>
      <c r="AA525" s="6">
        <f t="shared" si="179"/>
        <v>1</v>
      </c>
      <c r="AB525" s="6">
        <f t="shared" si="180"/>
        <v>1</v>
      </c>
    </row>
    <row r="526" spans="1:28" x14ac:dyDescent="0.35">
      <c r="A526">
        <v>517</v>
      </c>
      <c r="B526" s="17">
        <f t="shared" si="181"/>
        <v>15705.75</v>
      </c>
      <c r="C526" s="17">
        <f t="shared" si="174"/>
        <v>15736.1875</v>
      </c>
      <c r="D526" s="17">
        <f t="shared" si="182"/>
        <v>15720.96875</v>
      </c>
      <c r="E526" s="17">
        <f t="shared" si="168"/>
        <v>516.5</v>
      </c>
      <c r="F526" s="17">
        <f t="shared" si="169"/>
        <v>103.04166666666666</v>
      </c>
      <c r="G526" s="21">
        <f>INDEX('Life Tables'!$F$8:$F$123,MATCH(Engine!F526,'Life Tables'!$B$8:$B$123,1))</f>
        <v>1</v>
      </c>
      <c r="H526" s="8">
        <f t="shared" si="170"/>
        <v>0.22780589534067661</v>
      </c>
      <c r="I526">
        <f t="shared" si="171"/>
        <v>1</v>
      </c>
      <c r="K526" s="22" t="e">
        <f>$I526*IF($E526&gt;_xlfn.AGGREGATE(4,6,'KM Data'!$B$6:$B$310),NA(),INDEX('KM Data'!$C$6:$C$310,MATCH($E526,'KM Data'!$B$6:$B$310,1)))</f>
        <v>#N/A</v>
      </c>
      <c r="L526" s="21">
        <f t="shared" si="172"/>
        <v>9.4168999860372304E-3</v>
      </c>
      <c r="M526" s="20">
        <f t="shared" si="175"/>
        <v>3.424690044598111E-3</v>
      </c>
      <c r="N526" s="21">
        <f t="shared" si="183"/>
        <v>0</v>
      </c>
      <c r="O526" s="21">
        <f t="shared" si="184"/>
        <v>0</v>
      </c>
      <c r="P526" s="21">
        <f t="shared" si="185"/>
        <v>0</v>
      </c>
      <c r="R526" s="22" t="e">
        <f>$I526*IF($E526&gt;_xlfn.AGGREGATE(4,6,'KM Data'!$E$6:$E$205),NA(),INDEX('KM Data'!$F$6:$F$205,MATCH($E526,'KM Data'!$E$6:$E$205,1)))</f>
        <v>#N/A</v>
      </c>
      <c r="S526" s="21">
        <f t="shared" si="173"/>
        <v>6.0753344877928606E-2</v>
      </c>
      <c r="T526" s="8">
        <f t="shared" si="176"/>
        <v>2.222220972992961E-3</v>
      </c>
      <c r="U526" s="21">
        <f t="shared" si="186"/>
        <v>0</v>
      </c>
      <c r="V526" s="21">
        <f t="shared" si="187"/>
        <v>0</v>
      </c>
      <c r="W526" s="21">
        <f t="shared" si="188"/>
        <v>0</v>
      </c>
      <c r="Y526" s="23">
        <f t="shared" si="177"/>
        <v>0</v>
      </c>
      <c r="Z526" s="6">
        <f t="shared" si="178"/>
        <v>0</v>
      </c>
      <c r="AA526" s="6">
        <f t="shared" si="179"/>
        <v>1</v>
      </c>
      <c r="AB526" s="6">
        <f t="shared" si="180"/>
        <v>1</v>
      </c>
    </row>
    <row r="527" spans="1:28" x14ac:dyDescent="0.35">
      <c r="A527">
        <v>518</v>
      </c>
      <c r="B527" s="17">
        <f t="shared" si="181"/>
        <v>15736.1875</v>
      </c>
      <c r="C527" s="17">
        <f t="shared" si="174"/>
        <v>15766.625</v>
      </c>
      <c r="D527" s="17">
        <f t="shared" si="182"/>
        <v>15751.40625</v>
      </c>
      <c r="E527" s="17">
        <f t="shared" si="168"/>
        <v>517.5</v>
      </c>
      <c r="F527" s="17">
        <f t="shared" si="169"/>
        <v>103.125</v>
      </c>
      <c r="G527" s="21">
        <f>INDEX('Life Tables'!$F$8:$F$123,MATCH(Engine!F527,'Life Tables'!$B$8:$B$123,1))</f>
        <v>1</v>
      </c>
      <c r="H527" s="8">
        <f t="shared" si="170"/>
        <v>0.22780589534067661</v>
      </c>
      <c r="I527">
        <f t="shared" si="171"/>
        <v>1</v>
      </c>
      <c r="K527" s="22" t="e">
        <f>$I527*IF($E527&gt;_xlfn.AGGREGATE(4,6,'KM Data'!$B$6:$B$310),NA(),INDEX('KM Data'!$C$6:$C$310,MATCH($E527,'KM Data'!$B$6:$B$310,1)))</f>
        <v>#N/A</v>
      </c>
      <c r="L527" s="21">
        <f t="shared" si="172"/>
        <v>9.384650022404073E-3</v>
      </c>
      <c r="M527" s="20">
        <f t="shared" si="175"/>
        <v>3.4195556964955465E-3</v>
      </c>
      <c r="N527" s="21">
        <f t="shared" si="183"/>
        <v>0</v>
      </c>
      <c r="O527" s="21">
        <f t="shared" si="184"/>
        <v>0</v>
      </c>
      <c r="P527" s="21">
        <f t="shared" si="185"/>
        <v>0</v>
      </c>
      <c r="R527" s="22" t="e">
        <f>$I527*IF($E527&gt;_xlfn.AGGREGATE(4,6,'KM Data'!$E$6:$E$205),NA(),INDEX('KM Data'!$F$6:$F$205,MATCH($E527,'KM Data'!$E$6:$E$205,1)))</f>
        <v>#N/A</v>
      </c>
      <c r="S527" s="21">
        <f t="shared" si="173"/>
        <v>6.0618337520761401E-2</v>
      </c>
      <c r="T527" s="8">
        <f t="shared" si="176"/>
        <v>2.2190084616247052E-3</v>
      </c>
      <c r="U527" s="21">
        <f t="shared" si="186"/>
        <v>0</v>
      </c>
      <c r="V527" s="21">
        <f t="shared" si="187"/>
        <v>0</v>
      </c>
      <c r="W527" s="21">
        <f t="shared" si="188"/>
        <v>0</v>
      </c>
      <c r="Y527" s="23">
        <f t="shared" si="177"/>
        <v>0</v>
      </c>
      <c r="Z527" s="6">
        <f t="shared" si="178"/>
        <v>0</v>
      </c>
      <c r="AA527" s="6">
        <f t="shared" si="179"/>
        <v>1</v>
      </c>
      <c r="AB527" s="6">
        <f t="shared" si="180"/>
        <v>1</v>
      </c>
    </row>
    <row r="528" spans="1:28" x14ac:dyDescent="0.35">
      <c r="A528">
        <v>519</v>
      </c>
      <c r="B528" s="17">
        <f t="shared" si="181"/>
        <v>15766.625</v>
      </c>
      <c r="C528" s="17">
        <f t="shared" si="174"/>
        <v>15797.0625</v>
      </c>
      <c r="D528" s="17">
        <f t="shared" si="182"/>
        <v>15781.84375</v>
      </c>
      <c r="E528" s="17">
        <f t="shared" si="168"/>
        <v>518.5</v>
      </c>
      <c r="F528" s="17">
        <f t="shared" si="169"/>
        <v>103.20833333333334</v>
      </c>
      <c r="G528" s="21">
        <f>INDEX('Life Tables'!$F$8:$F$123,MATCH(Engine!F528,'Life Tables'!$B$8:$B$123,1))</f>
        <v>1</v>
      </c>
      <c r="H528" s="8">
        <f t="shared" si="170"/>
        <v>0.22780589534067661</v>
      </c>
      <c r="I528">
        <f t="shared" si="171"/>
        <v>1</v>
      </c>
      <c r="K528" s="22" t="e">
        <f>$I528*IF($E528&gt;_xlfn.AGGREGATE(4,6,'KM Data'!$B$6:$B$310),NA(),INDEX('KM Data'!$C$6:$C$310,MATCH($E528,'KM Data'!$B$6:$B$310,1)))</f>
        <v>#N/A</v>
      </c>
      <c r="L528" s="21">
        <f t="shared" si="172"/>
        <v>9.352558688960344E-3</v>
      </c>
      <c r="M528" s="20">
        <f t="shared" si="175"/>
        <v>3.4144383833637493E-3</v>
      </c>
      <c r="N528" s="21">
        <f t="shared" si="183"/>
        <v>0</v>
      </c>
      <c r="O528" s="21">
        <f t="shared" si="184"/>
        <v>0</v>
      </c>
      <c r="P528" s="21">
        <f t="shared" si="185"/>
        <v>0</v>
      </c>
      <c r="R528" s="22" t="e">
        <f>$I528*IF($E528&gt;_xlfn.AGGREGATE(4,6,'KM Data'!$E$6:$E$205),NA(),INDEX('KM Data'!$F$6:$F$205,MATCH($E528,'KM Data'!$E$6:$E$205,1)))</f>
        <v>#N/A</v>
      </c>
      <c r="S528" s="21">
        <f t="shared" si="173"/>
        <v>6.0483824916873208E-2</v>
      </c>
      <c r="T528" s="8">
        <f t="shared" si="176"/>
        <v>2.215806367337203E-3</v>
      </c>
      <c r="U528" s="21">
        <f t="shared" si="186"/>
        <v>0</v>
      </c>
      <c r="V528" s="21">
        <f t="shared" si="187"/>
        <v>0</v>
      </c>
      <c r="W528" s="21">
        <f t="shared" si="188"/>
        <v>0</v>
      </c>
      <c r="Y528" s="23">
        <f t="shared" si="177"/>
        <v>0</v>
      </c>
      <c r="Z528" s="6">
        <f t="shared" si="178"/>
        <v>0</v>
      </c>
      <c r="AA528" s="6">
        <f t="shared" si="179"/>
        <v>1</v>
      </c>
      <c r="AB528" s="6">
        <f t="shared" si="180"/>
        <v>1</v>
      </c>
    </row>
    <row r="529" spans="1:28" x14ac:dyDescent="0.35">
      <c r="A529">
        <v>520</v>
      </c>
      <c r="B529" s="17">
        <f t="shared" si="181"/>
        <v>15797.0625</v>
      </c>
      <c r="C529" s="17">
        <f t="shared" si="174"/>
        <v>15827.5</v>
      </c>
      <c r="D529" s="17">
        <f t="shared" si="182"/>
        <v>15812.28125</v>
      </c>
      <c r="E529" s="17">
        <f t="shared" si="168"/>
        <v>519.5</v>
      </c>
      <c r="F529" s="17">
        <f t="shared" si="169"/>
        <v>103.29166666666666</v>
      </c>
      <c r="G529" s="21">
        <f>INDEX('Life Tables'!$F$8:$F$123,MATCH(Engine!F529,'Life Tables'!$B$8:$B$123,1))</f>
        <v>1</v>
      </c>
      <c r="H529" s="8">
        <f t="shared" si="170"/>
        <v>0.22780589534067661</v>
      </c>
      <c r="I529">
        <f t="shared" si="171"/>
        <v>1</v>
      </c>
      <c r="K529" s="22" t="e">
        <f>$I529*IF($E529&gt;_xlfn.AGGREGATE(4,6,'KM Data'!$B$6:$B$310),NA(),INDEX('KM Data'!$C$6:$C$310,MATCH($E529,'KM Data'!$B$6:$B$310,1)))</f>
        <v>#N/A</v>
      </c>
      <c r="L529" s="21">
        <f t="shared" si="172"/>
        <v>9.3206249535900954E-3</v>
      </c>
      <c r="M529" s="20">
        <f t="shared" si="175"/>
        <v>3.4093380172117715E-3</v>
      </c>
      <c r="N529" s="21">
        <f t="shared" si="183"/>
        <v>0</v>
      </c>
      <c r="O529" s="21">
        <f t="shared" si="184"/>
        <v>0</v>
      </c>
      <c r="P529" s="21">
        <f t="shared" si="185"/>
        <v>0</v>
      </c>
      <c r="R529" s="22" t="e">
        <f>$I529*IF($E529&gt;_xlfn.AGGREGATE(4,6,'KM Data'!$E$6:$E$205),NA(),INDEX('KM Data'!$F$6:$F$205,MATCH($E529,'KM Data'!$E$6:$E$205,1)))</f>
        <v>#N/A</v>
      </c>
      <c r="S529" s="21">
        <f t="shared" si="173"/>
        <v>6.0349804472501489E-2</v>
      </c>
      <c r="T529" s="8">
        <f t="shared" si="176"/>
        <v>2.2126146372638544E-3</v>
      </c>
      <c r="U529" s="21">
        <f t="shared" si="186"/>
        <v>0</v>
      </c>
      <c r="V529" s="21">
        <f t="shared" si="187"/>
        <v>0</v>
      </c>
      <c r="W529" s="21">
        <f t="shared" si="188"/>
        <v>0</v>
      </c>
      <c r="Y529" s="23">
        <f t="shared" si="177"/>
        <v>0</v>
      </c>
      <c r="Z529" s="6">
        <f t="shared" si="178"/>
        <v>0</v>
      </c>
      <c r="AA529" s="6">
        <f t="shared" si="179"/>
        <v>1</v>
      </c>
      <c r="AB529" s="6">
        <f t="shared" si="180"/>
        <v>1</v>
      </c>
    </row>
    <row r="530" spans="1:28" x14ac:dyDescent="0.35">
      <c r="A530">
        <v>521</v>
      </c>
      <c r="B530" s="17">
        <f t="shared" si="181"/>
        <v>15827.5</v>
      </c>
      <c r="C530" s="17">
        <f t="shared" si="174"/>
        <v>15857.9375</v>
      </c>
      <c r="D530" s="17">
        <f t="shared" si="182"/>
        <v>15842.71875</v>
      </c>
      <c r="E530" s="17">
        <f t="shared" si="168"/>
        <v>520.5</v>
      </c>
      <c r="F530" s="17">
        <f t="shared" si="169"/>
        <v>103.375</v>
      </c>
      <c r="G530" s="21">
        <f>INDEX('Life Tables'!$F$8:$F$123,MATCH(Engine!F530,'Life Tables'!$B$8:$B$123,1))</f>
        <v>1</v>
      </c>
      <c r="H530" s="8">
        <f t="shared" si="170"/>
        <v>0.22780589534067661</v>
      </c>
      <c r="I530">
        <f t="shared" si="171"/>
        <v>1</v>
      </c>
      <c r="K530" s="22" t="e">
        <f>$I530*IF($E530&gt;_xlfn.AGGREGATE(4,6,'KM Data'!$B$6:$B$310),NA(),INDEX('KM Data'!$C$6:$C$310,MATCH($E530,'KM Data'!$B$6:$B$310,1)))</f>
        <v>#N/A</v>
      </c>
      <c r="L530" s="21">
        <f t="shared" si="172"/>
        <v>9.2888477925916479E-3</v>
      </c>
      <c r="M530" s="20">
        <f t="shared" si="175"/>
        <v>3.4042545106842681E-3</v>
      </c>
      <c r="N530" s="21">
        <f t="shared" si="183"/>
        <v>0</v>
      </c>
      <c r="O530" s="21">
        <f t="shared" si="184"/>
        <v>0</v>
      </c>
      <c r="P530" s="21">
        <f t="shared" si="185"/>
        <v>0</v>
      </c>
      <c r="R530" s="22" t="e">
        <f>$I530*IF($E530&gt;_xlfn.AGGREGATE(4,6,'KM Data'!$E$6:$E$205),NA(),INDEX('KM Data'!$F$6:$F$205,MATCH($E530,'KM Data'!$E$6:$E$205,1)))</f>
        <v>#N/A</v>
      </c>
      <c r="S530" s="21">
        <f t="shared" si="173"/>
        <v>6.0216273611769622E-2</v>
      </c>
      <c r="T530" s="8">
        <f t="shared" si="176"/>
        <v>2.20943321891931E-3</v>
      </c>
      <c r="U530" s="21">
        <f t="shared" si="186"/>
        <v>0</v>
      </c>
      <c r="V530" s="21">
        <f t="shared" si="187"/>
        <v>0</v>
      </c>
      <c r="W530" s="21">
        <f t="shared" si="188"/>
        <v>0</v>
      </c>
      <c r="Y530" s="23">
        <f t="shared" si="177"/>
        <v>0</v>
      </c>
      <c r="Z530" s="6">
        <f t="shared" si="178"/>
        <v>0</v>
      </c>
      <c r="AA530" s="6">
        <f t="shared" si="179"/>
        <v>1</v>
      </c>
      <c r="AB530" s="6">
        <f t="shared" si="180"/>
        <v>1</v>
      </c>
    </row>
    <row r="531" spans="1:28" x14ac:dyDescent="0.35">
      <c r="A531">
        <v>522</v>
      </c>
      <c r="B531" s="17">
        <f t="shared" si="181"/>
        <v>15857.9375</v>
      </c>
      <c r="C531" s="17">
        <f t="shared" si="174"/>
        <v>15888.375</v>
      </c>
      <c r="D531" s="17">
        <f t="shared" si="182"/>
        <v>15873.15625</v>
      </c>
      <c r="E531" s="17">
        <f t="shared" si="168"/>
        <v>521.5</v>
      </c>
      <c r="F531" s="17">
        <f t="shared" si="169"/>
        <v>103.45833333333334</v>
      </c>
      <c r="G531" s="21">
        <f>INDEX('Life Tables'!$F$8:$F$123,MATCH(Engine!F531,'Life Tables'!$B$8:$B$123,1))</f>
        <v>1</v>
      </c>
      <c r="H531" s="8">
        <f t="shared" si="170"/>
        <v>0.22780589534067661</v>
      </c>
      <c r="I531">
        <f t="shared" si="171"/>
        <v>1</v>
      </c>
      <c r="K531" s="22" t="e">
        <f>$I531*IF($E531&gt;_xlfn.AGGREGATE(4,6,'KM Data'!$B$6:$B$310),NA(),INDEX('KM Data'!$C$6:$C$310,MATCH($E531,'KM Data'!$B$6:$B$310,1)))</f>
        <v>#N/A</v>
      </c>
      <c r="L531" s="21">
        <f t="shared" si="172"/>
        <v>9.2572261905946585E-3</v>
      </c>
      <c r="M531" s="20">
        <f t="shared" si="175"/>
        <v>3.3991877770638279E-3</v>
      </c>
      <c r="N531" s="21">
        <f t="shared" si="183"/>
        <v>0</v>
      </c>
      <c r="O531" s="21">
        <f t="shared" si="184"/>
        <v>0</v>
      </c>
      <c r="P531" s="21">
        <f t="shared" si="185"/>
        <v>0</v>
      </c>
      <c r="R531" s="22" t="e">
        <f>$I531*IF($E531&gt;_xlfn.AGGREGATE(4,6,'KM Data'!$E$6:$E$205),NA(),INDEX('KM Data'!$F$6:$F$205,MATCH($E531,'KM Data'!$E$6:$E$205,1)))</f>
        <v>#N/A</v>
      </c>
      <c r="S531" s="21">
        <f t="shared" si="173"/>
        <v>6.0083229776532243E-2</v>
      </c>
      <c r="T531" s="8">
        <f t="shared" si="176"/>
        <v>2.2062620601697169E-3</v>
      </c>
      <c r="U531" s="21">
        <f t="shared" si="186"/>
        <v>0</v>
      </c>
      <c r="V531" s="21">
        <f t="shared" si="187"/>
        <v>0</v>
      </c>
      <c r="W531" s="21">
        <f t="shared" si="188"/>
        <v>0</v>
      </c>
      <c r="Y531" s="23">
        <f t="shared" si="177"/>
        <v>0</v>
      </c>
      <c r="Z531" s="6">
        <f t="shared" si="178"/>
        <v>0</v>
      </c>
      <c r="AA531" s="6">
        <f t="shared" si="179"/>
        <v>1</v>
      </c>
      <c r="AB531" s="6">
        <f t="shared" si="180"/>
        <v>1</v>
      </c>
    </row>
    <row r="532" spans="1:28" x14ac:dyDescent="0.35">
      <c r="A532">
        <v>523</v>
      </c>
      <c r="B532" s="17">
        <f t="shared" si="181"/>
        <v>15888.375</v>
      </c>
      <c r="C532" s="17">
        <f t="shared" si="174"/>
        <v>15918.8125</v>
      </c>
      <c r="D532" s="17">
        <f t="shared" si="182"/>
        <v>15903.59375</v>
      </c>
      <c r="E532" s="17">
        <f t="shared" si="168"/>
        <v>522.5</v>
      </c>
      <c r="F532" s="17">
        <f t="shared" si="169"/>
        <v>103.54166666666666</v>
      </c>
      <c r="G532" s="21">
        <f>INDEX('Life Tables'!$F$8:$F$123,MATCH(Engine!F532,'Life Tables'!$B$8:$B$123,1))</f>
        <v>1</v>
      </c>
      <c r="H532" s="8">
        <f t="shared" si="170"/>
        <v>0.22780589534067661</v>
      </c>
      <c r="I532">
        <f t="shared" si="171"/>
        <v>1</v>
      </c>
      <c r="K532" s="22" t="e">
        <f>$I532*IF($E532&gt;_xlfn.AGGREGATE(4,6,'KM Data'!$B$6:$B$310),NA(),INDEX('KM Data'!$C$6:$C$310,MATCH($E532,'KM Data'!$B$6:$B$310,1)))</f>
        <v>#N/A</v>
      </c>
      <c r="L532" s="21">
        <f t="shared" si="172"/>
        <v>9.2257591404780737E-3</v>
      </c>
      <c r="M532" s="20">
        <f t="shared" si="175"/>
        <v>3.3941377302120213E-3</v>
      </c>
      <c r="N532" s="21">
        <f t="shared" si="183"/>
        <v>0</v>
      </c>
      <c r="O532" s="21">
        <f t="shared" si="184"/>
        <v>0</v>
      </c>
      <c r="P532" s="21">
        <f t="shared" si="185"/>
        <v>0</v>
      </c>
      <c r="R532" s="22" t="e">
        <f>$I532*IF($E532&gt;_xlfn.AGGREGATE(4,6,'KM Data'!$E$6:$E$205),NA(),INDEX('KM Data'!$F$6:$F$205,MATCH($E532,'KM Data'!$E$6:$E$205,1)))</f>
        <v>#N/A</v>
      </c>
      <c r="S532" s="21">
        <f t="shared" si="173"/>
        <v>5.9950670426223818E-2</v>
      </c>
      <c r="T532" s="8">
        <f t="shared" si="176"/>
        <v>2.203101109242378E-3</v>
      </c>
      <c r="U532" s="21">
        <f t="shared" si="186"/>
        <v>0</v>
      </c>
      <c r="V532" s="21">
        <f t="shared" si="187"/>
        <v>0</v>
      </c>
      <c r="W532" s="21">
        <f t="shared" si="188"/>
        <v>0</v>
      </c>
      <c r="Y532" s="23">
        <f t="shared" si="177"/>
        <v>0</v>
      </c>
      <c r="Z532" s="6">
        <f t="shared" si="178"/>
        <v>0</v>
      </c>
      <c r="AA532" s="6">
        <f t="shared" si="179"/>
        <v>1</v>
      </c>
      <c r="AB532" s="6">
        <f t="shared" si="180"/>
        <v>1</v>
      </c>
    </row>
    <row r="533" spans="1:28" x14ac:dyDescent="0.35">
      <c r="A533">
        <v>524</v>
      </c>
      <c r="B533" s="17">
        <f t="shared" si="181"/>
        <v>15918.8125</v>
      </c>
      <c r="C533" s="17">
        <f t="shared" si="174"/>
        <v>15949.25</v>
      </c>
      <c r="D533" s="17">
        <f t="shared" si="182"/>
        <v>15934.03125</v>
      </c>
      <c r="E533" s="17">
        <f t="shared" si="168"/>
        <v>523.5</v>
      </c>
      <c r="F533" s="17">
        <f t="shared" si="169"/>
        <v>103.625</v>
      </c>
      <c r="G533" s="21">
        <f>INDEX('Life Tables'!$F$8:$F$123,MATCH(Engine!F533,'Life Tables'!$B$8:$B$123,1))</f>
        <v>1</v>
      </c>
      <c r="H533" s="8">
        <f t="shared" si="170"/>
        <v>0.22780589534067661</v>
      </c>
      <c r="I533">
        <f t="shared" si="171"/>
        <v>1</v>
      </c>
      <c r="K533" s="22" t="e">
        <f>$I533*IF($E533&gt;_xlfn.AGGREGATE(4,6,'KM Data'!$B$6:$B$310),NA(),INDEX('KM Data'!$C$6:$C$310,MATCH($E533,'KM Data'!$B$6:$B$310,1)))</f>
        <v>#N/A</v>
      </c>
      <c r="L533" s="21">
        <f t="shared" si="172"/>
        <v>9.1944456432895283E-3</v>
      </c>
      <c r="M533" s="20">
        <f t="shared" si="175"/>
        <v>3.3891042846039277E-3</v>
      </c>
      <c r="N533" s="21">
        <f t="shared" si="183"/>
        <v>0</v>
      </c>
      <c r="O533" s="21">
        <f t="shared" si="184"/>
        <v>0</v>
      </c>
      <c r="P533" s="21">
        <f t="shared" si="185"/>
        <v>0</v>
      </c>
      <c r="R533" s="22" t="e">
        <f>$I533*IF($E533&gt;_xlfn.AGGREGATE(4,6,'KM Data'!$E$6:$E$205),NA(),INDEX('KM Data'!$F$6:$F$205,MATCH($E533,'KM Data'!$E$6:$E$205,1)))</f>
        <v>#N/A</v>
      </c>
      <c r="S533" s="21">
        <f t="shared" si="173"/>
        <v>5.9818593037707979E-2</v>
      </c>
      <c r="T533" s="8">
        <f t="shared" si="176"/>
        <v>2.1999503147241972E-3</v>
      </c>
      <c r="U533" s="21">
        <f t="shared" si="186"/>
        <v>0</v>
      </c>
      <c r="V533" s="21">
        <f t="shared" si="187"/>
        <v>0</v>
      </c>
      <c r="W533" s="21">
        <f t="shared" si="188"/>
        <v>0</v>
      </c>
      <c r="Y533" s="23">
        <f t="shared" si="177"/>
        <v>0</v>
      </c>
      <c r="Z533" s="6">
        <f t="shared" si="178"/>
        <v>0</v>
      </c>
      <c r="AA533" s="6">
        <f t="shared" si="179"/>
        <v>1</v>
      </c>
      <c r="AB533" s="6">
        <f t="shared" si="180"/>
        <v>1</v>
      </c>
    </row>
    <row r="534" spans="1:28" x14ac:dyDescent="0.35">
      <c r="A534">
        <v>525</v>
      </c>
      <c r="B534" s="17">
        <f t="shared" si="181"/>
        <v>15949.25</v>
      </c>
      <c r="C534" s="17">
        <f t="shared" si="174"/>
        <v>15979.6875</v>
      </c>
      <c r="D534" s="17">
        <f t="shared" si="182"/>
        <v>15964.46875</v>
      </c>
      <c r="E534" s="17">
        <f t="shared" si="168"/>
        <v>524.5</v>
      </c>
      <c r="F534" s="17">
        <f t="shared" si="169"/>
        <v>103.70833333333334</v>
      </c>
      <c r="G534" s="21">
        <f>INDEX('Life Tables'!$F$8:$F$123,MATCH(Engine!F534,'Life Tables'!$B$8:$B$123,1))</f>
        <v>1</v>
      </c>
      <c r="H534" s="8">
        <f t="shared" si="170"/>
        <v>0.22780589534067661</v>
      </c>
      <c r="I534">
        <f t="shared" si="171"/>
        <v>1</v>
      </c>
      <c r="K534" s="22" t="e">
        <f>$I534*IF($E534&gt;_xlfn.AGGREGATE(4,6,'KM Data'!$B$6:$B$310),NA(),INDEX('KM Data'!$C$6:$C$310,MATCH($E534,'KM Data'!$B$6:$B$310,1)))</f>
        <v>#N/A</v>
      </c>
      <c r="L534" s="21">
        <f t="shared" si="172"/>
        <v>9.1632847081652979E-3</v>
      </c>
      <c r="M534" s="20">
        <f t="shared" si="175"/>
        <v>3.3840873552900552E-3</v>
      </c>
      <c r="N534" s="21">
        <f t="shared" si="183"/>
        <v>0</v>
      </c>
      <c r="O534" s="21">
        <f t="shared" si="184"/>
        <v>0</v>
      </c>
      <c r="P534" s="21">
        <f t="shared" si="185"/>
        <v>0</v>
      </c>
      <c r="R534" s="22" t="e">
        <f>$I534*IF($E534&gt;_xlfn.AGGREGATE(4,6,'KM Data'!$E$6:$E$205),NA(),INDEX('KM Data'!$F$6:$F$205,MATCH($E534,'KM Data'!$E$6:$E$205,1)))</f>
        <v>#N/A</v>
      </c>
      <c r="S534" s="21">
        <f t="shared" si="173"/>
        <v>5.9686995105128315E-2</v>
      </c>
      <c r="T534" s="8">
        <f t="shared" si="176"/>
        <v>2.1968096255546854E-3</v>
      </c>
      <c r="U534" s="21">
        <f t="shared" si="186"/>
        <v>0</v>
      </c>
      <c r="V534" s="21">
        <f t="shared" si="187"/>
        <v>0</v>
      </c>
      <c r="W534" s="21">
        <f t="shared" si="188"/>
        <v>0</v>
      </c>
      <c r="Y534" s="23">
        <f t="shared" si="177"/>
        <v>0</v>
      </c>
      <c r="Z534" s="6">
        <f t="shared" si="178"/>
        <v>0</v>
      </c>
      <c r="AA534" s="6">
        <f t="shared" si="179"/>
        <v>1</v>
      </c>
      <c r="AB534" s="6">
        <f t="shared" si="180"/>
        <v>1</v>
      </c>
    </row>
    <row r="535" spans="1:28" x14ac:dyDescent="0.35">
      <c r="A535">
        <v>526</v>
      </c>
      <c r="B535" s="17">
        <f t="shared" si="181"/>
        <v>15979.6875</v>
      </c>
      <c r="C535" s="17">
        <f t="shared" si="174"/>
        <v>16010.125</v>
      </c>
      <c r="D535" s="17">
        <f t="shared" si="182"/>
        <v>15994.90625</v>
      </c>
      <c r="E535" s="17">
        <f t="shared" si="168"/>
        <v>525.5</v>
      </c>
      <c r="F535" s="17">
        <f t="shared" si="169"/>
        <v>103.79166666666666</v>
      </c>
      <c r="G535" s="21">
        <f>INDEX('Life Tables'!$F$8:$F$123,MATCH(Engine!F535,'Life Tables'!$B$8:$B$123,1))</f>
        <v>1</v>
      </c>
      <c r="H535" s="8">
        <f t="shared" si="170"/>
        <v>0.22780589534067661</v>
      </c>
      <c r="I535">
        <f t="shared" si="171"/>
        <v>1</v>
      </c>
      <c r="K535" s="22" t="e">
        <f>$I535*IF($E535&gt;_xlfn.AGGREGATE(4,6,'KM Data'!$B$6:$B$310),NA(),INDEX('KM Data'!$C$6:$C$310,MATCH($E535,'KM Data'!$B$6:$B$310,1)))</f>
        <v>#N/A</v>
      </c>
      <c r="L535" s="21">
        <f t="shared" si="172"/>
        <v>9.1322753522514732E-3</v>
      </c>
      <c r="M535" s="20">
        <f t="shared" si="175"/>
        <v>3.3790868579292033E-3</v>
      </c>
      <c r="N535" s="21">
        <f t="shared" si="183"/>
        <v>0</v>
      </c>
      <c r="O535" s="21">
        <f t="shared" si="184"/>
        <v>0</v>
      </c>
      <c r="P535" s="21">
        <f t="shared" si="185"/>
        <v>0</v>
      </c>
      <c r="R535" s="22" t="e">
        <f>$I535*IF($E535&gt;_xlfn.AGGREGATE(4,6,'KM Data'!$E$6:$E$205),NA(),INDEX('KM Data'!$F$6:$F$205,MATCH($E535,'KM Data'!$E$6:$E$205,1)))</f>
        <v>#N/A</v>
      </c>
      <c r="S535" s="21">
        <f t="shared" si="173"/>
        <v>5.9555874139760934E-2</v>
      </c>
      <c r="T535" s="8">
        <f t="shared" si="176"/>
        <v>2.1936789910204091E-3</v>
      </c>
      <c r="U535" s="21">
        <f t="shared" si="186"/>
        <v>0</v>
      </c>
      <c r="V535" s="21">
        <f t="shared" si="187"/>
        <v>0</v>
      </c>
      <c r="W535" s="21">
        <f t="shared" si="188"/>
        <v>0</v>
      </c>
      <c r="Y535" s="23">
        <f t="shared" si="177"/>
        <v>0</v>
      </c>
      <c r="Z535" s="6">
        <f t="shared" si="178"/>
        <v>0</v>
      </c>
      <c r="AA535" s="6">
        <f t="shared" si="179"/>
        <v>1</v>
      </c>
      <c r="AB535" s="6">
        <f t="shared" si="180"/>
        <v>1</v>
      </c>
    </row>
    <row r="536" spans="1:28" x14ac:dyDescent="0.35">
      <c r="A536">
        <v>527</v>
      </c>
      <c r="B536" s="17">
        <f t="shared" si="181"/>
        <v>16010.125</v>
      </c>
      <c r="C536" s="17">
        <f t="shared" si="174"/>
        <v>16040.5625</v>
      </c>
      <c r="D536" s="17">
        <f t="shared" si="182"/>
        <v>16025.34375</v>
      </c>
      <c r="E536" s="17">
        <f t="shared" si="168"/>
        <v>526.5</v>
      </c>
      <c r="F536" s="17">
        <f t="shared" si="169"/>
        <v>103.875</v>
      </c>
      <c r="G536" s="21">
        <f>INDEX('Life Tables'!$F$8:$F$123,MATCH(Engine!F536,'Life Tables'!$B$8:$B$123,1))</f>
        <v>1</v>
      </c>
      <c r="H536" s="8">
        <f t="shared" si="170"/>
        <v>0.22780589534067661</v>
      </c>
      <c r="I536">
        <f t="shared" si="171"/>
        <v>1</v>
      </c>
      <c r="K536" s="22" t="e">
        <f>$I536*IF($E536&gt;_xlfn.AGGREGATE(4,6,'KM Data'!$B$6:$B$310),NA(),INDEX('KM Data'!$C$6:$C$310,MATCH($E536,'KM Data'!$B$6:$B$310,1)))</f>
        <v>#N/A</v>
      </c>
      <c r="L536" s="21">
        <f t="shared" si="172"/>
        <v>9.1014166006256891E-3</v>
      </c>
      <c r="M536" s="20">
        <f t="shared" si="175"/>
        <v>3.3741027087844655E-3</v>
      </c>
      <c r="N536" s="21">
        <f t="shared" si="183"/>
        <v>0</v>
      </c>
      <c r="O536" s="21">
        <f t="shared" si="184"/>
        <v>0</v>
      </c>
      <c r="P536" s="21">
        <f t="shared" si="185"/>
        <v>0</v>
      </c>
      <c r="R536" s="22" t="e">
        <f>$I536*IF($E536&gt;_xlfn.AGGREGATE(4,6,'KM Data'!$E$6:$E$205),NA(),INDEX('KM Data'!$F$6:$F$205,MATCH($E536,'KM Data'!$E$6:$E$205,1)))</f>
        <v>#N/A</v>
      </c>
      <c r="S536" s="21">
        <f t="shared" si="173"/>
        <v>5.9425227669868685E-2</v>
      </c>
      <c r="T536" s="8">
        <f t="shared" si="176"/>
        <v>2.1905583607543244E-3</v>
      </c>
      <c r="U536" s="21">
        <f t="shared" si="186"/>
        <v>0</v>
      </c>
      <c r="V536" s="21">
        <f t="shared" si="187"/>
        <v>0</v>
      </c>
      <c r="W536" s="21">
        <f t="shared" si="188"/>
        <v>0</v>
      </c>
      <c r="Y536" s="23">
        <f t="shared" si="177"/>
        <v>0</v>
      </c>
      <c r="Z536" s="6">
        <f t="shared" si="178"/>
        <v>0</v>
      </c>
      <c r="AA536" s="6">
        <f t="shared" si="179"/>
        <v>1</v>
      </c>
      <c r="AB536" s="6">
        <f t="shared" si="180"/>
        <v>1</v>
      </c>
    </row>
    <row r="537" spans="1:28" x14ac:dyDescent="0.35">
      <c r="A537">
        <v>528</v>
      </c>
      <c r="B537" s="17">
        <f t="shared" si="181"/>
        <v>16040.5625</v>
      </c>
      <c r="C537" s="17">
        <f t="shared" si="174"/>
        <v>16071</v>
      </c>
      <c r="D537" s="17">
        <f t="shared" si="182"/>
        <v>16055.78125</v>
      </c>
      <c r="E537" s="17">
        <f t="shared" si="168"/>
        <v>527.5</v>
      </c>
      <c r="F537" s="17">
        <f t="shared" si="169"/>
        <v>103.95833333333334</v>
      </c>
      <c r="G537" s="21">
        <f>INDEX('Life Tables'!$F$8:$F$123,MATCH(Engine!F537,'Life Tables'!$B$8:$B$123,1))</f>
        <v>1</v>
      </c>
      <c r="H537" s="8">
        <f t="shared" si="170"/>
        <v>0.22010231433881802</v>
      </c>
      <c r="I537">
        <f t="shared" si="171"/>
        <v>1</v>
      </c>
      <c r="K537" s="22" t="e">
        <f>$I537*IF($E537&gt;_xlfn.AGGREGATE(4,6,'KM Data'!$B$6:$B$310),NA(),INDEX('KM Data'!$C$6:$C$310,MATCH($E537,'KM Data'!$B$6:$B$310,1)))</f>
        <v>#N/A</v>
      </c>
      <c r="L537" s="21">
        <f t="shared" si="172"/>
        <v>9.0707074862197423E-3</v>
      </c>
      <c r="M537" s="20">
        <f t="shared" si="175"/>
        <v>3.3691348246559505E-3</v>
      </c>
      <c r="N537" s="21">
        <f t="shared" si="183"/>
        <v>0</v>
      </c>
      <c r="O537" s="21">
        <f t="shared" si="184"/>
        <v>0</v>
      </c>
      <c r="P537" s="21">
        <f t="shared" si="185"/>
        <v>0</v>
      </c>
      <c r="R537" s="22" t="e">
        <f>$I537*IF($E537&gt;_xlfn.AGGREGATE(4,6,'KM Data'!$E$6:$E$205),NA(),INDEX('KM Data'!$F$6:$F$205,MATCH($E537,'KM Data'!$E$6:$E$205,1)))</f>
        <v>#N/A</v>
      </c>
      <c r="S537" s="21">
        <f t="shared" si="173"/>
        <v>5.9295053240556728E-2</v>
      </c>
      <c r="T537" s="8">
        <f t="shared" si="176"/>
        <v>2.187447684735333E-3</v>
      </c>
      <c r="U537" s="21">
        <f t="shared" si="186"/>
        <v>0</v>
      </c>
      <c r="V537" s="21">
        <f t="shared" si="187"/>
        <v>0</v>
      </c>
      <c r="W537" s="21">
        <f t="shared" si="188"/>
        <v>0</v>
      </c>
      <c r="Y537" s="23">
        <f t="shared" si="177"/>
        <v>0</v>
      </c>
      <c r="Z537" s="6">
        <f t="shared" si="178"/>
        <v>0</v>
      </c>
      <c r="AA537" s="6">
        <f t="shared" si="179"/>
        <v>1</v>
      </c>
      <c r="AB537" s="6">
        <f t="shared" si="180"/>
        <v>1</v>
      </c>
    </row>
    <row r="538" spans="1:28" x14ac:dyDescent="0.35">
      <c r="A538">
        <v>529</v>
      </c>
      <c r="B538" s="17">
        <f t="shared" si="181"/>
        <v>16071</v>
      </c>
      <c r="C538" s="17">
        <f t="shared" si="174"/>
        <v>16101.4375</v>
      </c>
      <c r="D538" s="17">
        <f t="shared" si="182"/>
        <v>16086.21875</v>
      </c>
      <c r="E538" s="17">
        <f t="shared" si="168"/>
        <v>528.5</v>
      </c>
      <c r="F538" s="17">
        <f t="shared" si="169"/>
        <v>104.04166666666666</v>
      </c>
      <c r="G538" s="21">
        <f>INDEX('Life Tables'!$F$8:$F$123,MATCH(Engine!F538,'Life Tables'!$B$8:$B$123,1))</f>
        <v>1</v>
      </c>
      <c r="H538" s="8">
        <f t="shared" si="170"/>
        <v>0.22010231433881802</v>
      </c>
      <c r="I538">
        <f t="shared" si="171"/>
        <v>1</v>
      </c>
      <c r="K538" s="22" t="e">
        <f>$I538*IF($E538&gt;_xlfn.AGGREGATE(4,6,'KM Data'!$B$6:$B$310),NA(),INDEX('KM Data'!$C$6:$C$310,MATCH($E538,'KM Data'!$B$6:$B$310,1)))</f>
        <v>#N/A</v>
      </c>
      <c r="L538" s="21">
        <f t="shared" si="172"/>
        <v>9.040147049743652E-3</v>
      </c>
      <c r="M538" s="20">
        <f t="shared" si="175"/>
        <v>3.3641831229472841E-3</v>
      </c>
      <c r="N538" s="21">
        <f t="shared" si="183"/>
        <v>0</v>
      </c>
      <c r="O538" s="21">
        <f t="shared" si="184"/>
        <v>0</v>
      </c>
      <c r="P538" s="21">
        <f t="shared" si="185"/>
        <v>0</v>
      </c>
      <c r="R538" s="22" t="e">
        <f>$I538*IF($E538&gt;_xlfn.AGGREGATE(4,6,'KM Data'!$E$6:$E$205),NA(),INDEX('KM Data'!$F$6:$F$205,MATCH($E538,'KM Data'!$E$6:$E$205,1)))</f>
        <v>#N/A</v>
      </c>
      <c r="S538" s="21">
        <f t="shared" si="173"/>
        <v>5.9165348413629415E-2</v>
      </c>
      <c r="T538" s="8">
        <f t="shared" si="176"/>
        <v>2.1843469132875049E-3</v>
      </c>
      <c r="U538" s="21">
        <f t="shared" si="186"/>
        <v>0</v>
      </c>
      <c r="V538" s="21">
        <f t="shared" si="187"/>
        <v>0</v>
      </c>
      <c r="W538" s="21">
        <f t="shared" si="188"/>
        <v>0</v>
      </c>
      <c r="Y538" s="23">
        <f t="shared" si="177"/>
        <v>0</v>
      </c>
      <c r="Z538" s="6">
        <f t="shared" si="178"/>
        <v>0</v>
      </c>
      <c r="AA538" s="6">
        <f t="shared" si="179"/>
        <v>1</v>
      </c>
      <c r="AB538" s="6">
        <f t="shared" si="180"/>
        <v>1</v>
      </c>
    </row>
    <row r="539" spans="1:28" x14ac:dyDescent="0.35">
      <c r="A539">
        <v>530</v>
      </c>
      <c r="B539" s="17">
        <f t="shared" si="181"/>
        <v>16101.4375</v>
      </c>
      <c r="C539" s="17">
        <f t="shared" si="174"/>
        <v>16131.875</v>
      </c>
      <c r="D539" s="17">
        <f t="shared" si="182"/>
        <v>16116.65625</v>
      </c>
      <c r="E539" s="17">
        <f t="shared" si="168"/>
        <v>529.5</v>
      </c>
      <c r="F539" s="17">
        <f t="shared" si="169"/>
        <v>104.125</v>
      </c>
      <c r="G539" s="21">
        <f>INDEX('Life Tables'!$F$8:$F$123,MATCH(Engine!F539,'Life Tables'!$B$8:$B$123,1))</f>
        <v>1</v>
      </c>
      <c r="H539" s="8">
        <f t="shared" si="170"/>
        <v>0.22010231433881802</v>
      </c>
      <c r="I539">
        <f t="shared" si="171"/>
        <v>1</v>
      </c>
      <c r="K539" s="22" t="e">
        <f>$I539*IF($E539&gt;_xlfn.AGGREGATE(4,6,'KM Data'!$B$6:$B$310),NA(),INDEX('KM Data'!$C$6:$C$310,MATCH($E539,'KM Data'!$B$6:$B$310,1)))</f>
        <v>#N/A</v>
      </c>
      <c r="L539" s="21">
        <f t="shared" si="172"/>
        <v>9.0097343396099427E-3</v>
      </c>
      <c r="M539" s="20">
        <f t="shared" si="175"/>
        <v>3.3592475216082107E-3</v>
      </c>
      <c r="N539" s="21">
        <f t="shared" si="183"/>
        <v>0</v>
      </c>
      <c r="O539" s="21">
        <f t="shared" si="184"/>
        <v>0</v>
      </c>
      <c r="P539" s="21">
        <f t="shared" si="185"/>
        <v>0</v>
      </c>
      <c r="R539" s="22" t="e">
        <f>$I539*IF($E539&gt;_xlfn.AGGREGATE(4,6,'KM Data'!$E$6:$E$205),NA(),INDEX('KM Data'!$F$6:$F$205,MATCH($E539,'KM Data'!$E$6:$E$205,1)))</f>
        <v>#N/A</v>
      </c>
      <c r="S539" s="21">
        <f t="shared" si="173"/>
        <v>5.9036110767448524E-2</v>
      </c>
      <c r="T539" s="8">
        <f t="shared" si="176"/>
        <v>2.1812559970619816E-3</v>
      </c>
      <c r="U539" s="21">
        <f t="shared" si="186"/>
        <v>0</v>
      </c>
      <c r="V539" s="21">
        <f t="shared" si="187"/>
        <v>0</v>
      </c>
      <c r="W539" s="21">
        <f t="shared" si="188"/>
        <v>0</v>
      </c>
      <c r="Y539" s="23">
        <f t="shared" si="177"/>
        <v>0</v>
      </c>
      <c r="Z539" s="6">
        <f t="shared" si="178"/>
        <v>0</v>
      </c>
      <c r="AA539" s="6">
        <f t="shared" si="179"/>
        <v>1</v>
      </c>
      <c r="AB539" s="6">
        <f t="shared" si="180"/>
        <v>1</v>
      </c>
    </row>
    <row r="540" spans="1:28" x14ac:dyDescent="0.35">
      <c r="A540">
        <v>531</v>
      </c>
      <c r="B540" s="17">
        <f t="shared" si="181"/>
        <v>16131.875</v>
      </c>
      <c r="C540" s="17">
        <f t="shared" si="174"/>
        <v>16162.3125</v>
      </c>
      <c r="D540" s="17">
        <f t="shared" si="182"/>
        <v>16147.09375</v>
      </c>
      <c r="E540" s="17">
        <f t="shared" si="168"/>
        <v>530.5</v>
      </c>
      <c r="F540" s="17">
        <f t="shared" si="169"/>
        <v>104.20833333333334</v>
      </c>
      <c r="G540" s="21">
        <f>INDEX('Life Tables'!$F$8:$F$123,MATCH(Engine!F540,'Life Tables'!$B$8:$B$123,1))</f>
        <v>1</v>
      </c>
      <c r="H540" s="8">
        <f t="shared" si="170"/>
        <v>0.22010231433881802</v>
      </c>
      <c r="I540">
        <f t="shared" si="171"/>
        <v>1</v>
      </c>
      <c r="K540" s="22" t="e">
        <f>$I540*IF($E540&gt;_xlfn.AGGREGATE(4,6,'KM Data'!$B$6:$B$310),NA(),INDEX('KM Data'!$C$6:$C$310,MATCH($E540,'KM Data'!$B$6:$B$310,1)))</f>
        <v>#N/A</v>
      </c>
      <c r="L540" s="21">
        <f t="shared" si="172"/>
        <v>8.9794684118592594E-3</v>
      </c>
      <c r="M540" s="20">
        <f t="shared" si="175"/>
        <v>3.3543279392114211E-3</v>
      </c>
      <c r="N540" s="21">
        <f t="shared" si="183"/>
        <v>0</v>
      </c>
      <c r="O540" s="21">
        <f t="shared" si="184"/>
        <v>0</v>
      </c>
      <c r="P540" s="21">
        <f t="shared" si="185"/>
        <v>0</v>
      </c>
      <c r="R540" s="22" t="e">
        <f>$I540*IF($E540&gt;_xlfn.AGGREGATE(4,6,'KM Data'!$E$6:$E$205),NA(),INDEX('KM Data'!$F$6:$F$205,MATCH($E540,'KM Data'!$E$6:$E$205,1)))</f>
        <v>#N/A</v>
      </c>
      <c r="S540" s="21">
        <f t="shared" si="173"/>
        <v>5.890733789679381E-2</v>
      </c>
      <c r="T540" s="8">
        <f t="shared" si="176"/>
        <v>2.1781748870525197E-3</v>
      </c>
      <c r="U540" s="21">
        <f t="shared" si="186"/>
        <v>0</v>
      </c>
      <c r="V540" s="21">
        <f t="shared" si="187"/>
        <v>0</v>
      </c>
      <c r="W540" s="21">
        <f t="shared" si="188"/>
        <v>0</v>
      </c>
      <c r="Y540" s="23">
        <f t="shared" si="177"/>
        <v>0</v>
      </c>
      <c r="Z540" s="6">
        <f t="shared" si="178"/>
        <v>0</v>
      </c>
      <c r="AA540" s="6">
        <f t="shared" si="179"/>
        <v>1</v>
      </c>
      <c r="AB540" s="6">
        <f t="shared" si="180"/>
        <v>1</v>
      </c>
    </row>
    <row r="541" spans="1:28" x14ac:dyDescent="0.35">
      <c r="A541">
        <v>532</v>
      </c>
      <c r="B541" s="17">
        <f t="shared" si="181"/>
        <v>16162.3125</v>
      </c>
      <c r="C541" s="17">
        <f t="shared" si="174"/>
        <v>16192.75</v>
      </c>
      <c r="D541" s="17">
        <f t="shared" si="182"/>
        <v>16177.53125</v>
      </c>
      <c r="E541" s="17">
        <f t="shared" si="168"/>
        <v>531.5</v>
      </c>
      <c r="F541" s="17">
        <f t="shared" si="169"/>
        <v>104.29166666666666</v>
      </c>
      <c r="G541" s="21">
        <f>INDEX('Life Tables'!$F$8:$F$123,MATCH(Engine!F541,'Life Tables'!$B$8:$B$123,1))</f>
        <v>1</v>
      </c>
      <c r="H541" s="8">
        <f t="shared" si="170"/>
        <v>0.22010231433881802</v>
      </c>
      <c r="I541">
        <f t="shared" si="171"/>
        <v>1</v>
      </c>
      <c r="K541" s="22" t="e">
        <f>$I541*IF($E541&gt;_xlfn.AGGREGATE(4,6,'KM Data'!$B$6:$B$310),NA(),INDEX('KM Data'!$C$6:$C$310,MATCH($E541,'KM Data'!$B$6:$B$310,1)))</f>
        <v>#N/A</v>
      </c>
      <c r="L541" s="21">
        <f t="shared" si="172"/>
        <v>8.9493483300860932E-3</v>
      </c>
      <c r="M541" s="20">
        <f t="shared" si="175"/>
        <v>3.3494242948064468E-3</v>
      </c>
      <c r="N541" s="21">
        <f t="shared" si="183"/>
        <v>0</v>
      </c>
      <c r="O541" s="21">
        <f t="shared" si="184"/>
        <v>0</v>
      </c>
      <c r="P541" s="21">
        <f t="shared" si="185"/>
        <v>0</v>
      </c>
      <c r="R541" s="22" t="e">
        <f>$I541*IF($E541&gt;_xlfn.AGGREGATE(4,6,'KM Data'!$E$6:$E$205),NA(),INDEX('KM Data'!$F$6:$F$205,MATCH($E541,'KM Data'!$E$6:$E$205,1)))</f>
        <v>#N/A</v>
      </c>
      <c r="S541" s="21">
        <f t="shared" si="173"/>
        <v>5.8779027412723894E-2</v>
      </c>
      <c r="T541" s="8">
        <f t="shared" si="176"/>
        <v>2.1751035345882741E-3</v>
      </c>
      <c r="U541" s="21">
        <f t="shared" si="186"/>
        <v>0</v>
      </c>
      <c r="V541" s="21">
        <f t="shared" si="187"/>
        <v>0</v>
      </c>
      <c r="W541" s="21">
        <f t="shared" si="188"/>
        <v>0</v>
      </c>
      <c r="Y541" s="23">
        <f t="shared" si="177"/>
        <v>0</v>
      </c>
      <c r="Z541" s="6">
        <f t="shared" si="178"/>
        <v>0</v>
      </c>
      <c r="AA541" s="6">
        <f t="shared" si="179"/>
        <v>1</v>
      </c>
      <c r="AB541" s="6">
        <f t="shared" si="180"/>
        <v>1</v>
      </c>
    </row>
    <row r="542" spans="1:28" x14ac:dyDescent="0.35">
      <c r="A542">
        <v>533</v>
      </c>
      <c r="B542" s="17">
        <f t="shared" si="181"/>
        <v>16192.75</v>
      </c>
      <c r="C542" s="17">
        <f t="shared" si="174"/>
        <v>16223.1875</v>
      </c>
      <c r="D542" s="17">
        <f t="shared" si="182"/>
        <v>16207.96875</v>
      </c>
      <c r="E542" s="17">
        <f t="shared" si="168"/>
        <v>532.5</v>
      </c>
      <c r="F542" s="17">
        <f t="shared" si="169"/>
        <v>104.375</v>
      </c>
      <c r="G542" s="21">
        <f>INDEX('Life Tables'!$F$8:$F$123,MATCH(Engine!F542,'Life Tables'!$B$8:$B$123,1))</f>
        <v>1</v>
      </c>
      <c r="H542" s="8">
        <f t="shared" si="170"/>
        <v>0.22010231433881802</v>
      </c>
      <c r="I542">
        <f t="shared" si="171"/>
        <v>1</v>
      </c>
      <c r="K542" s="22" t="e">
        <f>$I542*IF($E542&gt;_xlfn.AGGREGATE(4,6,'KM Data'!$B$6:$B$310),NA(),INDEX('KM Data'!$C$6:$C$310,MATCH($E542,'KM Data'!$B$6:$B$310,1)))</f>
        <v>#N/A</v>
      </c>
      <c r="L542" s="21">
        <f t="shared" si="172"/>
        <v>8.9193731653666175E-3</v>
      </c>
      <c r="M542" s="20">
        <f t="shared" si="175"/>
        <v>3.3445365080554401E-3</v>
      </c>
      <c r="N542" s="21">
        <f t="shared" si="183"/>
        <v>0</v>
      </c>
      <c r="O542" s="21">
        <f t="shared" si="184"/>
        <v>0</v>
      </c>
      <c r="P542" s="21">
        <f t="shared" si="185"/>
        <v>0</v>
      </c>
      <c r="R542" s="22" t="e">
        <f>$I542*IF($E542&gt;_xlfn.AGGREGATE(4,6,'KM Data'!$E$6:$E$205),NA(),INDEX('KM Data'!$F$6:$F$205,MATCH($E542,'KM Data'!$E$6:$E$205,1)))</f>
        <v>#N/A</v>
      </c>
      <c r="S542" s="21">
        <f t="shared" si="173"/>
        <v>5.8651176942438821E-2</v>
      </c>
      <c r="T542" s="8">
        <f t="shared" si="176"/>
        <v>2.1720418913164785E-3</v>
      </c>
      <c r="U542" s="21">
        <f t="shared" si="186"/>
        <v>0</v>
      </c>
      <c r="V542" s="21">
        <f t="shared" si="187"/>
        <v>0</v>
      </c>
      <c r="W542" s="21">
        <f t="shared" si="188"/>
        <v>0</v>
      </c>
      <c r="Y542" s="23">
        <f t="shared" si="177"/>
        <v>0</v>
      </c>
      <c r="Z542" s="6">
        <f t="shared" si="178"/>
        <v>0</v>
      </c>
      <c r="AA542" s="6">
        <f t="shared" si="179"/>
        <v>1</v>
      </c>
      <c r="AB542" s="6">
        <f t="shared" si="180"/>
        <v>1</v>
      </c>
    </row>
    <row r="543" spans="1:28" x14ac:dyDescent="0.35">
      <c r="A543">
        <v>534</v>
      </c>
      <c r="B543" s="17">
        <f t="shared" si="181"/>
        <v>16223.1875</v>
      </c>
      <c r="C543" s="17">
        <f t="shared" si="174"/>
        <v>16253.625</v>
      </c>
      <c r="D543" s="17">
        <f t="shared" si="182"/>
        <v>16238.40625</v>
      </c>
      <c r="E543" s="17">
        <f t="shared" si="168"/>
        <v>533.5</v>
      </c>
      <c r="F543" s="17">
        <f t="shared" si="169"/>
        <v>104.45833333333334</v>
      </c>
      <c r="G543" s="21">
        <f>INDEX('Life Tables'!$F$8:$F$123,MATCH(Engine!F543,'Life Tables'!$B$8:$B$123,1))</f>
        <v>1</v>
      </c>
      <c r="H543" s="8">
        <f t="shared" si="170"/>
        <v>0.22010231433881802</v>
      </c>
      <c r="I543">
        <f t="shared" si="171"/>
        <v>1</v>
      </c>
      <c r="K543" s="22" t="e">
        <f>$I543*IF($E543&gt;_xlfn.AGGREGATE(4,6,'KM Data'!$B$6:$B$310),NA(),INDEX('KM Data'!$C$6:$C$310,MATCH($E543,'KM Data'!$B$6:$B$310,1)))</f>
        <v>#N/A</v>
      </c>
      <c r="L543" s="21">
        <f t="shared" si="172"/>
        <v>8.8895419961860789E-3</v>
      </c>
      <c r="M543" s="20">
        <f t="shared" si="175"/>
        <v>3.3396644991591229E-3</v>
      </c>
      <c r="N543" s="21">
        <f t="shared" si="183"/>
        <v>0</v>
      </c>
      <c r="O543" s="21">
        <f t="shared" si="184"/>
        <v>0</v>
      </c>
      <c r="P543" s="21">
        <f t="shared" si="185"/>
        <v>0</v>
      </c>
      <c r="R543" s="22" t="e">
        <f>$I543*IF($E543&gt;_xlfn.AGGREGATE(4,6,'KM Data'!$E$6:$E$205),NA(),INDEX('KM Data'!$F$6:$F$205,MATCH($E543,'KM Data'!$E$6:$E$205,1)))</f>
        <v>#N/A</v>
      </c>
      <c r="S543" s="21">
        <f t="shared" si="173"/>
        <v>5.8523784129144829E-2</v>
      </c>
      <c r="T543" s="8">
        <f t="shared" si="176"/>
        <v>2.1689899092198761E-3</v>
      </c>
      <c r="U543" s="21">
        <f t="shared" si="186"/>
        <v>0</v>
      </c>
      <c r="V543" s="21">
        <f t="shared" si="187"/>
        <v>0</v>
      </c>
      <c r="W543" s="21">
        <f t="shared" si="188"/>
        <v>0</v>
      </c>
      <c r="Y543" s="23">
        <f t="shared" si="177"/>
        <v>0</v>
      </c>
      <c r="Z543" s="6">
        <f t="shared" si="178"/>
        <v>0</v>
      </c>
      <c r="AA543" s="6">
        <f t="shared" si="179"/>
        <v>1</v>
      </c>
      <c r="AB543" s="6">
        <f t="shared" si="180"/>
        <v>1</v>
      </c>
    </row>
    <row r="544" spans="1:28" x14ac:dyDescent="0.35">
      <c r="A544">
        <v>535</v>
      </c>
      <c r="B544" s="17">
        <f t="shared" si="181"/>
        <v>16253.625</v>
      </c>
      <c r="C544" s="17">
        <f t="shared" si="174"/>
        <v>16284.0625</v>
      </c>
      <c r="D544" s="17">
        <f t="shared" si="182"/>
        <v>16268.84375</v>
      </c>
      <c r="E544" s="17">
        <f t="shared" si="168"/>
        <v>534.5</v>
      </c>
      <c r="F544" s="17">
        <f t="shared" si="169"/>
        <v>104.54166666666666</v>
      </c>
      <c r="G544" s="21">
        <f>INDEX('Life Tables'!$F$8:$F$123,MATCH(Engine!F544,'Life Tables'!$B$8:$B$123,1))</f>
        <v>1</v>
      </c>
      <c r="H544" s="8">
        <f t="shared" si="170"/>
        <v>0.22010231433881802</v>
      </c>
      <c r="I544">
        <f t="shared" si="171"/>
        <v>1</v>
      </c>
      <c r="K544" s="22" t="e">
        <f>$I544*IF($E544&gt;_xlfn.AGGREGATE(4,6,'KM Data'!$B$6:$B$310),NA(),INDEX('KM Data'!$C$6:$C$310,MATCH($E544,'KM Data'!$B$6:$B$310,1)))</f>
        <v>#N/A</v>
      </c>
      <c r="L544" s="21">
        <f t="shared" si="172"/>
        <v>8.859853908367632E-3</v>
      </c>
      <c r="M544" s="20">
        <f t="shared" si="175"/>
        <v>3.3348081888672221E-3</v>
      </c>
      <c r="N544" s="21">
        <f t="shared" si="183"/>
        <v>0</v>
      </c>
      <c r="O544" s="21">
        <f t="shared" si="184"/>
        <v>0</v>
      </c>
      <c r="P544" s="21">
        <f t="shared" si="185"/>
        <v>0</v>
      </c>
      <c r="R544" s="22" t="e">
        <f>$I544*IF($E544&gt;_xlfn.AGGREGATE(4,6,'KM Data'!$E$6:$E$205),NA(),INDEX('KM Data'!$F$6:$F$205,MATCH($E544,'KM Data'!$E$6:$E$205,1)))</f>
        <v>#N/A</v>
      </c>
      <c r="S544" s="21">
        <f t="shared" si="173"/>
        <v>5.8396846631919352E-2</v>
      </c>
      <c r="T544" s="8">
        <f t="shared" si="176"/>
        <v>2.1659475406061723E-3</v>
      </c>
      <c r="U544" s="21">
        <f t="shared" si="186"/>
        <v>0</v>
      </c>
      <c r="V544" s="21">
        <f t="shared" si="187"/>
        <v>0</v>
      </c>
      <c r="W544" s="21">
        <f t="shared" si="188"/>
        <v>0</v>
      </c>
      <c r="Y544" s="23">
        <f t="shared" si="177"/>
        <v>0</v>
      </c>
      <c r="Z544" s="6">
        <f t="shared" si="178"/>
        <v>0</v>
      </c>
      <c r="AA544" s="6">
        <f t="shared" si="179"/>
        <v>1</v>
      </c>
      <c r="AB544" s="6">
        <f t="shared" si="180"/>
        <v>1</v>
      </c>
    </row>
    <row r="545" spans="1:28" x14ac:dyDescent="0.35">
      <c r="A545">
        <v>536</v>
      </c>
      <c r="B545" s="17">
        <f t="shared" si="181"/>
        <v>16284.0625</v>
      </c>
      <c r="C545" s="17">
        <f t="shared" si="174"/>
        <v>16314.5</v>
      </c>
      <c r="D545" s="17">
        <f t="shared" si="182"/>
        <v>16299.28125</v>
      </c>
      <c r="E545" s="17">
        <f t="shared" si="168"/>
        <v>535.5</v>
      </c>
      <c r="F545" s="17">
        <f t="shared" si="169"/>
        <v>104.625</v>
      </c>
      <c r="G545" s="21">
        <f>INDEX('Life Tables'!$F$8:$F$123,MATCH(Engine!F545,'Life Tables'!$B$8:$B$123,1))</f>
        <v>1</v>
      </c>
      <c r="H545" s="8">
        <f t="shared" si="170"/>
        <v>0.22010231433881802</v>
      </c>
      <c r="I545">
        <f t="shared" si="171"/>
        <v>1</v>
      </c>
      <c r="K545" s="22" t="e">
        <f>$I545*IF($E545&gt;_xlfn.AGGREGATE(4,6,'KM Data'!$B$6:$B$310),NA(),INDEX('KM Data'!$C$6:$C$310,MATCH($E545,'KM Data'!$B$6:$B$310,1)))</f>
        <v>#N/A</v>
      </c>
      <c r="L545" s="21">
        <f t="shared" si="172"/>
        <v>8.8303079950018404E-3</v>
      </c>
      <c r="M545" s="20">
        <f t="shared" si="175"/>
        <v>3.3299674984504923E-3</v>
      </c>
      <c r="N545" s="21">
        <f t="shared" si="183"/>
        <v>0</v>
      </c>
      <c r="O545" s="21">
        <f t="shared" si="184"/>
        <v>0</v>
      </c>
      <c r="P545" s="21">
        <f t="shared" si="185"/>
        <v>0</v>
      </c>
      <c r="R545" s="22" t="e">
        <f>$I545*IF($E545&gt;_xlfn.AGGREGATE(4,6,'KM Data'!$E$6:$E$205),NA(),INDEX('KM Data'!$F$6:$F$205,MATCH($E545,'KM Data'!$E$6:$E$205,1)))</f>
        <v>#N/A</v>
      </c>
      <c r="S545" s="21">
        <f t="shared" si="173"/>
        <v>5.827036212557779E-2</v>
      </c>
      <c r="T545" s="8">
        <f t="shared" si="176"/>
        <v>2.1629147380924918E-3</v>
      </c>
      <c r="U545" s="21">
        <f t="shared" si="186"/>
        <v>0</v>
      </c>
      <c r="V545" s="21">
        <f t="shared" si="187"/>
        <v>0</v>
      </c>
      <c r="W545" s="21">
        <f t="shared" si="188"/>
        <v>0</v>
      </c>
      <c r="Y545" s="23">
        <f t="shared" si="177"/>
        <v>0</v>
      </c>
      <c r="Z545" s="6">
        <f t="shared" si="178"/>
        <v>0</v>
      </c>
      <c r="AA545" s="6">
        <f t="shared" si="179"/>
        <v>1</v>
      </c>
      <c r="AB545" s="6">
        <f t="shared" si="180"/>
        <v>1</v>
      </c>
    </row>
    <row r="546" spans="1:28" x14ac:dyDescent="0.35">
      <c r="A546">
        <v>537</v>
      </c>
      <c r="B546" s="17">
        <f t="shared" si="181"/>
        <v>16314.5</v>
      </c>
      <c r="C546" s="17">
        <f t="shared" si="174"/>
        <v>16344.9375</v>
      </c>
      <c r="D546" s="17">
        <f t="shared" si="182"/>
        <v>16329.71875</v>
      </c>
      <c r="E546" s="17">
        <f t="shared" si="168"/>
        <v>536.5</v>
      </c>
      <c r="F546" s="17">
        <f t="shared" si="169"/>
        <v>104.70833333333334</v>
      </c>
      <c r="G546" s="21">
        <f>INDEX('Life Tables'!$F$8:$F$123,MATCH(Engine!F546,'Life Tables'!$B$8:$B$123,1))</f>
        <v>1</v>
      </c>
      <c r="H546" s="8">
        <f t="shared" si="170"/>
        <v>0.22010231433881802</v>
      </c>
      <c r="I546">
        <f t="shared" si="171"/>
        <v>1</v>
      </c>
      <c r="K546" s="22" t="e">
        <f>$I546*IF($E546&gt;_xlfn.AGGREGATE(4,6,'KM Data'!$B$6:$B$310),NA(),INDEX('KM Data'!$C$6:$C$310,MATCH($E546,'KM Data'!$B$6:$B$310,1)))</f>
        <v>#N/A</v>
      </c>
      <c r="L546" s="21">
        <f t="shared" si="172"/>
        <v>8.8009033563771766E-3</v>
      </c>
      <c r="M546" s="20">
        <f t="shared" si="175"/>
        <v>3.3251423497344668E-3</v>
      </c>
      <c r="N546" s="21">
        <f t="shared" si="183"/>
        <v>0</v>
      </c>
      <c r="O546" s="21">
        <f t="shared" si="184"/>
        <v>0</v>
      </c>
      <c r="P546" s="21">
        <f t="shared" si="185"/>
        <v>0</v>
      </c>
      <c r="R546" s="22" t="e">
        <f>$I546*IF($E546&gt;_xlfn.AGGREGATE(4,6,'KM Data'!$E$6:$E$205),NA(),INDEX('KM Data'!$F$6:$F$205,MATCH($E546,'KM Data'!$E$6:$E$205,1)))</f>
        <v>#N/A</v>
      </c>
      <c r="S546" s="21">
        <f t="shared" si="173"/>
        <v>5.8144328300542392E-2</v>
      </c>
      <c r="T546" s="8">
        <f t="shared" si="176"/>
        <v>2.1598914546269166E-3</v>
      </c>
      <c r="U546" s="21">
        <f t="shared" si="186"/>
        <v>0</v>
      </c>
      <c r="V546" s="21">
        <f t="shared" si="187"/>
        <v>0</v>
      </c>
      <c r="W546" s="21">
        <f t="shared" si="188"/>
        <v>0</v>
      </c>
      <c r="Y546" s="23">
        <f t="shared" si="177"/>
        <v>0</v>
      </c>
      <c r="Z546" s="6">
        <f t="shared" si="178"/>
        <v>0</v>
      </c>
      <c r="AA546" s="6">
        <f t="shared" si="179"/>
        <v>1</v>
      </c>
      <c r="AB546" s="6">
        <f t="shared" si="180"/>
        <v>1</v>
      </c>
    </row>
    <row r="547" spans="1:28" x14ac:dyDescent="0.35">
      <c r="A547">
        <v>538</v>
      </c>
      <c r="B547" s="17">
        <f t="shared" si="181"/>
        <v>16344.9375</v>
      </c>
      <c r="C547" s="17">
        <f t="shared" si="174"/>
        <v>16375.375</v>
      </c>
      <c r="D547" s="17">
        <f t="shared" si="182"/>
        <v>16360.15625</v>
      </c>
      <c r="E547" s="17">
        <f t="shared" si="168"/>
        <v>537.5</v>
      </c>
      <c r="F547" s="17">
        <f t="shared" si="169"/>
        <v>104.79166666666666</v>
      </c>
      <c r="G547" s="21">
        <f>INDEX('Life Tables'!$F$8:$F$123,MATCH(Engine!F547,'Life Tables'!$B$8:$B$123,1))</f>
        <v>1</v>
      </c>
      <c r="H547" s="8">
        <f t="shared" si="170"/>
        <v>0.22010231433881802</v>
      </c>
      <c r="I547">
        <f t="shared" si="171"/>
        <v>1</v>
      </c>
      <c r="K547" s="22" t="e">
        <f>$I547*IF($E547&gt;_xlfn.AGGREGATE(4,6,'KM Data'!$B$6:$B$310),NA(),INDEX('KM Data'!$C$6:$C$310,MATCH($E547,'KM Data'!$B$6:$B$310,1)))</f>
        <v>#N/A</v>
      </c>
      <c r="L547" s="21">
        <f t="shared" si="172"/>
        <v>8.7716390999109661E-3</v>
      </c>
      <c r="M547" s="20">
        <f t="shared" si="175"/>
        <v>3.3203326650694809E-3</v>
      </c>
      <c r="N547" s="21">
        <f t="shared" si="183"/>
        <v>0</v>
      </c>
      <c r="O547" s="21">
        <f t="shared" si="184"/>
        <v>0</v>
      </c>
      <c r="P547" s="21">
        <f t="shared" si="185"/>
        <v>0</v>
      </c>
      <c r="R547" s="22" t="e">
        <f>$I547*IF($E547&gt;_xlfn.AGGREGATE(4,6,'KM Data'!$E$6:$E$205),NA(),INDEX('KM Data'!$F$6:$F$205,MATCH($E547,'KM Data'!$E$6:$E$205,1)))</f>
        <v>#N/A</v>
      </c>
      <c r="S547" s="21">
        <f t="shared" si="173"/>
        <v>5.8018742862711026E-2</v>
      </c>
      <c r="T547" s="8">
        <f t="shared" si="176"/>
        <v>2.1568776434706116E-3</v>
      </c>
      <c r="U547" s="21">
        <f t="shared" si="186"/>
        <v>0</v>
      </c>
      <c r="V547" s="21">
        <f t="shared" si="187"/>
        <v>0</v>
      </c>
      <c r="W547" s="21">
        <f t="shared" si="188"/>
        <v>0</v>
      </c>
      <c r="Y547" s="23">
        <f t="shared" si="177"/>
        <v>0</v>
      </c>
      <c r="Z547" s="6">
        <f t="shared" si="178"/>
        <v>0</v>
      </c>
      <c r="AA547" s="6">
        <f t="shared" si="179"/>
        <v>1</v>
      </c>
      <c r="AB547" s="6">
        <f t="shared" si="180"/>
        <v>1</v>
      </c>
    </row>
    <row r="548" spans="1:28" x14ac:dyDescent="0.35">
      <c r="A548">
        <v>539</v>
      </c>
      <c r="B548" s="17">
        <f t="shared" si="181"/>
        <v>16375.375</v>
      </c>
      <c r="C548" s="17">
        <f t="shared" si="174"/>
        <v>16405.8125</v>
      </c>
      <c r="D548" s="17">
        <f t="shared" si="182"/>
        <v>16390.59375</v>
      </c>
      <c r="E548" s="17">
        <f t="shared" si="168"/>
        <v>538.5</v>
      </c>
      <c r="F548" s="17">
        <f t="shared" si="169"/>
        <v>104.875</v>
      </c>
      <c r="G548" s="21">
        <f>INDEX('Life Tables'!$F$8:$F$123,MATCH(Engine!F548,'Life Tables'!$B$8:$B$123,1))</f>
        <v>1</v>
      </c>
      <c r="H548" s="8">
        <f t="shared" si="170"/>
        <v>0.22010231433881802</v>
      </c>
      <c r="I548">
        <f t="shared" si="171"/>
        <v>1</v>
      </c>
      <c r="K548" s="22" t="e">
        <f>$I548*IF($E548&gt;_xlfn.AGGREGATE(4,6,'KM Data'!$B$6:$B$310),NA(),INDEX('KM Data'!$C$6:$C$310,MATCH($E548,'KM Data'!$B$6:$B$310,1)))</f>
        <v>#N/A</v>
      </c>
      <c r="L548" s="21">
        <f t="shared" si="172"/>
        <v>8.742514340081331E-3</v>
      </c>
      <c r="M548" s="20">
        <f t="shared" si="175"/>
        <v>3.3155383673367789E-3</v>
      </c>
      <c r="N548" s="21">
        <f t="shared" si="183"/>
        <v>0</v>
      </c>
      <c r="O548" s="21">
        <f t="shared" si="184"/>
        <v>0</v>
      </c>
      <c r="P548" s="21">
        <f t="shared" si="185"/>
        <v>0</v>
      </c>
      <c r="R548" s="22" t="e">
        <f>$I548*IF($E548&gt;_xlfn.AGGREGATE(4,6,'KM Data'!$E$6:$E$205),NA(),INDEX('KM Data'!$F$6:$F$205,MATCH($E548,'KM Data'!$E$6:$E$205,1)))</f>
        <v>#N/A</v>
      </c>
      <c r="S548" s="21">
        <f t="shared" si="173"/>
        <v>5.7893603533328175E-2</v>
      </c>
      <c r="T548" s="8">
        <f t="shared" si="176"/>
        <v>2.1538732581842801E-3</v>
      </c>
      <c r="U548" s="21">
        <f t="shared" si="186"/>
        <v>0</v>
      </c>
      <c r="V548" s="21">
        <f t="shared" si="187"/>
        <v>0</v>
      </c>
      <c r="W548" s="21">
        <f t="shared" si="188"/>
        <v>0</v>
      </c>
      <c r="Y548" s="23">
        <f t="shared" si="177"/>
        <v>0</v>
      </c>
      <c r="Z548" s="6">
        <f t="shared" si="178"/>
        <v>0</v>
      </c>
      <c r="AA548" s="6">
        <f t="shared" si="179"/>
        <v>1</v>
      </c>
      <c r="AB548" s="6">
        <f t="shared" si="180"/>
        <v>1</v>
      </c>
    </row>
    <row r="549" spans="1:28" x14ac:dyDescent="0.35">
      <c r="A549">
        <v>540</v>
      </c>
      <c r="B549" s="17">
        <f t="shared" si="181"/>
        <v>16405.8125</v>
      </c>
      <c r="C549" s="17">
        <f t="shared" si="174"/>
        <v>16436.25</v>
      </c>
      <c r="D549" s="17">
        <f t="shared" si="182"/>
        <v>16421.03125</v>
      </c>
      <c r="E549" s="17">
        <f t="shared" si="168"/>
        <v>539.5</v>
      </c>
      <c r="F549" s="17">
        <f t="shared" si="169"/>
        <v>104.95833333333334</v>
      </c>
      <c r="G549" s="21">
        <f>INDEX('Life Tables'!$F$8:$F$123,MATCH(Engine!F549,'Life Tables'!$B$8:$B$123,1))</f>
        <v>1</v>
      </c>
      <c r="H549" s="8">
        <f t="shared" si="170"/>
        <v>0.21265924090707056</v>
      </c>
      <c r="I549">
        <f t="shared" si="171"/>
        <v>1</v>
      </c>
      <c r="K549" s="22" t="e">
        <f>$I549*IF($E549&gt;_xlfn.AGGREGATE(4,6,'KM Data'!$B$6:$B$310),NA(),INDEX('KM Data'!$C$6:$C$310,MATCH($E549,'KM Data'!$B$6:$B$310,1)))</f>
        <v>#N/A</v>
      </c>
      <c r="L549" s="21">
        <f t="shared" si="172"/>
        <v>8.713528198359799E-3</v>
      </c>
      <c r="M549" s="20">
        <f t="shared" si="175"/>
        <v>3.3107593799419632E-3</v>
      </c>
      <c r="N549" s="21">
        <f t="shared" si="183"/>
        <v>0</v>
      </c>
      <c r="O549" s="21">
        <f t="shared" si="184"/>
        <v>0</v>
      </c>
      <c r="P549" s="21">
        <f t="shared" si="185"/>
        <v>0</v>
      </c>
      <c r="R549" s="22" t="e">
        <f>$I549*IF($E549&gt;_xlfn.AGGREGATE(4,6,'KM Data'!$E$6:$E$205),NA(),INDEX('KM Data'!$F$6:$F$205,MATCH($E549,'KM Data'!$E$6:$E$205,1)))</f>
        <v>#N/A</v>
      </c>
      <c r="S549" s="21">
        <f t="shared" si="173"/>
        <v>5.7768908048857814E-2</v>
      </c>
      <c r="T549" s="8">
        <f t="shared" si="176"/>
        <v>2.1508782526616921E-3</v>
      </c>
      <c r="U549" s="21">
        <f t="shared" si="186"/>
        <v>0</v>
      </c>
      <c r="V549" s="21">
        <f t="shared" si="187"/>
        <v>0</v>
      </c>
      <c r="W549" s="21">
        <f t="shared" si="188"/>
        <v>0</v>
      </c>
      <c r="Y549" s="23">
        <f t="shared" si="177"/>
        <v>0</v>
      </c>
      <c r="Z549" s="6">
        <f t="shared" si="178"/>
        <v>0</v>
      </c>
      <c r="AA549" s="6">
        <f t="shared" si="179"/>
        <v>1</v>
      </c>
      <c r="AB549" s="6">
        <f t="shared" si="180"/>
        <v>1</v>
      </c>
    </row>
    <row r="550" spans="1:28" x14ac:dyDescent="0.35">
      <c r="A550">
        <v>541</v>
      </c>
      <c r="B550" s="17">
        <f t="shared" si="181"/>
        <v>16436.25</v>
      </c>
      <c r="C550" s="17">
        <f t="shared" si="174"/>
        <v>16466.6875</v>
      </c>
      <c r="D550" s="17">
        <f t="shared" si="182"/>
        <v>16451.46875</v>
      </c>
      <c r="E550" s="17">
        <f t="shared" si="168"/>
        <v>540.5</v>
      </c>
      <c r="F550" s="17">
        <f t="shared" si="169"/>
        <v>105.04166666666666</v>
      </c>
      <c r="G550" s="21">
        <f>INDEX('Life Tables'!$F$8:$F$123,MATCH(Engine!F550,'Life Tables'!$B$8:$B$123,1))</f>
        <v>1</v>
      </c>
      <c r="H550" s="8">
        <f t="shared" si="170"/>
        <v>0.21265924090707056</v>
      </c>
      <c r="I550">
        <f t="shared" si="171"/>
        <v>1</v>
      </c>
      <c r="K550" s="22" t="e">
        <f>$I550*IF($E550&gt;_xlfn.AGGREGATE(4,6,'KM Data'!$B$6:$B$310),NA(),INDEX('KM Data'!$C$6:$C$310,MATCH($E550,'KM Data'!$B$6:$B$310,1)))</f>
        <v>#N/A</v>
      </c>
      <c r="L550" s="21">
        <f t="shared" si="172"/>
        <v>8.6846798031446903E-3</v>
      </c>
      <c r="M550" s="20">
        <f t="shared" si="175"/>
        <v>3.3059956267934565E-3</v>
      </c>
      <c r="N550" s="21">
        <f t="shared" si="183"/>
        <v>0</v>
      </c>
      <c r="O550" s="21">
        <f t="shared" si="184"/>
        <v>0</v>
      </c>
      <c r="P550" s="21">
        <f t="shared" si="185"/>
        <v>0</v>
      </c>
      <c r="R550" s="22" t="e">
        <f>$I550*IF($E550&gt;_xlfn.AGGREGATE(4,6,'KM Data'!$E$6:$E$205),NA(),INDEX('KM Data'!$F$6:$F$205,MATCH($E550,'KM Data'!$E$6:$E$205,1)))</f>
        <v>#N/A</v>
      </c>
      <c r="S550" s="21">
        <f t="shared" si="173"/>
        <v>5.7644654160855513E-2</v>
      </c>
      <c r="T550" s="8">
        <f t="shared" si="176"/>
        <v>2.1478925810850535E-3</v>
      </c>
      <c r="U550" s="21">
        <f t="shared" si="186"/>
        <v>0</v>
      </c>
      <c r="V550" s="21">
        <f t="shared" si="187"/>
        <v>0</v>
      </c>
      <c r="W550" s="21">
        <f t="shared" si="188"/>
        <v>0</v>
      </c>
      <c r="Y550" s="23">
        <f t="shared" si="177"/>
        <v>0</v>
      </c>
      <c r="Z550" s="6">
        <f t="shared" si="178"/>
        <v>0</v>
      </c>
      <c r="AA550" s="6">
        <f t="shared" si="179"/>
        <v>1</v>
      </c>
      <c r="AB550" s="6">
        <f t="shared" si="180"/>
        <v>1</v>
      </c>
    </row>
    <row r="551" spans="1:28" x14ac:dyDescent="0.35">
      <c r="A551">
        <v>542</v>
      </c>
      <c r="B551" s="17">
        <f t="shared" si="181"/>
        <v>16466.6875</v>
      </c>
      <c r="C551" s="17">
        <f t="shared" si="174"/>
        <v>16497.125</v>
      </c>
      <c r="D551" s="17">
        <f t="shared" si="182"/>
        <v>16481.90625</v>
      </c>
      <c r="E551" s="17">
        <f t="shared" si="168"/>
        <v>541.5</v>
      </c>
      <c r="F551" s="17">
        <f t="shared" si="169"/>
        <v>105.125</v>
      </c>
      <c r="G551" s="21">
        <f>INDEX('Life Tables'!$F$8:$F$123,MATCH(Engine!F551,'Life Tables'!$B$8:$B$123,1))</f>
        <v>1</v>
      </c>
      <c r="H551" s="8">
        <f t="shared" si="170"/>
        <v>0.21265924090707056</v>
      </c>
      <c r="I551">
        <f t="shared" si="171"/>
        <v>1</v>
      </c>
      <c r="K551" s="22" t="e">
        <f>$I551*IF($E551&gt;_xlfn.AGGREGATE(4,6,'KM Data'!$B$6:$B$310),NA(),INDEX('KM Data'!$C$6:$C$310,MATCH($E551,'KM Data'!$B$6:$B$310,1)))</f>
        <v>#N/A</v>
      </c>
      <c r="L551" s="21">
        <f t="shared" si="172"/>
        <v>8.6559682896953927E-3</v>
      </c>
      <c r="M551" s="20">
        <f t="shared" si="175"/>
        <v>3.301247032331589E-3</v>
      </c>
      <c r="N551" s="21">
        <f t="shared" si="183"/>
        <v>0</v>
      </c>
      <c r="O551" s="21">
        <f t="shared" si="184"/>
        <v>0</v>
      </c>
      <c r="P551" s="21">
        <f t="shared" si="185"/>
        <v>0</v>
      </c>
      <c r="R551" s="22" t="e">
        <f>$I551*IF($E551&gt;_xlfn.AGGREGATE(4,6,'KM Data'!$E$6:$E$205),NA(),INDEX('KM Data'!$F$6:$F$205,MATCH($E551,'KM Data'!$E$6:$E$205,1)))</f>
        <v>#N/A</v>
      </c>
      <c r="S551" s="21">
        <f t="shared" si="173"/>
        <v>5.7520839635844201E-2</v>
      </c>
      <c r="T551" s="8">
        <f t="shared" si="176"/>
        <v>2.144916197947988E-3</v>
      </c>
      <c r="U551" s="21">
        <f t="shared" si="186"/>
        <v>0</v>
      </c>
      <c r="V551" s="21">
        <f t="shared" si="187"/>
        <v>0</v>
      </c>
      <c r="W551" s="21">
        <f t="shared" si="188"/>
        <v>0</v>
      </c>
      <c r="Y551" s="23">
        <f t="shared" si="177"/>
        <v>0</v>
      </c>
      <c r="Z551" s="6">
        <f t="shared" si="178"/>
        <v>0</v>
      </c>
      <c r="AA551" s="6">
        <f t="shared" si="179"/>
        <v>1</v>
      </c>
      <c r="AB551" s="6">
        <f t="shared" si="180"/>
        <v>1</v>
      </c>
    </row>
    <row r="552" spans="1:28" x14ac:dyDescent="0.35">
      <c r="A552">
        <v>543</v>
      </c>
      <c r="B552" s="17">
        <f t="shared" si="181"/>
        <v>16497.125</v>
      </c>
      <c r="C552" s="17">
        <f t="shared" si="174"/>
        <v>16527.5625</v>
      </c>
      <c r="D552" s="17">
        <f t="shared" si="182"/>
        <v>16512.34375</v>
      </c>
      <c r="E552" s="17">
        <f t="shared" si="168"/>
        <v>542.5</v>
      </c>
      <c r="F552" s="17">
        <f t="shared" si="169"/>
        <v>105.20833333333334</v>
      </c>
      <c r="G552" s="21">
        <f>INDEX('Life Tables'!$F$8:$F$123,MATCH(Engine!F552,'Life Tables'!$B$8:$B$123,1))</f>
        <v>1</v>
      </c>
      <c r="H552" s="8">
        <f t="shared" si="170"/>
        <v>0.21265924090707056</v>
      </c>
      <c r="I552">
        <f t="shared" si="171"/>
        <v>1</v>
      </c>
      <c r="K552" s="22" t="e">
        <f>$I552*IF($E552&gt;_xlfn.AGGREGATE(4,6,'KM Data'!$B$6:$B$310),NA(),INDEX('KM Data'!$C$6:$C$310,MATCH($E552,'KM Data'!$B$6:$B$310,1)))</f>
        <v>#N/A</v>
      </c>
      <c r="L552" s="21">
        <f t="shared" si="172"/>
        <v>8.6273928000670796E-3</v>
      </c>
      <c r="M552" s="20">
        <f t="shared" si="175"/>
        <v>3.296513521518496E-3</v>
      </c>
      <c r="N552" s="21">
        <f t="shared" si="183"/>
        <v>0</v>
      </c>
      <c r="O552" s="21">
        <f t="shared" si="184"/>
        <v>0</v>
      </c>
      <c r="P552" s="21">
        <f t="shared" si="185"/>
        <v>0</v>
      </c>
      <c r="R552" s="22" t="e">
        <f>$I552*IF($E552&gt;_xlfn.AGGREGATE(4,6,'KM Data'!$E$6:$E$205),NA(),INDEX('KM Data'!$F$6:$F$205,MATCH($E552,'KM Data'!$E$6:$E$205,1)))</f>
        <v>#N/A</v>
      </c>
      <c r="S552" s="21">
        <f t="shared" si="173"/>
        <v>5.7397462255189713E-2</v>
      </c>
      <c r="T552" s="8">
        <f t="shared" si="176"/>
        <v>2.1419490580456557E-3</v>
      </c>
      <c r="U552" s="21">
        <f t="shared" si="186"/>
        <v>0</v>
      </c>
      <c r="V552" s="21">
        <f t="shared" si="187"/>
        <v>0</v>
      </c>
      <c r="W552" s="21">
        <f t="shared" si="188"/>
        <v>0</v>
      </c>
      <c r="Y552" s="23">
        <f t="shared" si="177"/>
        <v>0</v>
      </c>
      <c r="Z552" s="6">
        <f t="shared" si="178"/>
        <v>0</v>
      </c>
      <c r="AA552" s="6">
        <f t="shared" si="179"/>
        <v>1</v>
      </c>
      <c r="AB552" s="6">
        <f t="shared" si="180"/>
        <v>1</v>
      </c>
    </row>
    <row r="553" spans="1:28" x14ac:dyDescent="0.35">
      <c r="A553">
        <v>544</v>
      </c>
      <c r="B553" s="17">
        <f t="shared" si="181"/>
        <v>16527.5625</v>
      </c>
      <c r="C553" s="17">
        <f t="shared" si="174"/>
        <v>16558</v>
      </c>
      <c r="D553" s="17">
        <f t="shared" si="182"/>
        <v>16542.78125</v>
      </c>
      <c r="E553" s="17">
        <f t="shared" si="168"/>
        <v>543.5</v>
      </c>
      <c r="F553" s="17">
        <f t="shared" si="169"/>
        <v>105.29166666666666</v>
      </c>
      <c r="G553" s="21">
        <f>INDEX('Life Tables'!$F$8:$F$123,MATCH(Engine!F553,'Life Tables'!$B$8:$B$123,1))</f>
        <v>1</v>
      </c>
      <c r="H553" s="8">
        <f t="shared" si="170"/>
        <v>0.21265924090707056</v>
      </c>
      <c r="I553">
        <f t="shared" si="171"/>
        <v>1</v>
      </c>
      <c r="K553" s="22" t="e">
        <f>$I553*IF($E553&gt;_xlfn.AGGREGATE(4,6,'KM Data'!$B$6:$B$310),NA(),INDEX('KM Data'!$C$6:$C$310,MATCH($E553,'KM Data'!$B$6:$B$310,1)))</f>
        <v>#N/A</v>
      </c>
      <c r="L553" s="21">
        <f t="shared" si="172"/>
        <v>8.5989524830462072E-3</v>
      </c>
      <c r="M553" s="20">
        <f t="shared" si="175"/>
        <v>3.2917950197624002E-3</v>
      </c>
      <c r="N553" s="21">
        <f t="shared" si="183"/>
        <v>0</v>
      </c>
      <c r="O553" s="21">
        <f t="shared" si="184"/>
        <v>0</v>
      </c>
      <c r="P553" s="21">
        <f t="shared" si="185"/>
        <v>0</v>
      </c>
      <c r="R553" s="22" t="e">
        <f>$I553*IF($E553&gt;_xlfn.AGGREGATE(4,6,'KM Data'!$E$6:$E$205),NA(),INDEX('KM Data'!$F$6:$F$205,MATCH($E553,'KM Data'!$E$6:$E$205,1)))</f>
        <v>#N/A</v>
      </c>
      <c r="S553" s="21">
        <f t="shared" si="173"/>
        <v>5.7274519814977998E-2</v>
      </c>
      <c r="T553" s="8">
        <f t="shared" si="176"/>
        <v>2.1389911164799713E-3</v>
      </c>
      <c r="U553" s="21">
        <f t="shared" si="186"/>
        <v>0</v>
      </c>
      <c r="V553" s="21">
        <f t="shared" si="187"/>
        <v>0</v>
      </c>
      <c r="W553" s="21">
        <f t="shared" si="188"/>
        <v>0</v>
      </c>
      <c r="Y553" s="23">
        <f t="shared" si="177"/>
        <v>0</v>
      </c>
      <c r="Z553" s="6">
        <f t="shared" si="178"/>
        <v>0</v>
      </c>
      <c r="AA553" s="6">
        <f t="shared" si="179"/>
        <v>1</v>
      </c>
      <c r="AB553" s="6">
        <f t="shared" si="180"/>
        <v>1</v>
      </c>
    </row>
    <row r="554" spans="1:28" x14ac:dyDescent="0.35">
      <c r="A554">
        <v>545</v>
      </c>
      <c r="B554" s="17">
        <f t="shared" si="181"/>
        <v>16558</v>
      </c>
      <c r="C554" s="17">
        <f t="shared" si="174"/>
        <v>16588.4375</v>
      </c>
      <c r="D554" s="17">
        <f t="shared" si="182"/>
        <v>16573.21875</v>
      </c>
      <c r="E554" s="17">
        <f t="shared" si="168"/>
        <v>544.5</v>
      </c>
      <c r="F554" s="17">
        <f t="shared" si="169"/>
        <v>105.375</v>
      </c>
      <c r="G554" s="21">
        <f>INDEX('Life Tables'!$F$8:$F$123,MATCH(Engine!F554,'Life Tables'!$B$8:$B$123,1))</f>
        <v>1</v>
      </c>
      <c r="H554" s="8">
        <f t="shared" si="170"/>
        <v>0.21265924090707056</v>
      </c>
      <c r="I554">
        <f t="shared" si="171"/>
        <v>1</v>
      </c>
      <c r="K554" s="22" t="e">
        <f>$I554*IF($E554&gt;_xlfn.AGGREGATE(4,6,'KM Data'!$B$6:$B$310),NA(),INDEX('KM Data'!$C$6:$C$310,MATCH($E554,'KM Data'!$B$6:$B$310,1)))</f>
        <v>#N/A</v>
      </c>
      <c r="L554" s="21">
        <f t="shared" si="172"/>
        <v>8.5706464940873417E-3</v>
      </c>
      <c r="M554" s="20">
        <f t="shared" si="175"/>
        <v>3.287091453046509E-3</v>
      </c>
      <c r="N554" s="21">
        <f t="shared" si="183"/>
        <v>0</v>
      </c>
      <c r="O554" s="21">
        <f t="shared" si="184"/>
        <v>0</v>
      </c>
      <c r="P554" s="21">
        <f t="shared" si="185"/>
        <v>0</v>
      </c>
      <c r="R554" s="22" t="e">
        <f>$I554*IF($E554&gt;_xlfn.AGGREGATE(4,6,'KM Data'!$E$6:$E$205),NA(),INDEX('KM Data'!$F$6:$F$205,MATCH($E554,'KM Data'!$E$6:$E$205,1)))</f>
        <v>#N/A</v>
      </c>
      <c r="S554" s="21">
        <f t="shared" si="173"/>
        <v>5.7152010125893105E-2</v>
      </c>
      <c r="T554" s="8">
        <f t="shared" si="176"/>
        <v>2.1360423286370667E-3</v>
      </c>
      <c r="U554" s="21">
        <f t="shared" si="186"/>
        <v>0</v>
      </c>
      <c r="V554" s="21">
        <f t="shared" si="187"/>
        <v>0</v>
      </c>
      <c r="W554" s="21">
        <f t="shared" si="188"/>
        <v>0</v>
      </c>
      <c r="Y554" s="23">
        <f t="shared" si="177"/>
        <v>0</v>
      </c>
      <c r="Z554" s="6">
        <f t="shared" si="178"/>
        <v>0</v>
      </c>
      <c r="AA554" s="6">
        <f t="shared" si="179"/>
        <v>1</v>
      </c>
      <c r="AB554" s="6">
        <f t="shared" si="180"/>
        <v>1</v>
      </c>
    </row>
    <row r="555" spans="1:28" x14ac:dyDescent="0.35">
      <c r="A555">
        <v>546</v>
      </c>
      <c r="B555" s="17">
        <f t="shared" si="181"/>
        <v>16588.4375</v>
      </c>
      <c r="C555" s="17">
        <f t="shared" si="174"/>
        <v>16618.875</v>
      </c>
      <c r="D555" s="17">
        <f t="shared" si="182"/>
        <v>16603.65625</v>
      </c>
      <c r="E555" s="17">
        <f t="shared" si="168"/>
        <v>545.5</v>
      </c>
      <c r="F555" s="17">
        <f t="shared" si="169"/>
        <v>105.45833333333334</v>
      </c>
      <c r="G555" s="21">
        <f>INDEX('Life Tables'!$F$8:$F$123,MATCH(Engine!F555,'Life Tables'!$B$8:$B$123,1))</f>
        <v>1</v>
      </c>
      <c r="H555" s="8">
        <f t="shared" si="170"/>
        <v>0.21265924090707056</v>
      </c>
      <c r="I555">
        <f t="shared" si="171"/>
        <v>1</v>
      </c>
      <c r="K555" s="22" t="e">
        <f>$I555*IF($E555&gt;_xlfn.AGGREGATE(4,6,'KM Data'!$B$6:$B$310),NA(),INDEX('KM Data'!$C$6:$C$310,MATCH($E555,'KM Data'!$B$6:$B$310,1)))</f>
        <v>#N/A</v>
      </c>
      <c r="L555" s="21">
        <f t="shared" si="172"/>
        <v>8.5424739952495443E-3</v>
      </c>
      <c r="M555" s="20">
        <f t="shared" si="175"/>
        <v>3.2824027477864615E-3</v>
      </c>
      <c r="N555" s="21">
        <f t="shared" si="183"/>
        <v>0</v>
      </c>
      <c r="O555" s="21">
        <f t="shared" si="184"/>
        <v>0</v>
      </c>
      <c r="P555" s="21">
        <f t="shared" si="185"/>
        <v>0</v>
      </c>
      <c r="R555" s="22" t="e">
        <f>$I555*IF($E555&gt;_xlfn.AGGREGATE(4,6,'KM Data'!$E$6:$E$205),NA(),INDEX('KM Data'!$F$6:$F$205,MATCH($E555,'KM Data'!$E$6:$E$205,1)))</f>
        <v>#N/A</v>
      </c>
      <c r="S555" s="21">
        <f t="shared" si="173"/>
        <v>5.7029931013097501E-2</v>
      </c>
      <c r="T555" s="8">
        <f t="shared" si="176"/>
        <v>2.1331026502100503E-3</v>
      </c>
      <c r="U555" s="21">
        <f t="shared" si="186"/>
        <v>0</v>
      </c>
      <c r="V555" s="21">
        <f t="shared" si="187"/>
        <v>0</v>
      </c>
      <c r="W555" s="21">
        <f t="shared" si="188"/>
        <v>0</v>
      </c>
      <c r="Y555" s="23">
        <f t="shared" si="177"/>
        <v>0</v>
      </c>
      <c r="Z555" s="6">
        <f t="shared" si="178"/>
        <v>0</v>
      </c>
      <c r="AA555" s="6">
        <f t="shared" si="179"/>
        <v>1</v>
      </c>
      <c r="AB555" s="6">
        <f t="shared" si="180"/>
        <v>1</v>
      </c>
    </row>
    <row r="556" spans="1:28" x14ac:dyDescent="0.35">
      <c r="A556">
        <v>547</v>
      </c>
      <c r="B556" s="17">
        <f t="shared" si="181"/>
        <v>16618.875</v>
      </c>
      <c r="C556" s="17">
        <f t="shared" si="174"/>
        <v>16649.3125</v>
      </c>
      <c r="D556" s="17">
        <f t="shared" si="182"/>
        <v>16634.09375</v>
      </c>
      <c r="E556" s="17">
        <f t="shared" si="168"/>
        <v>546.5</v>
      </c>
      <c r="F556" s="17">
        <f t="shared" si="169"/>
        <v>105.54166666666666</v>
      </c>
      <c r="G556" s="21">
        <f>INDEX('Life Tables'!$F$8:$F$123,MATCH(Engine!F556,'Life Tables'!$B$8:$B$123,1))</f>
        <v>1</v>
      </c>
      <c r="H556" s="8">
        <f t="shared" si="170"/>
        <v>0.21265924090707056</v>
      </c>
      <c r="I556">
        <f t="shared" si="171"/>
        <v>1</v>
      </c>
      <c r="K556" s="22" t="e">
        <f>$I556*IF($E556&gt;_xlfn.AGGREGATE(4,6,'KM Data'!$B$6:$B$310),NA(),INDEX('KM Data'!$C$6:$C$310,MATCH($E556,'KM Data'!$B$6:$B$310,1)))</f>
        <v>#N/A</v>
      </c>
      <c r="L556" s="21">
        <f t="shared" si="172"/>
        <v>8.5144341551346425E-3</v>
      </c>
      <c r="M556" s="20">
        <f t="shared" si="175"/>
        <v>3.2777288309587815E-3</v>
      </c>
      <c r="N556" s="21">
        <f t="shared" si="183"/>
        <v>0</v>
      </c>
      <c r="O556" s="21">
        <f t="shared" si="184"/>
        <v>0</v>
      </c>
      <c r="P556" s="21">
        <f t="shared" si="185"/>
        <v>0</v>
      </c>
      <c r="R556" s="22" t="e">
        <f>$I556*IF($E556&gt;_xlfn.AGGREGATE(4,6,'KM Data'!$E$6:$E$205),NA(),INDEX('KM Data'!$F$6:$F$205,MATCH($E556,'KM Data'!$E$6:$E$205,1)))</f>
        <v>#N/A</v>
      </c>
      <c r="S556" s="21">
        <f t="shared" si="173"/>
        <v>5.690828031611217E-2</v>
      </c>
      <c r="T556" s="8">
        <f t="shared" si="176"/>
        <v>2.1301720371736943E-3</v>
      </c>
      <c r="U556" s="21">
        <f t="shared" si="186"/>
        <v>0</v>
      </c>
      <c r="V556" s="21">
        <f t="shared" si="187"/>
        <v>0</v>
      </c>
      <c r="W556" s="21">
        <f t="shared" si="188"/>
        <v>0</v>
      </c>
      <c r="Y556" s="23">
        <f t="shared" si="177"/>
        <v>0</v>
      </c>
      <c r="Z556" s="6">
        <f t="shared" si="178"/>
        <v>0</v>
      </c>
      <c r="AA556" s="6">
        <f t="shared" si="179"/>
        <v>1</v>
      </c>
      <c r="AB556" s="6">
        <f t="shared" si="180"/>
        <v>1</v>
      </c>
    </row>
    <row r="557" spans="1:28" x14ac:dyDescent="0.35">
      <c r="A557">
        <v>548</v>
      </c>
      <c r="B557" s="17">
        <f t="shared" si="181"/>
        <v>16649.3125</v>
      </c>
      <c r="C557" s="17">
        <f t="shared" si="174"/>
        <v>16679.75</v>
      </c>
      <c r="D557" s="17">
        <f t="shared" si="182"/>
        <v>16664.53125</v>
      </c>
      <c r="E557" s="17">
        <f t="shared" si="168"/>
        <v>547.5</v>
      </c>
      <c r="F557" s="17">
        <f t="shared" si="169"/>
        <v>105.625</v>
      </c>
      <c r="G557" s="21">
        <f>INDEX('Life Tables'!$F$8:$F$123,MATCH(Engine!F557,'Life Tables'!$B$8:$B$123,1))</f>
        <v>1</v>
      </c>
      <c r="H557" s="8">
        <f t="shared" si="170"/>
        <v>0.21265924090707056</v>
      </c>
      <c r="I557">
        <f t="shared" si="171"/>
        <v>1</v>
      </c>
      <c r="K557" s="22" t="e">
        <f>$I557*IF($E557&gt;_xlfn.AGGREGATE(4,6,'KM Data'!$B$6:$B$310),NA(),INDEX('KM Data'!$C$6:$C$310,MATCH($E557,'KM Data'!$B$6:$B$310,1)))</f>
        <v>#N/A</v>
      </c>
      <c r="L557" s="21">
        <f t="shared" si="172"/>
        <v>8.4865261488250576E-3</v>
      </c>
      <c r="M557" s="20">
        <f t="shared" si="175"/>
        <v>3.2730696299418938E-3</v>
      </c>
      <c r="N557" s="21">
        <f t="shared" si="183"/>
        <v>0</v>
      </c>
      <c r="O557" s="21">
        <f t="shared" si="184"/>
        <v>0</v>
      </c>
      <c r="P557" s="21">
        <f t="shared" si="185"/>
        <v>0</v>
      </c>
      <c r="R557" s="22" t="e">
        <f>$I557*IF($E557&gt;_xlfn.AGGREGATE(4,6,'KM Data'!$E$6:$E$205),NA(),INDEX('KM Data'!$F$6:$F$205,MATCH($E557,'KM Data'!$E$6:$E$205,1)))</f>
        <v>#N/A</v>
      </c>
      <c r="S557" s="21">
        <f t="shared" si="173"/>
        <v>5.6787055888699145E-2</v>
      </c>
      <c r="T557" s="8">
        <f t="shared" si="176"/>
        <v>2.1272504458053065E-3</v>
      </c>
      <c r="U557" s="21">
        <f t="shared" si="186"/>
        <v>0</v>
      </c>
      <c r="V557" s="21">
        <f t="shared" si="187"/>
        <v>0</v>
      </c>
      <c r="W557" s="21">
        <f t="shared" si="188"/>
        <v>0</v>
      </c>
      <c r="Y557" s="23">
        <f t="shared" si="177"/>
        <v>0</v>
      </c>
      <c r="Z557" s="6">
        <f t="shared" si="178"/>
        <v>0</v>
      </c>
      <c r="AA557" s="6">
        <f t="shared" si="179"/>
        <v>1</v>
      </c>
      <c r="AB557" s="6">
        <f t="shared" si="180"/>
        <v>1</v>
      </c>
    </row>
    <row r="558" spans="1:28" x14ac:dyDescent="0.35">
      <c r="A558">
        <v>549</v>
      </c>
      <c r="B558" s="17">
        <f t="shared" si="181"/>
        <v>16679.75</v>
      </c>
      <c r="C558" s="17">
        <f t="shared" si="174"/>
        <v>16710.1875</v>
      </c>
      <c r="D558" s="17">
        <f t="shared" si="182"/>
        <v>16694.96875</v>
      </c>
      <c r="E558" s="17">
        <f t="shared" si="168"/>
        <v>548.5</v>
      </c>
      <c r="F558" s="17">
        <f t="shared" si="169"/>
        <v>105.70833333333334</v>
      </c>
      <c r="G558" s="21">
        <f>INDEX('Life Tables'!$F$8:$F$123,MATCH(Engine!F558,'Life Tables'!$B$8:$B$123,1))</f>
        <v>1</v>
      </c>
      <c r="H558" s="8">
        <f t="shared" si="170"/>
        <v>0.21265924090707056</v>
      </c>
      <c r="I558">
        <f t="shared" si="171"/>
        <v>1</v>
      </c>
      <c r="K558" s="22" t="e">
        <f>$I558*IF($E558&gt;_xlfn.AGGREGATE(4,6,'KM Data'!$B$6:$B$310),NA(),INDEX('KM Data'!$C$6:$C$310,MATCH($E558,'KM Data'!$B$6:$B$310,1)))</f>
        <v>#N/A</v>
      </c>
      <c r="L558" s="21">
        <f t="shared" si="172"/>
        <v>8.4587491578236307E-3</v>
      </c>
      <c r="M558" s="20">
        <f t="shared" si="175"/>
        <v>3.2684250726690012E-3</v>
      </c>
      <c r="N558" s="21">
        <f t="shared" si="183"/>
        <v>0</v>
      </c>
      <c r="O558" s="21">
        <f t="shared" si="184"/>
        <v>0</v>
      </c>
      <c r="P558" s="21">
        <f t="shared" si="185"/>
        <v>0</v>
      </c>
      <c r="R558" s="22" t="e">
        <f>$I558*IF($E558&gt;_xlfn.AGGREGATE(4,6,'KM Data'!$E$6:$E$205),NA(),INDEX('KM Data'!$F$6:$F$205,MATCH($E558,'KM Data'!$E$6:$E$205,1)))</f>
        <v>#N/A</v>
      </c>
      <c r="S558" s="21">
        <f t="shared" si="173"/>
        <v>5.6666255598743942E-2</v>
      </c>
      <c r="T558" s="8">
        <f t="shared" si="176"/>
        <v>2.124337832656642E-3</v>
      </c>
      <c r="U558" s="21">
        <f t="shared" si="186"/>
        <v>0</v>
      </c>
      <c r="V558" s="21">
        <f t="shared" si="187"/>
        <v>0</v>
      </c>
      <c r="W558" s="21">
        <f t="shared" si="188"/>
        <v>0</v>
      </c>
      <c r="Y558" s="23">
        <f t="shared" si="177"/>
        <v>0</v>
      </c>
      <c r="Z558" s="6">
        <f t="shared" si="178"/>
        <v>0</v>
      </c>
      <c r="AA558" s="6">
        <f t="shared" si="179"/>
        <v>1</v>
      </c>
      <c r="AB558" s="6">
        <f t="shared" si="180"/>
        <v>1</v>
      </c>
    </row>
    <row r="559" spans="1:28" x14ac:dyDescent="0.35">
      <c r="A559">
        <v>550</v>
      </c>
      <c r="B559" s="17">
        <f t="shared" si="181"/>
        <v>16710.1875</v>
      </c>
      <c r="C559" s="17">
        <f t="shared" si="174"/>
        <v>16740.625</v>
      </c>
      <c r="D559" s="17">
        <f t="shared" si="182"/>
        <v>16725.40625</v>
      </c>
      <c r="E559" s="17">
        <f t="shared" si="168"/>
        <v>549.5</v>
      </c>
      <c r="F559" s="17">
        <f t="shared" si="169"/>
        <v>105.79166666666666</v>
      </c>
      <c r="G559" s="21">
        <f>INDEX('Life Tables'!$F$8:$F$123,MATCH(Engine!F559,'Life Tables'!$B$8:$B$123,1))</f>
        <v>1</v>
      </c>
      <c r="H559" s="8">
        <f t="shared" si="170"/>
        <v>0.21265924090707056</v>
      </c>
      <c r="I559">
        <f t="shared" si="171"/>
        <v>1</v>
      </c>
      <c r="K559" s="22" t="e">
        <f>$I559*IF($E559&gt;_xlfn.AGGREGATE(4,6,'KM Data'!$B$6:$B$310),NA(),INDEX('KM Data'!$C$6:$C$310,MATCH($E559,'KM Data'!$B$6:$B$310,1)))</f>
        <v>#N/A</v>
      </c>
      <c r="L559" s="21">
        <f t="shared" si="172"/>
        <v>8.4311023699927823E-3</v>
      </c>
      <c r="M559" s="20">
        <f t="shared" si="175"/>
        <v>3.2637950875589183E-3</v>
      </c>
      <c r="N559" s="21">
        <f t="shared" si="183"/>
        <v>0</v>
      </c>
      <c r="O559" s="21">
        <f t="shared" si="184"/>
        <v>0</v>
      </c>
      <c r="P559" s="21">
        <f t="shared" si="185"/>
        <v>0</v>
      </c>
      <c r="R559" s="22" t="e">
        <f>$I559*IF($E559&gt;_xlfn.AGGREGATE(4,6,'KM Data'!$E$6:$E$205),NA(),INDEX('KM Data'!$F$6:$F$205,MATCH($E559,'KM Data'!$E$6:$E$205,1)))</f>
        <v>#N/A</v>
      </c>
      <c r="S559" s="21">
        <f t="shared" si="173"/>
        <v>5.6545877328140537E-2</v>
      </c>
      <c r="T559" s="8">
        <f t="shared" si="176"/>
        <v>2.121434154574553E-3</v>
      </c>
      <c r="U559" s="21">
        <f t="shared" si="186"/>
        <v>0</v>
      </c>
      <c r="V559" s="21">
        <f t="shared" si="187"/>
        <v>0</v>
      </c>
      <c r="W559" s="21">
        <f t="shared" si="188"/>
        <v>0</v>
      </c>
      <c r="Y559" s="23">
        <f t="shared" si="177"/>
        <v>0</v>
      </c>
      <c r="Z559" s="6">
        <f t="shared" si="178"/>
        <v>0</v>
      </c>
      <c r="AA559" s="6">
        <f t="shared" si="179"/>
        <v>1</v>
      </c>
      <c r="AB559" s="6">
        <f t="shared" si="180"/>
        <v>1</v>
      </c>
    </row>
    <row r="560" spans="1:28" x14ac:dyDescent="0.35">
      <c r="A560">
        <v>551</v>
      </c>
      <c r="B560" s="17">
        <f t="shared" si="181"/>
        <v>16740.625</v>
      </c>
      <c r="C560" s="17">
        <f t="shared" si="174"/>
        <v>16771.0625</v>
      </c>
      <c r="D560" s="17">
        <f t="shared" si="182"/>
        <v>16755.84375</v>
      </c>
      <c r="E560" s="17">
        <f t="shared" si="168"/>
        <v>550.5</v>
      </c>
      <c r="F560" s="17">
        <f t="shared" si="169"/>
        <v>105.875</v>
      </c>
      <c r="G560" s="21">
        <f>INDEX('Life Tables'!$F$8:$F$123,MATCH(Engine!F560,'Life Tables'!$B$8:$B$123,1))</f>
        <v>1</v>
      </c>
      <c r="H560" s="8">
        <f t="shared" si="170"/>
        <v>0.21265924090707056</v>
      </c>
      <c r="I560">
        <f t="shared" si="171"/>
        <v>1</v>
      </c>
      <c r="K560" s="22" t="e">
        <f>$I560*IF($E560&gt;_xlfn.AGGREGATE(4,6,'KM Data'!$B$6:$B$310),NA(),INDEX('KM Data'!$C$6:$C$310,MATCH($E560,'KM Data'!$B$6:$B$310,1)))</f>
        <v>#N/A</v>
      </c>
      <c r="L560" s="21">
        <f t="shared" si="172"/>
        <v>8.4035849794948936E-3</v>
      </c>
      <c r="M560" s="20">
        <f t="shared" si="175"/>
        <v>3.2591796034051601E-3</v>
      </c>
      <c r="N560" s="21">
        <f t="shared" si="183"/>
        <v>0</v>
      </c>
      <c r="O560" s="21">
        <f t="shared" si="184"/>
        <v>0</v>
      </c>
      <c r="P560" s="21">
        <f t="shared" si="185"/>
        <v>0</v>
      </c>
      <c r="R560" s="22" t="e">
        <f>$I560*IF($E560&gt;_xlfn.AGGREGATE(4,6,'KM Data'!$E$6:$E$205),NA(),INDEX('KM Data'!$F$6:$F$205,MATCH($E560,'KM Data'!$E$6:$E$205,1)))</f>
        <v>#N/A</v>
      </c>
      <c r="S560" s="21">
        <f t="shared" si="173"/>
        <v>5.6425918972676237E-2</v>
      </c>
      <c r="T560" s="8">
        <f t="shared" si="176"/>
        <v>2.1185393686783405E-3</v>
      </c>
      <c r="U560" s="21">
        <f t="shared" si="186"/>
        <v>0</v>
      </c>
      <c r="V560" s="21">
        <f t="shared" si="187"/>
        <v>0</v>
      </c>
      <c r="W560" s="21">
        <f t="shared" si="188"/>
        <v>0</v>
      </c>
      <c r="Y560" s="23">
        <f t="shared" si="177"/>
        <v>0</v>
      </c>
      <c r="Z560" s="6">
        <f t="shared" si="178"/>
        <v>0</v>
      </c>
      <c r="AA560" s="6">
        <f t="shared" si="179"/>
        <v>1</v>
      </c>
      <c r="AB560" s="6">
        <f t="shared" si="180"/>
        <v>1</v>
      </c>
    </row>
    <row r="561" spans="1:28" x14ac:dyDescent="0.35">
      <c r="A561">
        <v>552</v>
      </c>
      <c r="B561" s="17">
        <f t="shared" si="181"/>
        <v>16771.0625</v>
      </c>
      <c r="C561" s="17">
        <f t="shared" si="174"/>
        <v>16801.5</v>
      </c>
      <c r="D561" s="17">
        <f t="shared" si="182"/>
        <v>16786.28125</v>
      </c>
      <c r="E561" s="17">
        <f t="shared" si="168"/>
        <v>551.5</v>
      </c>
      <c r="F561" s="17">
        <f t="shared" si="169"/>
        <v>105.95833333333334</v>
      </c>
      <c r="G561" s="21">
        <f>INDEX('Life Tables'!$F$8:$F$123,MATCH(Engine!F561,'Life Tables'!$B$8:$B$123,1))</f>
        <v>1</v>
      </c>
      <c r="H561" s="8">
        <f t="shared" si="170"/>
        <v>0.20546786561069619</v>
      </c>
      <c r="I561">
        <f t="shared" si="171"/>
        <v>1</v>
      </c>
      <c r="K561" s="22" t="e">
        <f>$I561*IF($E561&gt;_xlfn.AGGREGATE(4,6,'KM Data'!$B$6:$B$310),NA(),INDEX('KM Data'!$C$6:$C$310,MATCH($E561,'KM Data'!$B$6:$B$310,1)))</f>
        <v>#N/A</v>
      </c>
      <c r="L561" s="21">
        <f t="shared" si="172"/>
        <v>8.3761961867342416E-3</v>
      </c>
      <c r="M561" s="20">
        <f t="shared" si="175"/>
        <v>3.2545785496195245E-3</v>
      </c>
      <c r="N561" s="21">
        <f t="shared" si="183"/>
        <v>0</v>
      </c>
      <c r="O561" s="21">
        <f t="shared" si="184"/>
        <v>0</v>
      </c>
      <c r="P561" s="21">
        <f t="shared" si="185"/>
        <v>0</v>
      </c>
      <c r="R561" s="22" t="e">
        <f>$I561*IF($E561&gt;_xlfn.AGGREGATE(4,6,'KM Data'!$E$6:$E$205),NA(),INDEX('KM Data'!$F$6:$F$205,MATCH($E561,'KM Data'!$E$6:$E$205,1)))</f>
        <v>#N/A</v>
      </c>
      <c r="S561" s="21">
        <f t="shared" si="173"/>
        <v>5.630637844191877E-2</v>
      </c>
      <c r="T561" s="8">
        <f t="shared" si="176"/>
        <v>2.1156534323795162E-3</v>
      </c>
      <c r="U561" s="21">
        <f t="shared" si="186"/>
        <v>0</v>
      </c>
      <c r="V561" s="21">
        <f t="shared" si="187"/>
        <v>0</v>
      </c>
      <c r="W561" s="21">
        <f t="shared" si="188"/>
        <v>0</v>
      </c>
      <c r="Y561" s="23">
        <f t="shared" si="177"/>
        <v>0</v>
      </c>
      <c r="Z561" s="6">
        <f t="shared" si="178"/>
        <v>0</v>
      </c>
      <c r="AA561" s="6">
        <f t="shared" si="179"/>
        <v>1</v>
      </c>
      <c r="AB561" s="6">
        <f t="shared" si="180"/>
        <v>1</v>
      </c>
    </row>
    <row r="562" spans="1:28" x14ac:dyDescent="0.35">
      <c r="A562">
        <v>553</v>
      </c>
      <c r="B562" s="17">
        <f t="shared" si="181"/>
        <v>16801.5</v>
      </c>
      <c r="C562" s="17">
        <f t="shared" si="174"/>
        <v>16831.9375</v>
      </c>
      <c r="D562" s="17">
        <f t="shared" si="182"/>
        <v>16816.71875</v>
      </c>
      <c r="E562" s="17">
        <f t="shared" si="168"/>
        <v>552.5</v>
      </c>
      <c r="F562" s="17">
        <f t="shared" si="169"/>
        <v>106.04166666666666</v>
      </c>
      <c r="G562" s="21">
        <f>INDEX('Life Tables'!$F$8:$F$123,MATCH(Engine!F562,'Life Tables'!$B$8:$B$123,1))</f>
        <v>1</v>
      </c>
      <c r="H562" s="8">
        <f t="shared" si="170"/>
        <v>0.20546786561069619</v>
      </c>
      <c r="I562">
        <f t="shared" si="171"/>
        <v>1</v>
      </c>
      <c r="K562" s="22" t="e">
        <f>$I562*IF($E562&gt;_xlfn.AGGREGATE(4,6,'KM Data'!$B$6:$B$310),NA(),INDEX('KM Data'!$C$6:$C$310,MATCH($E562,'KM Data'!$B$6:$B$310,1)))</f>
        <v>#N/A</v>
      </c>
      <c r="L562" s="21">
        <f t="shared" si="172"/>
        <v>8.3489351982974913E-3</v>
      </c>
      <c r="M562" s="20">
        <f t="shared" si="175"/>
        <v>3.2499918559482088E-3</v>
      </c>
      <c r="N562" s="21">
        <f t="shared" si="183"/>
        <v>0</v>
      </c>
      <c r="O562" s="21">
        <f t="shared" si="184"/>
        <v>0</v>
      </c>
      <c r="P562" s="21">
        <f t="shared" si="185"/>
        <v>0</v>
      </c>
      <c r="R562" s="22" t="e">
        <f>$I562*IF($E562&gt;_xlfn.AGGREGATE(4,6,'KM Data'!$E$6:$E$205),NA(),INDEX('KM Data'!$F$6:$F$205,MATCH($E562,'KM Data'!$E$6:$E$205,1)))</f>
        <v>#N/A</v>
      </c>
      <c r="S562" s="21">
        <f t="shared" si="173"/>
        <v>5.6187253659103265E-2</v>
      </c>
      <c r="T562" s="8">
        <f t="shared" si="176"/>
        <v>2.1127763033637059E-3</v>
      </c>
      <c r="U562" s="21">
        <f t="shared" si="186"/>
        <v>0</v>
      </c>
      <c r="V562" s="21">
        <f t="shared" si="187"/>
        <v>0</v>
      </c>
      <c r="W562" s="21">
        <f t="shared" si="188"/>
        <v>0</v>
      </c>
      <c r="Y562" s="23">
        <f t="shared" si="177"/>
        <v>0</v>
      </c>
      <c r="Z562" s="6">
        <f t="shared" si="178"/>
        <v>0</v>
      </c>
      <c r="AA562" s="6">
        <f t="shared" si="179"/>
        <v>1</v>
      </c>
      <c r="AB562" s="6">
        <f t="shared" si="180"/>
        <v>1</v>
      </c>
    </row>
    <row r="563" spans="1:28" x14ac:dyDescent="0.35">
      <c r="A563">
        <v>554</v>
      </c>
      <c r="B563" s="17">
        <f t="shared" si="181"/>
        <v>16831.9375</v>
      </c>
      <c r="C563" s="17">
        <f t="shared" si="174"/>
        <v>16862.375</v>
      </c>
      <c r="D563" s="17">
        <f t="shared" si="182"/>
        <v>16847.15625</v>
      </c>
      <c r="E563" s="17">
        <f t="shared" si="168"/>
        <v>553.5</v>
      </c>
      <c r="F563" s="17">
        <f t="shared" si="169"/>
        <v>106.125</v>
      </c>
      <c r="G563" s="21">
        <f>INDEX('Life Tables'!$F$8:$F$123,MATCH(Engine!F563,'Life Tables'!$B$8:$B$123,1))</f>
        <v>1</v>
      </c>
      <c r="H563" s="8">
        <f t="shared" si="170"/>
        <v>0.20546786561069619</v>
      </c>
      <c r="I563">
        <f t="shared" si="171"/>
        <v>1</v>
      </c>
      <c r="K563" s="22" t="e">
        <f>$I563*IF($E563&gt;_xlfn.AGGREGATE(4,6,'KM Data'!$B$6:$B$310),NA(),INDEX('KM Data'!$C$6:$C$310,MATCH($E563,'KM Data'!$B$6:$B$310,1)))</f>
        <v>#N/A</v>
      </c>
      <c r="L563" s="21">
        <f t="shared" si="172"/>
        <v>8.3218012268971853E-3</v>
      </c>
      <c r="M563" s="20">
        <f t="shared" si="175"/>
        <v>3.2454194527011815E-3</v>
      </c>
      <c r="N563" s="21">
        <f t="shared" si="183"/>
        <v>0</v>
      </c>
      <c r="O563" s="21">
        <f t="shared" si="184"/>
        <v>0</v>
      </c>
      <c r="P563" s="21">
        <f t="shared" si="185"/>
        <v>0</v>
      </c>
      <c r="R563" s="22" t="e">
        <f>$I563*IF($E563&gt;_xlfn.AGGREGATE(4,6,'KM Data'!$E$6:$E$205),NA(),INDEX('KM Data'!$F$6:$F$205,MATCH($E563,'KM Data'!$E$6:$E$205,1)))</f>
        <v>#N/A</v>
      </c>
      <c r="S563" s="21">
        <f t="shared" si="173"/>
        <v>5.6068542561021228E-2</v>
      </c>
      <c r="T563" s="8">
        <f t="shared" si="176"/>
        <v>2.1099079395814346E-3</v>
      </c>
      <c r="U563" s="21">
        <f t="shared" si="186"/>
        <v>0</v>
      </c>
      <c r="V563" s="21">
        <f t="shared" si="187"/>
        <v>0</v>
      </c>
      <c r="W563" s="21">
        <f t="shared" si="188"/>
        <v>0</v>
      </c>
      <c r="Y563" s="23">
        <f t="shared" si="177"/>
        <v>0</v>
      </c>
      <c r="Z563" s="6">
        <f t="shared" si="178"/>
        <v>0</v>
      </c>
      <c r="AA563" s="6">
        <f t="shared" si="179"/>
        <v>1</v>
      </c>
      <c r="AB563" s="6">
        <f t="shared" si="180"/>
        <v>1</v>
      </c>
    </row>
    <row r="564" spans="1:28" x14ac:dyDescent="0.35">
      <c r="A564">
        <v>555</v>
      </c>
      <c r="B564" s="17">
        <f t="shared" si="181"/>
        <v>16862.375</v>
      </c>
      <c r="C564" s="17">
        <f t="shared" si="174"/>
        <v>16892.8125</v>
      </c>
      <c r="D564" s="17">
        <f t="shared" si="182"/>
        <v>16877.59375</v>
      </c>
      <c r="E564" s="17">
        <f t="shared" si="168"/>
        <v>554.5</v>
      </c>
      <c r="F564" s="17">
        <f t="shared" si="169"/>
        <v>106.20833333333334</v>
      </c>
      <c r="G564" s="21">
        <f>INDEX('Life Tables'!$F$8:$F$123,MATCH(Engine!F564,'Life Tables'!$B$8:$B$123,1))</f>
        <v>1</v>
      </c>
      <c r="H564" s="8">
        <f t="shared" si="170"/>
        <v>0.20546786561069619</v>
      </c>
      <c r="I564">
        <f t="shared" si="171"/>
        <v>1</v>
      </c>
      <c r="K564" s="22" t="e">
        <f>$I564*IF($E564&gt;_xlfn.AGGREGATE(4,6,'KM Data'!$B$6:$B$310),NA(),INDEX('KM Data'!$C$6:$C$310,MATCH($E564,'KM Data'!$B$6:$B$310,1)))</f>
        <v>#N/A</v>
      </c>
      <c r="L564" s="21">
        <f t="shared" si="172"/>
        <v>8.294793491313901E-3</v>
      </c>
      <c r="M564" s="20">
        <f t="shared" si="175"/>
        <v>3.2408612705709938E-3</v>
      </c>
      <c r="N564" s="21">
        <f t="shared" si="183"/>
        <v>0</v>
      </c>
      <c r="O564" s="21">
        <f t="shared" si="184"/>
        <v>0</v>
      </c>
      <c r="P564" s="21">
        <f t="shared" si="185"/>
        <v>0</v>
      </c>
      <c r="R564" s="22" t="e">
        <f>$I564*IF($E564&gt;_xlfn.AGGREGATE(4,6,'KM Data'!$E$6:$E$205),NA(),INDEX('KM Data'!$F$6:$F$205,MATCH($E564,'KM Data'!$E$6:$E$205,1)))</f>
        <v>#N/A</v>
      </c>
      <c r="S564" s="21">
        <f t="shared" si="173"/>
        <v>5.5950243097910968E-2</v>
      </c>
      <c r="T564" s="8">
        <f t="shared" si="176"/>
        <v>2.1070482992716633E-3</v>
      </c>
      <c r="U564" s="21">
        <f t="shared" si="186"/>
        <v>0</v>
      </c>
      <c r="V564" s="21">
        <f t="shared" si="187"/>
        <v>0</v>
      </c>
      <c r="W564" s="21">
        <f t="shared" si="188"/>
        <v>0</v>
      </c>
      <c r="Y564" s="23">
        <f t="shared" si="177"/>
        <v>0</v>
      </c>
      <c r="Z564" s="6">
        <f t="shared" si="178"/>
        <v>0</v>
      </c>
      <c r="AA564" s="6">
        <f t="shared" si="179"/>
        <v>1</v>
      </c>
      <c r="AB564" s="6">
        <f t="shared" si="180"/>
        <v>1</v>
      </c>
    </row>
    <row r="565" spans="1:28" x14ac:dyDescent="0.35">
      <c r="A565">
        <v>556</v>
      </c>
      <c r="B565" s="17">
        <f t="shared" si="181"/>
        <v>16892.8125</v>
      </c>
      <c r="C565" s="17">
        <f t="shared" si="174"/>
        <v>16923.25</v>
      </c>
      <c r="D565" s="17">
        <f t="shared" si="182"/>
        <v>16908.03125</v>
      </c>
      <c r="E565" s="17">
        <f t="shared" si="168"/>
        <v>555.5</v>
      </c>
      <c r="F565" s="17">
        <f t="shared" si="169"/>
        <v>106.29166666666666</v>
      </c>
      <c r="G565" s="21">
        <f>INDEX('Life Tables'!$F$8:$F$123,MATCH(Engine!F565,'Life Tables'!$B$8:$B$123,1))</f>
        <v>1</v>
      </c>
      <c r="H565" s="8">
        <f t="shared" si="170"/>
        <v>0.20546786561069619</v>
      </c>
      <c r="I565">
        <f t="shared" si="171"/>
        <v>1</v>
      </c>
      <c r="K565" s="22" t="e">
        <f>$I565*IF($E565&gt;_xlfn.AGGREGATE(4,6,'KM Data'!$B$6:$B$310),NA(),INDEX('KM Data'!$C$6:$C$310,MATCH($E565,'KM Data'!$B$6:$B$310,1)))</f>
        <v>#N/A</v>
      </c>
      <c r="L565" s="21">
        <f t="shared" si="172"/>
        <v>8.2679112163405177E-3</v>
      </c>
      <c r="M565" s="20">
        <f t="shared" si="175"/>
        <v>3.2363172407688934E-3</v>
      </c>
      <c r="N565" s="21">
        <f t="shared" si="183"/>
        <v>0</v>
      </c>
      <c r="O565" s="21">
        <f t="shared" si="184"/>
        <v>0</v>
      </c>
      <c r="P565" s="21">
        <f t="shared" si="185"/>
        <v>0</v>
      </c>
      <c r="R565" s="22" t="e">
        <f>$I565*IF($E565&gt;_xlfn.AGGREGATE(4,6,'KM Data'!$E$6:$E$205),NA(),INDEX('KM Data'!$F$6:$F$205,MATCH($E565,'KM Data'!$E$6:$E$205,1)))</f>
        <v>#N/A</v>
      </c>
      <c r="S565" s="21">
        <f t="shared" si="173"/>
        <v>5.5832353233347676E-2</v>
      </c>
      <c r="T565" s="8">
        <f t="shared" si="176"/>
        <v>2.1041973409402503E-3</v>
      </c>
      <c r="U565" s="21">
        <f t="shared" si="186"/>
        <v>0</v>
      </c>
      <c r="V565" s="21">
        <f t="shared" si="187"/>
        <v>0</v>
      </c>
      <c r="W565" s="21">
        <f t="shared" si="188"/>
        <v>0</v>
      </c>
      <c r="Y565" s="23">
        <f t="shared" si="177"/>
        <v>0</v>
      </c>
      <c r="Z565" s="6">
        <f t="shared" si="178"/>
        <v>0</v>
      </c>
      <c r="AA565" s="6">
        <f t="shared" si="179"/>
        <v>1</v>
      </c>
      <c r="AB565" s="6">
        <f t="shared" si="180"/>
        <v>1</v>
      </c>
    </row>
    <row r="566" spans="1:28" x14ac:dyDescent="0.35">
      <c r="A566">
        <v>557</v>
      </c>
      <c r="B566" s="17">
        <f t="shared" si="181"/>
        <v>16923.25</v>
      </c>
      <c r="C566" s="17">
        <f t="shared" si="174"/>
        <v>16953.6875</v>
      </c>
      <c r="D566" s="17">
        <f t="shared" si="182"/>
        <v>16938.46875</v>
      </c>
      <c r="E566" s="17">
        <f t="shared" si="168"/>
        <v>556.5</v>
      </c>
      <c r="F566" s="17">
        <f t="shared" si="169"/>
        <v>106.375</v>
      </c>
      <c r="G566" s="21">
        <f>INDEX('Life Tables'!$F$8:$F$123,MATCH(Engine!F566,'Life Tables'!$B$8:$B$123,1))</f>
        <v>1</v>
      </c>
      <c r="H566" s="8">
        <f t="shared" si="170"/>
        <v>0.20546786561069619</v>
      </c>
      <c r="I566">
        <f t="shared" si="171"/>
        <v>1</v>
      </c>
      <c r="K566" s="22" t="e">
        <f>$I566*IF($E566&gt;_xlfn.AGGREGATE(4,6,'KM Data'!$B$6:$B$310),NA(),INDEX('KM Data'!$C$6:$C$310,MATCH($E566,'KM Data'!$B$6:$B$310,1)))</f>
        <v>#N/A</v>
      </c>
      <c r="L566" s="21">
        <f t="shared" si="172"/>
        <v>8.2411536327259283E-3</v>
      </c>
      <c r="M566" s="20">
        <f t="shared" si="175"/>
        <v>3.231787294920907E-3</v>
      </c>
      <c r="N566" s="21">
        <f t="shared" si="183"/>
        <v>0</v>
      </c>
      <c r="O566" s="21">
        <f t="shared" si="184"/>
        <v>0</v>
      </c>
      <c r="P566" s="21">
        <f t="shared" si="185"/>
        <v>0</v>
      </c>
      <c r="R566" s="22" t="e">
        <f>$I566*IF($E566&gt;_xlfn.AGGREGATE(4,6,'KM Data'!$E$6:$E$205),NA(),INDEX('KM Data'!$F$6:$F$205,MATCH($E566,'KM Data'!$E$6:$E$205,1)))</f>
        <v>#N/A</v>
      </c>
      <c r="S566" s="21">
        <f t="shared" si="173"/>
        <v>5.571487094413563E-2</v>
      </c>
      <c r="T566" s="8">
        <f t="shared" si="176"/>
        <v>2.1013550233567324E-3</v>
      </c>
      <c r="U566" s="21">
        <f t="shared" si="186"/>
        <v>0</v>
      </c>
      <c r="V566" s="21">
        <f t="shared" si="187"/>
        <v>0</v>
      </c>
      <c r="W566" s="21">
        <f t="shared" si="188"/>
        <v>0</v>
      </c>
      <c r="Y566" s="23">
        <f t="shared" si="177"/>
        <v>0</v>
      </c>
      <c r="Z566" s="6">
        <f t="shared" si="178"/>
        <v>0</v>
      </c>
      <c r="AA566" s="6">
        <f t="shared" si="179"/>
        <v>1</v>
      </c>
      <c r="AB566" s="6">
        <f t="shared" si="180"/>
        <v>1</v>
      </c>
    </row>
    <row r="567" spans="1:28" x14ac:dyDescent="0.35">
      <c r="A567">
        <v>558</v>
      </c>
      <c r="B567" s="17">
        <f t="shared" si="181"/>
        <v>16953.6875</v>
      </c>
      <c r="C567" s="17">
        <f t="shared" si="174"/>
        <v>16984.125</v>
      </c>
      <c r="D567" s="17">
        <f t="shared" si="182"/>
        <v>16968.90625</v>
      </c>
      <c r="E567" s="17">
        <f t="shared" si="168"/>
        <v>557.5</v>
      </c>
      <c r="F567" s="17">
        <f t="shared" si="169"/>
        <v>106.45833333333334</v>
      </c>
      <c r="G567" s="21">
        <f>INDEX('Life Tables'!$F$8:$F$123,MATCH(Engine!F567,'Life Tables'!$B$8:$B$123,1))</f>
        <v>1</v>
      </c>
      <c r="H567" s="8">
        <f t="shared" si="170"/>
        <v>0.20546786561069619</v>
      </c>
      <c r="I567">
        <f t="shared" si="171"/>
        <v>1</v>
      </c>
      <c r="K567" s="22" t="e">
        <f>$I567*IF($E567&gt;_xlfn.AGGREGATE(4,6,'KM Data'!$B$6:$B$310),NA(),INDEX('KM Data'!$C$6:$C$310,MATCH($E567,'KM Data'!$B$6:$B$310,1)))</f>
        <v>#N/A</v>
      </c>
      <c r="L567" s="21">
        <f t="shared" si="172"/>
        <v>8.2145199771201938E-3</v>
      </c>
      <c r="M567" s="20">
        <f t="shared" si="175"/>
        <v>3.2272713651221308E-3</v>
      </c>
      <c r="N567" s="21">
        <f t="shared" si="183"/>
        <v>0</v>
      </c>
      <c r="O567" s="21">
        <f t="shared" si="184"/>
        <v>0</v>
      </c>
      <c r="P567" s="21">
        <f t="shared" si="185"/>
        <v>0</v>
      </c>
      <c r="R567" s="22" t="e">
        <f>$I567*IF($E567&gt;_xlfn.AGGREGATE(4,6,'KM Data'!$E$6:$E$205),NA(),INDEX('KM Data'!$F$6:$F$205,MATCH($E567,'KM Data'!$E$6:$E$205,1)))</f>
        <v>#N/A</v>
      </c>
      <c r="S567" s="21">
        <f t="shared" si="173"/>
        <v>5.5597794220201502E-2</v>
      </c>
      <c r="T567" s="8">
        <f t="shared" si="176"/>
        <v>2.0985213055609853E-3</v>
      </c>
      <c r="U567" s="21">
        <f t="shared" si="186"/>
        <v>0</v>
      </c>
      <c r="V567" s="21">
        <f t="shared" si="187"/>
        <v>0</v>
      </c>
      <c r="W567" s="21">
        <f t="shared" si="188"/>
        <v>0</v>
      </c>
      <c r="Y567" s="23">
        <f t="shared" si="177"/>
        <v>0</v>
      </c>
      <c r="Z567" s="6">
        <f t="shared" si="178"/>
        <v>0</v>
      </c>
      <c r="AA567" s="6">
        <f t="shared" si="179"/>
        <v>1</v>
      </c>
      <c r="AB567" s="6">
        <f t="shared" si="180"/>
        <v>1</v>
      </c>
    </row>
    <row r="568" spans="1:28" x14ac:dyDescent="0.35">
      <c r="A568">
        <v>559</v>
      </c>
      <c r="B568" s="17">
        <f t="shared" si="181"/>
        <v>16984.125</v>
      </c>
      <c r="C568" s="17">
        <f t="shared" si="174"/>
        <v>17014.5625</v>
      </c>
      <c r="D568" s="17">
        <f t="shared" si="182"/>
        <v>16999.34375</v>
      </c>
      <c r="E568" s="17">
        <f t="shared" si="168"/>
        <v>558.5</v>
      </c>
      <c r="F568" s="17">
        <f t="shared" si="169"/>
        <v>106.54166666666666</v>
      </c>
      <c r="G568" s="21">
        <f>INDEX('Life Tables'!$F$8:$F$123,MATCH(Engine!F568,'Life Tables'!$B$8:$B$123,1))</f>
        <v>1</v>
      </c>
      <c r="H568" s="8">
        <f t="shared" si="170"/>
        <v>0.20546786561069619</v>
      </c>
      <c r="I568">
        <f t="shared" si="171"/>
        <v>1</v>
      </c>
      <c r="K568" s="22" t="e">
        <f>$I568*IF($E568&gt;_xlfn.AGGREGATE(4,6,'KM Data'!$B$6:$B$310),NA(),INDEX('KM Data'!$C$6:$C$310,MATCH($E568,'KM Data'!$B$6:$B$310,1)))</f>
        <v>#N/A</v>
      </c>
      <c r="L568" s="21">
        <f t="shared" si="172"/>
        <v>8.1880094920198099E-3</v>
      </c>
      <c r="M568" s="20">
        <f t="shared" si="175"/>
        <v>3.2227693838982052E-3</v>
      </c>
      <c r="N568" s="21">
        <f t="shared" si="183"/>
        <v>0</v>
      </c>
      <c r="O568" s="21">
        <f t="shared" si="184"/>
        <v>0</v>
      </c>
      <c r="P568" s="21">
        <f t="shared" si="185"/>
        <v>0</v>
      </c>
      <c r="R568" s="22" t="e">
        <f>$I568*IF($E568&gt;_xlfn.AGGREGATE(4,6,'KM Data'!$E$6:$E$205),NA(),INDEX('KM Data'!$F$6:$F$205,MATCH($E568,'KM Data'!$E$6:$E$205,1)))</f>
        <v>#N/A</v>
      </c>
      <c r="S568" s="21">
        <f t="shared" si="173"/>
        <v>5.5481121064488215E-2</v>
      </c>
      <c r="T568" s="8">
        <f t="shared" si="176"/>
        <v>2.0956961468574509E-3</v>
      </c>
      <c r="U568" s="21">
        <f t="shared" si="186"/>
        <v>0</v>
      </c>
      <c r="V568" s="21">
        <f t="shared" si="187"/>
        <v>0</v>
      </c>
      <c r="W568" s="21">
        <f t="shared" si="188"/>
        <v>0</v>
      </c>
      <c r="Y568" s="23">
        <f t="shared" si="177"/>
        <v>0</v>
      </c>
      <c r="Z568" s="6">
        <f t="shared" si="178"/>
        <v>0</v>
      </c>
      <c r="AA568" s="6">
        <f t="shared" si="179"/>
        <v>1</v>
      </c>
      <c r="AB568" s="6">
        <f t="shared" si="180"/>
        <v>1</v>
      </c>
    </row>
    <row r="569" spans="1:28" x14ac:dyDescent="0.35">
      <c r="A569">
        <v>560</v>
      </c>
      <c r="B569" s="17">
        <f t="shared" si="181"/>
        <v>17014.5625</v>
      </c>
      <c r="C569" s="17">
        <f t="shared" si="174"/>
        <v>17045</v>
      </c>
      <c r="D569" s="17">
        <f t="shared" si="182"/>
        <v>17029.78125</v>
      </c>
      <c r="E569" s="17">
        <f t="shared" si="168"/>
        <v>559.5</v>
      </c>
      <c r="F569" s="17">
        <f t="shared" si="169"/>
        <v>106.625</v>
      </c>
      <c r="G569" s="21">
        <f>INDEX('Life Tables'!$F$8:$F$123,MATCH(Engine!F569,'Life Tables'!$B$8:$B$123,1))</f>
        <v>1</v>
      </c>
      <c r="H569" s="8">
        <f t="shared" si="170"/>
        <v>0.20546786561069619</v>
      </c>
      <c r="I569">
        <f t="shared" si="171"/>
        <v>1</v>
      </c>
      <c r="K569" s="22" t="e">
        <f>$I569*IF($E569&gt;_xlfn.AGGREGATE(4,6,'KM Data'!$B$6:$B$310),NA(),INDEX('KM Data'!$C$6:$C$310,MATCH($E569,'KM Data'!$B$6:$B$310,1)))</f>
        <v>#N/A</v>
      </c>
      <c r="L569" s="21">
        <f t="shared" si="172"/>
        <v>8.1616214257138608E-3</v>
      </c>
      <c r="M569" s="20">
        <f t="shared" si="175"/>
        <v>3.2182812842038722E-3</v>
      </c>
      <c r="N569" s="21">
        <f t="shared" si="183"/>
        <v>0</v>
      </c>
      <c r="O569" s="21">
        <f t="shared" si="184"/>
        <v>0</v>
      </c>
      <c r="P569" s="21">
        <f t="shared" si="185"/>
        <v>0</v>
      </c>
      <c r="R569" s="22" t="e">
        <f>$I569*IF($E569&gt;_xlfn.AGGREGATE(4,6,'KM Data'!$E$6:$E$205),NA(),INDEX('KM Data'!$F$6:$F$205,MATCH($E569,'KM Data'!$E$6:$E$205,1)))</f>
        <v>#N/A</v>
      </c>
      <c r="S569" s="21">
        <f t="shared" si="173"/>
        <v>5.5364849492850032E-2</v>
      </c>
      <c r="T569" s="8">
        <f t="shared" si="176"/>
        <v>2.0928795068193562E-3</v>
      </c>
      <c r="U569" s="21">
        <f t="shared" si="186"/>
        <v>0</v>
      </c>
      <c r="V569" s="21">
        <f t="shared" si="187"/>
        <v>0</v>
      </c>
      <c r="W569" s="21">
        <f t="shared" si="188"/>
        <v>0</v>
      </c>
      <c r="Y569" s="23">
        <f t="shared" si="177"/>
        <v>0</v>
      </c>
      <c r="Z569" s="6">
        <f t="shared" si="178"/>
        <v>0</v>
      </c>
      <c r="AA569" s="6">
        <f t="shared" si="179"/>
        <v>1</v>
      </c>
      <c r="AB569" s="6">
        <f t="shared" si="180"/>
        <v>1</v>
      </c>
    </row>
    <row r="570" spans="1:28" x14ac:dyDescent="0.35">
      <c r="A570">
        <v>561</v>
      </c>
      <c r="B570" s="17">
        <f t="shared" si="181"/>
        <v>17045</v>
      </c>
      <c r="C570" s="17">
        <f t="shared" si="174"/>
        <v>17075.4375</v>
      </c>
      <c r="D570" s="17">
        <f t="shared" si="182"/>
        <v>17060.21875</v>
      </c>
      <c r="E570" s="17">
        <f t="shared" si="168"/>
        <v>560.5</v>
      </c>
      <c r="F570" s="17">
        <f t="shared" si="169"/>
        <v>106.70833333333334</v>
      </c>
      <c r="G570" s="21">
        <f>INDEX('Life Tables'!$F$8:$F$123,MATCH(Engine!F570,'Life Tables'!$B$8:$B$123,1))</f>
        <v>1</v>
      </c>
      <c r="H570" s="8">
        <f t="shared" si="170"/>
        <v>0.20546786561069619</v>
      </c>
      <c r="I570">
        <f t="shared" si="171"/>
        <v>1</v>
      </c>
      <c r="K570" s="22" t="e">
        <f>$I570*IF($E570&gt;_xlfn.AGGREGATE(4,6,'KM Data'!$B$6:$B$310),NA(),INDEX('KM Data'!$C$6:$C$310,MATCH($E570,'KM Data'!$B$6:$B$310,1)))</f>
        <v>#N/A</v>
      </c>
      <c r="L570" s="21">
        <f t="shared" si="172"/>
        <v>8.1353550322307289E-3</v>
      </c>
      <c r="M570" s="20">
        <f t="shared" si="175"/>
        <v>3.2138069994771534E-3</v>
      </c>
      <c r="N570" s="21">
        <f t="shared" si="183"/>
        <v>0</v>
      </c>
      <c r="O570" s="21">
        <f t="shared" si="184"/>
        <v>0</v>
      </c>
      <c r="P570" s="21">
        <f t="shared" si="185"/>
        <v>0</v>
      </c>
      <c r="R570" s="22" t="e">
        <f>$I570*IF($E570&gt;_xlfn.AGGREGATE(4,6,'KM Data'!$E$6:$E$205),NA(),INDEX('KM Data'!$F$6:$F$205,MATCH($E570,'KM Data'!$E$6:$E$205,1)))</f>
        <v>#N/A</v>
      </c>
      <c r="S570" s="21">
        <f t="shared" si="173"/>
        <v>5.5248977533948307E-2</v>
      </c>
      <c r="T570" s="8">
        <f t="shared" si="176"/>
        <v>2.0900713452642883E-3</v>
      </c>
      <c r="U570" s="21">
        <f t="shared" si="186"/>
        <v>0</v>
      </c>
      <c r="V570" s="21">
        <f t="shared" si="187"/>
        <v>0</v>
      </c>
      <c r="W570" s="21">
        <f t="shared" si="188"/>
        <v>0</v>
      </c>
      <c r="Y570" s="23">
        <f t="shared" si="177"/>
        <v>0</v>
      </c>
      <c r="Z570" s="6">
        <f t="shared" si="178"/>
        <v>0</v>
      </c>
      <c r="AA570" s="6">
        <f t="shared" si="179"/>
        <v>1</v>
      </c>
      <c r="AB570" s="6">
        <f t="shared" si="180"/>
        <v>1</v>
      </c>
    </row>
    <row r="571" spans="1:28" x14ac:dyDescent="0.35">
      <c r="A571">
        <v>562</v>
      </c>
      <c r="B571" s="17">
        <f t="shared" si="181"/>
        <v>17075.4375</v>
      </c>
      <c r="C571" s="17">
        <f t="shared" si="174"/>
        <v>17105.875</v>
      </c>
      <c r="D571" s="17">
        <f t="shared" si="182"/>
        <v>17090.65625</v>
      </c>
      <c r="E571" s="17">
        <f t="shared" si="168"/>
        <v>561.5</v>
      </c>
      <c r="F571" s="17">
        <f t="shared" si="169"/>
        <v>106.79166666666666</v>
      </c>
      <c r="G571" s="21">
        <f>INDEX('Life Tables'!$F$8:$F$123,MATCH(Engine!F571,'Life Tables'!$B$8:$B$123,1))</f>
        <v>1</v>
      </c>
      <c r="H571" s="8">
        <f t="shared" si="170"/>
        <v>0.20546786561069619</v>
      </c>
      <c r="I571">
        <f t="shared" si="171"/>
        <v>1</v>
      </c>
      <c r="K571" s="22" t="e">
        <f>$I571*IF($E571&gt;_xlfn.AGGREGATE(4,6,'KM Data'!$B$6:$B$310),NA(),INDEX('KM Data'!$C$6:$C$310,MATCH($E571,'KM Data'!$B$6:$B$310,1)))</f>
        <v>#N/A</v>
      </c>
      <c r="L571" s="21">
        <f t="shared" si="172"/>
        <v>8.1092095712849144E-3</v>
      </c>
      <c r="M571" s="20">
        <f t="shared" si="175"/>
        <v>3.2093464635422064E-3</v>
      </c>
      <c r="N571" s="21">
        <f t="shared" si="183"/>
        <v>0</v>
      </c>
      <c r="O571" s="21">
        <f t="shared" si="184"/>
        <v>0</v>
      </c>
      <c r="P571" s="21">
        <f t="shared" si="185"/>
        <v>0</v>
      </c>
      <c r="R571" s="22" t="e">
        <f>$I571*IF($E571&gt;_xlfn.AGGREGATE(4,6,'KM Data'!$E$6:$E$205),NA(),INDEX('KM Data'!$F$6:$F$205,MATCH($E571,'KM Data'!$E$6:$E$205,1)))</f>
        <v>#N/A</v>
      </c>
      <c r="S571" s="21">
        <f t="shared" si="173"/>
        <v>5.513350322914945E-2</v>
      </c>
      <c r="T571" s="8">
        <f t="shared" si="176"/>
        <v>2.0872716222802845E-3</v>
      </c>
      <c r="U571" s="21">
        <f t="shared" si="186"/>
        <v>0</v>
      </c>
      <c r="V571" s="21">
        <f t="shared" si="187"/>
        <v>0</v>
      </c>
      <c r="W571" s="21">
        <f t="shared" si="188"/>
        <v>0</v>
      </c>
      <c r="Y571" s="23">
        <f t="shared" si="177"/>
        <v>0</v>
      </c>
      <c r="Z571" s="6">
        <f t="shared" si="178"/>
        <v>0</v>
      </c>
      <c r="AA571" s="6">
        <f t="shared" si="179"/>
        <v>1</v>
      </c>
      <c r="AB571" s="6">
        <f t="shared" si="180"/>
        <v>1</v>
      </c>
    </row>
    <row r="572" spans="1:28" x14ac:dyDescent="0.35">
      <c r="A572">
        <v>563</v>
      </c>
      <c r="B572" s="17">
        <f t="shared" si="181"/>
        <v>17105.875</v>
      </c>
      <c r="C572" s="17">
        <f t="shared" si="174"/>
        <v>17136.3125</v>
      </c>
      <c r="D572" s="17">
        <f t="shared" si="182"/>
        <v>17121.09375</v>
      </c>
      <c r="E572" s="17">
        <f t="shared" si="168"/>
        <v>562.5</v>
      </c>
      <c r="F572" s="17">
        <f t="shared" si="169"/>
        <v>106.875</v>
      </c>
      <c r="G572" s="21">
        <f>INDEX('Life Tables'!$F$8:$F$123,MATCH(Engine!F572,'Life Tables'!$B$8:$B$123,1))</f>
        <v>1</v>
      </c>
      <c r="H572" s="8">
        <f t="shared" si="170"/>
        <v>0.20546786561069619</v>
      </c>
      <c r="I572">
        <f t="shared" si="171"/>
        <v>1</v>
      </c>
      <c r="K572" s="22" t="e">
        <f>$I572*IF($E572&gt;_xlfn.AGGREGATE(4,6,'KM Data'!$B$6:$B$310),NA(),INDEX('KM Data'!$C$6:$C$310,MATCH($E572,'KM Data'!$B$6:$B$310,1)))</f>
        <v>#N/A</v>
      </c>
      <c r="L572" s="21">
        <f t="shared" si="172"/>
        <v>8.0831843082251886E-3</v>
      </c>
      <c r="M572" s="20">
        <f t="shared" si="175"/>
        <v>3.204899610688372E-3</v>
      </c>
      <c r="N572" s="21">
        <f t="shared" si="183"/>
        <v>0</v>
      </c>
      <c r="O572" s="21">
        <f t="shared" si="184"/>
        <v>0</v>
      </c>
      <c r="P572" s="21">
        <f t="shared" si="185"/>
        <v>0</v>
      </c>
      <c r="R572" s="22" t="e">
        <f>$I572*IF($E572&gt;_xlfn.AGGREGATE(4,6,'KM Data'!$E$6:$E$205),NA(),INDEX('KM Data'!$F$6:$F$205,MATCH($E572,'KM Data'!$E$6:$E$205,1)))</f>
        <v>#N/A</v>
      </c>
      <c r="S572" s="21">
        <f t="shared" si="173"/>
        <v>5.5018424632422347E-2</v>
      </c>
      <c r="T572" s="8">
        <f t="shared" si="176"/>
        <v>2.0844802982152855E-3</v>
      </c>
      <c r="U572" s="21">
        <f t="shared" si="186"/>
        <v>0</v>
      </c>
      <c r="V572" s="21">
        <f t="shared" si="187"/>
        <v>0</v>
      </c>
      <c r="W572" s="21">
        <f t="shared" si="188"/>
        <v>0</v>
      </c>
      <c r="Y572" s="23">
        <f t="shared" si="177"/>
        <v>0</v>
      </c>
      <c r="Z572" s="6">
        <f t="shared" si="178"/>
        <v>0</v>
      </c>
      <c r="AA572" s="6">
        <f t="shared" si="179"/>
        <v>1</v>
      </c>
      <c r="AB572" s="6">
        <f t="shared" si="180"/>
        <v>1</v>
      </c>
    </row>
    <row r="573" spans="1:28" x14ac:dyDescent="0.35">
      <c r="A573">
        <v>564</v>
      </c>
      <c r="B573" s="17">
        <f t="shared" si="181"/>
        <v>17136.3125</v>
      </c>
      <c r="C573" s="17">
        <f t="shared" si="174"/>
        <v>17166.75</v>
      </c>
      <c r="D573" s="17">
        <f t="shared" si="182"/>
        <v>17151.53125</v>
      </c>
      <c r="E573" s="17">
        <f t="shared" si="168"/>
        <v>563.5</v>
      </c>
      <c r="F573" s="17">
        <f t="shared" si="169"/>
        <v>106.95833333333334</v>
      </c>
      <c r="G573" s="21">
        <f>INDEX('Life Tables'!$F$8:$F$123,MATCH(Engine!F573,'Life Tables'!$B$8:$B$123,1))</f>
        <v>1</v>
      </c>
      <c r="H573" s="8">
        <f t="shared" si="170"/>
        <v>0.19851967691854708</v>
      </c>
      <c r="I573">
        <f t="shared" si="171"/>
        <v>1</v>
      </c>
      <c r="K573" s="22" t="e">
        <f>$I573*IF($E573&gt;_xlfn.AGGREGATE(4,6,'KM Data'!$B$6:$B$310),NA(),INDEX('KM Data'!$C$6:$C$310,MATCH($E573,'KM Data'!$B$6:$B$310,1)))</f>
        <v>#N/A</v>
      </c>
      <c r="L573" s="21">
        <f t="shared" si="172"/>
        <v>8.0572785139826353E-3</v>
      </c>
      <c r="M573" s="20">
        <f t="shared" si="175"/>
        <v>3.2004663755984541E-3</v>
      </c>
      <c r="N573" s="21">
        <f t="shared" si="183"/>
        <v>0</v>
      </c>
      <c r="O573" s="21">
        <f t="shared" si="184"/>
        <v>0</v>
      </c>
      <c r="P573" s="21">
        <f t="shared" si="185"/>
        <v>0</v>
      </c>
      <c r="R573" s="22" t="e">
        <f>$I573*IF($E573&gt;_xlfn.AGGREGATE(4,6,'KM Data'!$E$6:$E$205),NA(),INDEX('KM Data'!$F$6:$F$205,MATCH($E573,'KM Data'!$E$6:$E$205,1)))</f>
        <v>#N/A</v>
      </c>
      <c r="S573" s="21">
        <f t="shared" si="173"/>
        <v>5.4903739810237218E-2</v>
      </c>
      <c r="T573" s="8">
        <f t="shared" si="176"/>
        <v>2.0816973336545974E-3</v>
      </c>
      <c r="U573" s="21">
        <f t="shared" si="186"/>
        <v>0</v>
      </c>
      <c r="V573" s="21">
        <f t="shared" si="187"/>
        <v>0</v>
      </c>
      <c r="W573" s="21">
        <f t="shared" si="188"/>
        <v>0</v>
      </c>
      <c r="Y573" s="23">
        <f t="shared" si="177"/>
        <v>0</v>
      </c>
      <c r="Z573" s="6">
        <f t="shared" si="178"/>
        <v>0</v>
      </c>
      <c r="AA573" s="6">
        <f t="shared" si="179"/>
        <v>1</v>
      </c>
      <c r="AB573" s="6">
        <f t="shared" si="180"/>
        <v>1</v>
      </c>
    </row>
    <row r="574" spans="1:28" x14ac:dyDescent="0.35">
      <c r="A574">
        <v>565</v>
      </c>
      <c r="B574" s="17">
        <f t="shared" si="181"/>
        <v>17166.75</v>
      </c>
      <c r="C574" s="17">
        <f t="shared" si="174"/>
        <v>17197.1875</v>
      </c>
      <c r="D574" s="17">
        <f t="shared" si="182"/>
        <v>17181.96875</v>
      </c>
      <c r="E574" s="17">
        <f t="shared" si="168"/>
        <v>564.5</v>
      </c>
      <c r="F574" s="17">
        <f t="shared" si="169"/>
        <v>107.04166666666666</v>
      </c>
      <c r="G574" s="21">
        <f>INDEX('Life Tables'!$F$8:$F$123,MATCH(Engine!F574,'Life Tables'!$B$8:$B$123,1))</f>
        <v>1</v>
      </c>
      <c r="H574" s="8">
        <f t="shared" si="170"/>
        <v>0.19851967691854708</v>
      </c>
      <c r="I574">
        <f t="shared" si="171"/>
        <v>1</v>
      </c>
      <c r="K574" s="22" t="e">
        <f>$I574*IF($E574&gt;_xlfn.AGGREGATE(4,6,'KM Data'!$B$6:$B$310),NA(),INDEX('KM Data'!$C$6:$C$310,MATCH($E574,'KM Data'!$B$6:$B$310,1)))</f>
        <v>#N/A</v>
      </c>
      <c r="L574" s="21">
        <f t="shared" si="172"/>
        <v>8.0314914650198022E-3</v>
      </c>
      <c r="M574" s="20">
        <f t="shared" si="175"/>
        <v>3.1960466933989018E-3</v>
      </c>
      <c r="N574" s="21">
        <f t="shared" si="183"/>
        <v>0</v>
      </c>
      <c r="O574" s="21">
        <f t="shared" si="184"/>
        <v>0</v>
      </c>
      <c r="P574" s="21">
        <f t="shared" si="185"/>
        <v>0</v>
      </c>
      <c r="R574" s="22" t="e">
        <f>$I574*IF($E574&gt;_xlfn.AGGREGATE(4,6,'KM Data'!$E$6:$E$205),NA(),INDEX('KM Data'!$F$6:$F$205,MATCH($E574,'KM Data'!$E$6:$E$205,1)))</f>
        <v>#N/A</v>
      </c>
      <c r="S574" s="21">
        <f t="shared" si="173"/>
        <v>5.4789446841466583E-2</v>
      </c>
      <c r="T574" s="8">
        <f t="shared" si="176"/>
        <v>2.0789226894558643E-3</v>
      </c>
      <c r="U574" s="21">
        <f t="shared" si="186"/>
        <v>0</v>
      </c>
      <c r="V574" s="21">
        <f t="shared" si="187"/>
        <v>0</v>
      </c>
      <c r="W574" s="21">
        <f t="shared" si="188"/>
        <v>0</v>
      </c>
      <c r="Y574" s="23">
        <f t="shared" si="177"/>
        <v>0</v>
      </c>
      <c r="Z574" s="6">
        <f t="shared" si="178"/>
        <v>0</v>
      </c>
      <c r="AA574" s="6">
        <f t="shared" si="179"/>
        <v>1</v>
      </c>
      <c r="AB574" s="6">
        <f t="shared" si="180"/>
        <v>1</v>
      </c>
    </row>
    <row r="575" spans="1:28" x14ac:dyDescent="0.35">
      <c r="A575">
        <v>566</v>
      </c>
      <c r="B575" s="17">
        <f t="shared" si="181"/>
        <v>17197.1875</v>
      </c>
      <c r="C575" s="17">
        <f t="shared" si="174"/>
        <v>17227.625</v>
      </c>
      <c r="D575" s="17">
        <f t="shared" si="182"/>
        <v>17212.40625</v>
      </c>
      <c r="E575" s="17">
        <f t="shared" si="168"/>
        <v>565.5</v>
      </c>
      <c r="F575" s="17">
        <f t="shared" si="169"/>
        <v>107.125</v>
      </c>
      <c r="G575" s="21">
        <f>INDEX('Life Tables'!$F$8:$F$123,MATCH(Engine!F575,'Life Tables'!$B$8:$B$123,1))</f>
        <v>1</v>
      </c>
      <c r="H575" s="8">
        <f t="shared" si="170"/>
        <v>0.19851967691854708</v>
      </c>
      <c r="I575">
        <f t="shared" si="171"/>
        <v>1</v>
      </c>
      <c r="K575" s="22" t="e">
        <f>$I575*IF($E575&gt;_xlfn.AGGREGATE(4,6,'KM Data'!$B$6:$B$310),NA(),INDEX('KM Data'!$C$6:$C$310,MATCH($E575,'KM Data'!$B$6:$B$310,1)))</f>
        <v>#N/A</v>
      </c>
      <c r="L575" s="21">
        <f t="shared" si="172"/>
        <v>8.0058224432799641E-3</v>
      </c>
      <c r="M575" s="20">
        <f t="shared" si="175"/>
        <v>3.1916404996554792E-3</v>
      </c>
      <c r="N575" s="21">
        <f t="shared" si="183"/>
        <v>0</v>
      </c>
      <c r="O575" s="21">
        <f t="shared" si="184"/>
        <v>0</v>
      </c>
      <c r="P575" s="21">
        <f t="shared" si="185"/>
        <v>0</v>
      </c>
      <c r="R575" s="22" t="e">
        <f>$I575*IF($E575&gt;_xlfn.AGGREGATE(4,6,'KM Data'!$E$6:$E$205),NA(),INDEX('KM Data'!$F$6:$F$205,MATCH($E575,'KM Data'!$E$6:$E$205,1)))</f>
        <v>#N/A</v>
      </c>
      <c r="S575" s="21">
        <f t="shared" si="173"/>
        <v>5.4675543817285122E-2</v>
      </c>
      <c r="T575" s="8">
        <f t="shared" si="176"/>
        <v>2.0761563267043259E-3</v>
      </c>
      <c r="U575" s="21">
        <f t="shared" si="186"/>
        <v>0</v>
      </c>
      <c r="V575" s="21">
        <f t="shared" si="187"/>
        <v>0</v>
      </c>
      <c r="W575" s="21">
        <f t="shared" si="188"/>
        <v>0</v>
      </c>
      <c r="Y575" s="23">
        <f t="shared" si="177"/>
        <v>0</v>
      </c>
      <c r="Z575" s="6">
        <f t="shared" si="178"/>
        <v>0</v>
      </c>
      <c r="AA575" s="6">
        <f t="shared" si="179"/>
        <v>1</v>
      </c>
      <c r="AB575" s="6">
        <f t="shared" si="180"/>
        <v>1</v>
      </c>
    </row>
    <row r="576" spans="1:28" x14ac:dyDescent="0.35">
      <c r="A576">
        <v>567</v>
      </c>
      <c r="B576" s="17">
        <f t="shared" si="181"/>
        <v>17227.625</v>
      </c>
      <c r="C576" s="17">
        <f t="shared" si="174"/>
        <v>17258.0625</v>
      </c>
      <c r="D576" s="17">
        <f t="shared" si="182"/>
        <v>17242.84375</v>
      </c>
      <c r="E576" s="17">
        <f t="shared" si="168"/>
        <v>566.5</v>
      </c>
      <c r="F576" s="17">
        <f t="shared" si="169"/>
        <v>107.20833333333334</v>
      </c>
      <c r="G576" s="21">
        <f>INDEX('Life Tables'!$F$8:$F$123,MATCH(Engine!F576,'Life Tables'!$B$8:$B$123,1))</f>
        <v>1</v>
      </c>
      <c r="H576" s="8">
        <f t="shared" si="170"/>
        <v>0.19851967691854708</v>
      </c>
      <c r="I576">
        <f t="shared" si="171"/>
        <v>1</v>
      </c>
      <c r="K576" s="22" t="e">
        <f>$I576*IF($E576&gt;_xlfn.AGGREGATE(4,6,'KM Data'!$B$6:$B$310),NA(),INDEX('KM Data'!$C$6:$C$310,MATCH($E576,'KM Data'!$B$6:$B$310,1)))</f>
        <v>#N/A</v>
      </c>
      <c r="L576" s="21">
        <f t="shared" si="172"/>
        <v>7.9802707361369407E-3</v>
      </c>
      <c r="M576" s="20">
        <f t="shared" si="175"/>
        <v>3.1872477303118707E-3</v>
      </c>
      <c r="N576" s="21">
        <f t="shared" si="183"/>
        <v>0</v>
      </c>
      <c r="O576" s="21">
        <f t="shared" si="184"/>
        <v>0</v>
      </c>
      <c r="P576" s="21">
        <f t="shared" si="185"/>
        <v>0</v>
      </c>
      <c r="R576" s="22" t="e">
        <f>$I576*IF($E576&gt;_xlfn.AGGREGATE(4,6,'KM Data'!$E$6:$E$205),NA(),INDEX('KM Data'!$F$6:$F$205,MATCH($E576,'KM Data'!$E$6:$E$205,1)))</f>
        <v>#N/A</v>
      </c>
      <c r="S576" s="21">
        <f t="shared" si="173"/>
        <v>5.4562028841072863E-2</v>
      </c>
      <c r="T576" s="8">
        <f t="shared" si="176"/>
        <v>2.0733982067560053E-3</v>
      </c>
      <c r="U576" s="21">
        <f t="shared" si="186"/>
        <v>0</v>
      </c>
      <c r="V576" s="21">
        <f t="shared" si="187"/>
        <v>0</v>
      </c>
      <c r="W576" s="21">
        <f t="shared" si="188"/>
        <v>0</v>
      </c>
      <c r="Y576" s="23">
        <f t="shared" si="177"/>
        <v>0</v>
      </c>
      <c r="Z576" s="6">
        <f t="shared" si="178"/>
        <v>0</v>
      </c>
      <c r="AA576" s="6">
        <f t="shared" si="179"/>
        <v>1</v>
      </c>
      <c r="AB576" s="6">
        <f t="shared" si="180"/>
        <v>1</v>
      </c>
    </row>
    <row r="577" spans="1:28" x14ac:dyDescent="0.35">
      <c r="A577">
        <v>568</v>
      </c>
      <c r="B577" s="17">
        <f t="shared" si="181"/>
        <v>17258.0625</v>
      </c>
      <c r="C577" s="17">
        <f t="shared" si="174"/>
        <v>17288.5</v>
      </c>
      <c r="D577" s="17">
        <f t="shared" si="182"/>
        <v>17273.28125</v>
      </c>
      <c r="E577" s="17">
        <f t="shared" si="168"/>
        <v>567.5</v>
      </c>
      <c r="F577" s="17">
        <f t="shared" si="169"/>
        <v>107.29166666666666</v>
      </c>
      <c r="G577" s="21">
        <f>INDEX('Life Tables'!$F$8:$F$123,MATCH(Engine!F577,'Life Tables'!$B$8:$B$123,1))</f>
        <v>1</v>
      </c>
      <c r="H577" s="8">
        <f t="shared" si="170"/>
        <v>0.19851967691854708</v>
      </c>
      <c r="I577">
        <f t="shared" si="171"/>
        <v>1</v>
      </c>
      <c r="K577" s="22" t="e">
        <f>$I577*IF($E577&gt;_xlfn.AGGREGATE(4,6,'KM Data'!$B$6:$B$310),NA(),INDEX('KM Data'!$C$6:$C$310,MATCH($E577,'KM Data'!$B$6:$B$310,1)))</f>
        <v>#N/A</v>
      </c>
      <c r="L577" s="21">
        <f t="shared" si="172"/>
        <v>7.9548356363459138E-3</v>
      </c>
      <c r="M577" s="20">
        <f t="shared" si="175"/>
        <v>3.1828683217520748E-3</v>
      </c>
      <c r="N577" s="21">
        <f t="shared" si="183"/>
        <v>0</v>
      </c>
      <c r="O577" s="21">
        <f t="shared" si="184"/>
        <v>0</v>
      </c>
      <c r="P577" s="21">
        <f t="shared" si="185"/>
        <v>0</v>
      </c>
      <c r="R577" s="22" t="e">
        <f>$I577*IF($E577&gt;_xlfn.AGGREGATE(4,6,'KM Data'!$E$6:$E$205),NA(),INDEX('KM Data'!$F$6:$F$205,MATCH($E577,'KM Data'!$E$6:$E$205,1)))</f>
        <v>#N/A</v>
      </c>
      <c r="S577" s="21">
        <f t="shared" si="173"/>
        <v>5.4448900028316816E-2</v>
      </c>
      <c r="T577" s="8">
        <f t="shared" si="176"/>
        <v>2.0706482911933E-3</v>
      </c>
      <c r="U577" s="21">
        <f t="shared" si="186"/>
        <v>0</v>
      </c>
      <c r="V577" s="21">
        <f t="shared" si="187"/>
        <v>0</v>
      </c>
      <c r="W577" s="21">
        <f t="shared" si="188"/>
        <v>0</v>
      </c>
      <c r="Y577" s="23">
        <f t="shared" si="177"/>
        <v>0</v>
      </c>
      <c r="Z577" s="6">
        <f t="shared" si="178"/>
        <v>0</v>
      </c>
      <c r="AA577" s="6">
        <f t="shared" si="179"/>
        <v>1</v>
      </c>
      <c r="AB577" s="6">
        <f t="shared" si="180"/>
        <v>1</v>
      </c>
    </row>
    <row r="578" spans="1:28" x14ac:dyDescent="0.35">
      <c r="A578">
        <v>569</v>
      </c>
      <c r="B578" s="17">
        <f t="shared" si="181"/>
        <v>17288.5</v>
      </c>
      <c r="C578" s="17">
        <f t="shared" si="174"/>
        <v>17318.9375</v>
      </c>
      <c r="D578" s="17">
        <f t="shared" si="182"/>
        <v>17303.71875</v>
      </c>
      <c r="E578" s="17">
        <f t="shared" si="168"/>
        <v>568.5</v>
      </c>
      <c r="F578" s="17">
        <f t="shared" si="169"/>
        <v>107.375</v>
      </c>
      <c r="G578" s="21">
        <f>INDEX('Life Tables'!$F$8:$F$123,MATCH(Engine!F578,'Life Tables'!$B$8:$B$123,1))</f>
        <v>1</v>
      </c>
      <c r="H578" s="8">
        <f t="shared" si="170"/>
        <v>0.19851967691854708</v>
      </c>
      <c r="I578">
        <f t="shared" si="171"/>
        <v>1</v>
      </c>
      <c r="K578" s="22" t="e">
        <f>$I578*IF($E578&gt;_xlfn.AGGREGATE(4,6,'KM Data'!$B$6:$B$310),NA(),INDEX('KM Data'!$C$6:$C$310,MATCH($E578,'KM Data'!$B$6:$B$310,1)))</f>
        <v>#N/A</v>
      </c>
      <c r="L578" s="21">
        <f t="shared" si="172"/>
        <v>7.9295164419942443E-3</v>
      </c>
      <c r="M578" s="20">
        <f t="shared" si="175"/>
        <v>3.1785022107232441E-3</v>
      </c>
      <c r="N578" s="21">
        <f t="shared" si="183"/>
        <v>0</v>
      </c>
      <c r="O578" s="21">
        <f t="shared" si="184"/>
        <v>0</v>
      </c>
      <c r="P578" s="21">
        <f t="shared" si="185"/>
        <v>0</v>
      </c>
      <c r="R578" s="22" t="e">
        <f>$I578*IF($E578&gt;_xlfn.AGGREGATE(4,6,'KM Data'!$E$6:$E$205),NA(),INDEX('KM Data'!$F$6:$F$205,MATCH($E578,'KM Data'!$E$6:$E$205,1)))</f>
        <v>#N/A</v>
      </c>
      <c r="S578" s="21">
        <f t="shared" si="173"/>
        <v>5.4336155506515826E-2</v>
      </c>
      <c r="T578" s="8">
        <f t="shared" si="176"/>
        <v>2.067906541854958E-3</v>
      </c>
      <c r="U578" s="21">
        <f t="shared" si="186"/>
        <v>0</v>
      </c>
      <c r="V578" s="21">
        <f t="shared" si="187"/>
        <v>0</v>
      </c>
      <c r="W578" s="21">
        <f t="shared" si="188"/>
        <v>0</v>
      </c>
      <c r="Y578" s="23">
        <f t="shared" si="177"/>
        <v>0</v>
      </c>
      <c r="Z578" s="6">
        <f t="shared" si="178"/>
        <v>0</v>
      </c>
      <c r="AA578" s="6">
        <f t="shared" si="179"/>
        <v>1</v>
      </c>
      <c r="AB578" s="6">
        <f t="shared" si="180"/>
        <v>1</v>
      </c>
    </row>
    <row r="579" spans="1:28" x14ac:dyDescent="0.35">
      <c r="A579">
        <v>570</v>
      </c>
      <c r="B579" s="17">
        <f t="shared" si="181"/>
        <v>17318.9375</v>
      </c>
      <c r="C579" s="17">
        <f t="shared" si="174"/>
        <v>17349.375</v>
      </c>
      <c r="D579" s="17">
        <f t="shared" si="182"/>
        <v>17334.15625</v>
      </c>
      <c r="E579" s="17">
        <f t="shared" si="168"/>
        <v>569.5</v>
      </c>
      <c r="F579" s="17">
        <f t="shared" si="169"/>
        <v>107.45833333333334</v>
      </c>
      <c r="G579" s="21">
        <f>INDEX('Life Tables'!$F$8:$F$123,MATCH(Engine!F579,'Life Tables'!$B$8:$B$123,1))</f>
        <v>1</v>
      </c>
      <c r="H579" s="8">
        <f t="shared" si="170"/>
        <v>0.19851967691854708</v>
      </c>
      <c r="I579">
        <f t="shared" si="171"/>
        <v>1</v>
      </c>
      <c r="K579" s="22" t="e">
        <f>$I579*IF($E579&gt;_xlfn.AGGREGATE(4,6,'KM Data'!$B$6:$B$310),NA(),INDEX('KM Data'!$C$6:$C$310,MATCH($E579,'KM Data'!$B$6:$B$310,1)))</f>
        <v>#N/A</v>
      </c>
      <c r="L579" s="21">
        <f t="shared" si="172"/>
        <v>7.9043124564533995E-3</v>
      </c>
      <c r="M579" s="20">
        <f t="shared" si="175"/>
        <v>3.1741493344673577E-3</v>
      </c>
      <c r="N579" s="21">
        <f t="shared" si="183"/>
        <v>0</v>
      </c>
      <c r="O579" s="21">
        <f t="shared" si="184"/>
        <v>0</v>
      </c>
      <c r="P579" s="21">
        <f t="shared" si="185"/>
        <v>0</v>
      </c>
      <c r="R579" s="22" t="e">
        <f>$I579*IF($E579&gt;_xlfn.AGGREGATE(4,6,'KM Data'!$E$6:$E$205),NA(),INDEX('KM Data'!$F$6:$F$205,MATCH($E579,'KM Data'!$E$6:$E$205,1)))</f>
        <v>#N/A</v>
      </c>
      <c r="S579" s="21">
        <f t="shared" si="173"/>
        <v>5.4223793415084653E-2</v>
      </c>
      <c r="T579" s="8">
        <f t="shared" si="176"/>
        <v>2.0651729208195357E-3</v>
      </c>
      <c r="U579" s="21">
        <f t="shared" si="186"/>
        <v>0</v>
      </c>
      <c r="V579" s="21">
        <f t="shared" si="187"/>
        <v>0</v>
      </c>
      <c r="W579" s="21">
        <f t="shared" si="188"/>
        <v>0</v>
      </c>
      <c r="Y579" s="23">
        <f t="shared" si="177"/>
        <v>0</v>
      </c>
      <c r="Z579" s="6">
        <f t="shared" si="178"/>
        <v>0</v>
      </c>
      <c r="AA579" s="6">
        <f t="shared" si="179"/>
        <v>1</v>
      </c>
      <c r="AB579" s="6">
        <f t="shared" si="180"/>
        <v>1</v>
      </c>
    </row>
    <row r="580" spans="1:28" x14ac:dyDescent="0.35">
      <c r="A580">
        <v>571</v>
      </c>
      <c r="B580" s="17">
        <f t="shared" si="181"/>
        <v>17349.375</v>
      </c>
      <c r="C580" s="17">
        <f t="shared" si="174"/>
        <v>17379.8125</v>
      </c>
      <c r="D580" s="17">
        <f t="shared" si="182"/>
        <v>17364.59375</v>
      </c>
      <c r="E580" s="17">
        <f t="shared" si="168"/>
        <v>570.5</v>
      </c>
      <c r="F580" s="17">
        <f t="shared" si="169"/>
        <v>107.54166666666666</v>
      </c>
      <c r="G580" s="21">
        <f>INDEX('Life Tables'!$F$8:$F$123,MATCH(Engine!F580,'Life Tables'!$B$8:$B$123,1))</f>
        <v>1</v>
      </c>
      <c r="H580" s="8">
        <f t="shared" si="170"/>
        <v>0.19851967691854708</v>
      </c>
      <c r="I580">
        <f t="shared" si="171"/>
        <v>1</v>
      </c>
      <c r="K580" s="22" t="e">
        <f>$I580*IF($E580&gt;_xlfn.AGGREGATE(4,6,'KM Data'!$B$6:$B$310),NA(),INDEX('KM Data'!$C$6:$C$310,MATCH($E580,'KM Data'!$B$6:$B$310,1)))</f>
        <v>#N/A</v>
      </c>
      <c r="L580" s="21">
        <f t="shared" si="172"/>
        <v>7.8792229883303255E-3</v>
      </c>
      <c r="M580" s="20">
        <f t="shared" si="175"/>
        <v>3.1698096305446954E-3</v>
      </c>
      <c r="N580" s="21">
        <f t="shared" si="183"/>
        <v>0</v>
      </c>
      <c r="O580" s="21">
        <f t="shared" si="184"/>
        <v>0</v>
      </c>
      <c r="P580" s="21">
        <f t="shared" si="185"/>
        <v>0</v>
      </c>
      <c r="R580" s="22" t="e">
        <f>$I580*IF($E580&gt;_xlfn.AGGREGATE(4,6,'KM Data'!$E$6:$E$205),NA(),INDEX('KM Data'!$F$6:$F$205,MATCH($E580,'KM Data'!$E$6:$E$205,1)))</f>
        <v>#N/A</v>
      </c>
      <c r="S580" s="21">
        <f t="shared" si="173"/>
        <v>5.411181190525971E-2</v>
      </c>
      <c r="T580" s="8">
        <f t="shared" si="176"/>
        <v>2.0624473903995133E-3</v>
      </c>
      <c r="U580" s="21">
        <f t="shared" si="186"/>
        <v>0</v>
      </c>
      <c r="V580" s="21">
        <f t="shared" si="187"/>
        <v>0</v>
      </c>
      <c r="W580" s="21">
        <f t="shared" si="188"/>
        <v>0</v>
      </c>
      <c r="Y580" s="23">
        <f t="shared" si="177"/>
        <v>0</v>
      </c>
      <c r="Z580" s="6">
        <f t="shared" si="178"/>
        <v>0</v>
      </c>
      <c r="AA580" s="6">
        <f t="shared" si="179"/>
        <v>1</v>
      </c>
      <c r="AB580" s="6">
        <f t="shared" si="180"/>
        <v>1</v>
      </c>
    </row>
    <row r="581" spans="1:28" x14ac:dyDescent="0.35">
      <c r="A581">
        <v>572</v>
      </c>
      <c r="B581" s="17">
        <f t="shared" si="181"/>
        <v>17379.8125</v>
      </c>
      <c r="C581" s="17">
        <f t="shared" si="174"/>
        <v>17410.25</v>
      </c>
      <c r="D581" s="17">
        <f t="shared" si="182"/>
        <v>17395.03125</v>
      </c>
      <c r="E581" s="17">
        <f t="shared" si="168"/>
        <v>571.5</v>
      </c>
      <c r="F581" s="17">
        <f t="shared" si="169"/>
        <v>107.625</v>
      </c>
      <c r="G581" s="21">
        <f>INDEX('Life Tables'!$F$8:$F$123,MATCH(Engine!F581,'Life Tables'!$B$8:$B$123,1))</f>
        <v>1</v>
      </c>
      <c r="H581" s="8">
        <f t="shared" si="170"/>
        <v>0.19851967691854708</v>
      </c>
      <c r="I581">
        <f t="shared" si="171"/>
        <v>1</v>
      </c>
      <c r="K581" s="22" t="e">
        <f>$I581*IF($E581&gt;_xlfn.AGGREGATE(4,6,'KM Data'!$B$6:$B$310),NA(),INDEX('KM Data'!$C$6:$C$310,MATCH($E581,'KM Data'!$B$6:$B$310,1)))</f>
        <v>#N/A</v>
      </c>
      <c r="L581" s="21">
        <f t="shared" si="172"/>
        <v>7.8542473514207067E-3</v>
      </c>
      <c r="M581" s="20">
        <f t="shared" si="175"/>
        <v>3.1654830369632903E-3</v>
      </c>
      <c r="N581" s="21">
        <f t="shared" si="183"/>
        <v>0</v>
      </c>
      <c r="O581" s="21">
        <f t="shared" si="184"/>
        <v>0</v>
      </c>
      <c r="P581" s="21">
        <f t="shared" si="185"/>
        <v>0</v>
      </c>
      <c r="R581" s="22" t="e">
        <f>$I581*IF($E581&gt;_xlfn.AGGREGATE(4,6,'KM Data'!$E$6:$E$205),NA(),INDEX('KM Data'!$F$6:$F$205,MATCH($E581,'KM Data'!$E$6:$E$205,1)))</f>
        <v>#N/A</v>
      </c>
      <c r="S581" s="21">
        <f t="shared" si="173"/>
        <v>5.4000209140005917E-2</v>
      </c>
      <c r="T581" s="8">
        <f t="shared" si="176"/>
        <v>2.0597299131521751E-3</v>
      </c>
      <c r="U581" s="21">
        <f t="shared" si="186"/>
        <v>0</v>
      </c>
      <c r="V581" s="21">
        <f t="shared" si="187"/>
        <v>0</v>
      </c>
      <c r="W581" s="21">
        <f t="shared" si="188"/>
        <v>0</v>
      </c>
      <c r="Y581" s="23">
        <f t="shared" si="177"/>
        <v>0</v>
      </c>
      <c r="Z581" s="6">
        <f t="shared" si="178"/>
        <v>0</v>
      </c>
      <c r="AA581" s="6">
        <f t="shared" si="179"/>
        <v>1</v>
      </c>
      <c r="AB581" s="6">
        <f t="shared" si="180"/>
        <v>1</v>
      </c>
    </row>
    <row r="582" spans="1:28" x14ac:dyDescent="0.35">
      <c r="A582">
        <v>573</v>
      </c>
      <c r="B582" s="17">
        <f t="shared" si="181"/>
        <v>17410.25</v>
      </c>
      <c r="C582" s="17">
        <f t="shared" si="174"/>
        <v>17440.6875</v>
      </c>
      <c r="D582" s="17">
        <f t="shared" si="182"/>
        <v>17425.46875</v>
      </c>
      <c r="E582" s="17">
        <f t="shared" si="168"/>
        <v>572.5</v>
      </c>
      <c r="F582" s="17">
        <f t="shared" si="169"/>
        <v>107.70833333333334</v>
      </c>
      <c r="G582" s="21">
        <f>INDEX('Life Tables'!$F$8:$F$123,MATCH(Engine!F582,'Life Tables'!$B$8:$B$123,1))</f>
        <v>1</v>
      </c>
      <c r="H582" s="8">
        <f t="shared" si="170"/>
        <v>0.19851967691854708</v>
      </c>
      <c r="I582">
        <f t="shared" si="171"/>
        <v>1</v>
      </c>
      <c r="K582" s="22" t="e">
        <f>$I582*IF($E582&gt;_xlfn.AGGREGATE(4,6,'KM Data'!$B$6:$B$310),NA(),INDEX('KM Data'!$C$6:$C$310,MATCH($E582,'KM Data'!$B$6:$B$310,1)))</f>
        <v>#N/A</v>
      </c>
      <c r="L582" s="21">
        <f t="shared" si="172"/>
        <v>7.8293848646616704E-3</v>
      </c>
      <c r="M582" s="20">
        <f t="shared" si="175"/>
        <v>3.1611694920988809E-3</v>
      </c>
      <c r="N582" s="21">
        <f t="shared" si="183"/>
        <v>0</v>
      </c>
      <c r="O582" s="21">
        <f t="shared" si="184"/>
        <v>0</v>
      </c>
      <c r="P582" s="21">
        <f t="shared" si="185"/>
        <v>0</v>
      </c>
      <c r="R582" s="22" t="e">
        <f>$I582*IF($E582&gt;_xlfn.AGGREGATE(4,6,'KM Data'!$E$6:$E$205),NA(),INDEX('KM Data'!$F$6:$F$205,MATCH($E582,'KM Data'!$E$6:$E$205,1)))</f>
        <v>#N/A</v>
      </c>
      <c r="S582" s="21">
        <f t="shared" si="173"/>
        <v>5.3888983293923776E-2</v>
      </c>
      <c r="T582" s="8">
        <f t="shared" si="176"/>
        <v>2.0570204518643997E-3</v>
      </c>
      <c r="U582" s="21">
        <f t="shared" si="186"/>
        <v>0</v>
      </c>
      <c r="V582" s="21">
        <f t="shared" si="187"/>
        <v>0</v>
      </c>
      <c r="W582" s="21">
        <f t="shared" si="188"/>
        <v>0</v>
      </c>
      <c r="Y582" s="23">
        <f t="shared" si="177"/>
        <v>0</v>
      </c>
      <c r="Z582" s="6">
        <f t="shared" si="178"/>
        <v>0</v>
      </c>
      <c r="AA582" s="6">
        <f t="shared" si="179"/>
        <v>1</v>
      </c>
      <c r="AB582" s="6">
        <f t="shared" si="180"/>
        <v>1</v>
      </c>
    </row>
    <row r="583" spans="1:28" x14ac:dyDescent="0.35">
      <c r="A583">
        <v>574</v>
      </c>
      <c r="B583" s="17">
        <f t="shared" si="181"/>
        <v>17440.6875</v>
      </c>
      <c r="C583" s="17">
        <f t="shared" si="174"/>
        <v>17471.125</v>
      </c>
      <c r="D583" s="17">
        <f t="shared" si="182"/>
        <v>17455.90625</v>
      </c>
      <c r="E583" s="17">
        <f t="shared" si="168"/>
        <v>573.5</v>
      </c>
      <c r="F583" s="17">
        <f t="shared" si="169"/>
        <v>107.79166666666666</v>
      </c>
      <c r="G583" s="21">
        <f>INDEX('Life Tables'!$F$8:$F$123,MATCH(Engine!F583,'Life Tables'!$B$8:$B$123,1))</f>
        <v>1</v>
      </c>
      <c r="H583" s="8">
        <f t="shared" si="170"/>
        <v>0.19851967691854708</v>
      </c>
      <c r="I583">
        <f t="shared" si="171"/>
        <v>1</v>
      </c>
      <c r="K583" s="22" t="e">
        <f>$I583*IF($E583&gt;_xlfn.AGGREGATE(4,6,'KM Data'!$B$6:$B$310),NA(),INDEX('KM Data'!$C$6:$C$310,MATCH($E583,'KM Data'!$B$6:$B$310,1)))</f>
        <v>#N/A</v>
      </c>
      <c r="L583" s="21">
        <f t="shared" si="172"/>
        <v>7.8046348520856013E-3</v>
      </c>
      <c r="M583" s="20">
        <f t="shared" si="175"/>
        <v>3.156868934725221E-3</v>
      </c>
      <c r="N583" s="21">
        <f t="shared" si="183"/>
        <v>0</v>
      </c>
      <c r="O583" s="21">
        <f t="shared" si="184"/>
        <v>0</v>
      </c>
      <c r="P583" s="21">
        <f t="shared" si="185"/>
        <v>0</v>
      </c>
      <c r="R583" s="22" t="e">
        <f>$I583*IF($E583&gt;_xlfn.AGGREGATE(4,6,'KM Data'!$E$6:$E$205),NA(),INDEX('KM Data'!$F$6:$F$205,MATCH($E583,'KM Data'!$E$6:$E$205,1)))</f>
        <v>#N/A</v>
      </c>
      <c r="S583" s="21">
        <f t="shared" si="173"/>
        <v>5.3778132553157998E-2</v>
      </c>
      <c r="T583" s="8">
        <f t="shared" si="176"/>
        <v>2.0543189695653163E-3</v>
      </c>
      <c r="U583" s="21">
        <f t="shared" si="186"/>
        <v>0</v>
      </c>
      <c r="V583" s="21">
        <f t="shared" si="187"/>
        <v>0</v>
      </c>
      <c r="W583" s="21">
        <f t="shared" si="188"/>
        <v>0</v>
      </c>
      <c r="Y583" s="23">
        <f t="shared" si="177"/>
        <v>0</v>
      </c>
      <c r="Z583" s="6">
        <f t="shared" si="178"/>
        <v>0</v>
      </c>
      <c r="AA583" s="6">
        <f t="shared" si="179"/>
        <v>1</v>
      </c>
      <c r="AB583" s="6">
        <f t="shared" si="180"/>
        <v>1</v>
      </c>
    </row>
    <row r="584" spans="1:28" x14ac:dyDescent="0.35">
      <c r="A584">
        <v>575</v>
      </c>
      <c r="B584" s="17">
        <f t="shared" si="181"/>
        <v>17471.125</v>
      </c>
      <c r="C584" s="17">
        <f t="shared" si="174"/>
        <v>17501.5625</v>
      </c>
      <c r="D584" s="17">
        <f t="shared" si="182"/>
        <v>17486.34375</v>
      </c>
      <c r="E584" s="17">
        <f t="shared" si="168"/>
        <v>574.5</v>
      </c>
      <c r="F584" s="17">
        <f t="shared" si="169"/>
        <v>107.875</v>
      </c>
      <c r="G584" s="21">
        <f>INDEX('Life Tables'!$F$8:$F$123,MATCH(Engine!F584,'Life Tables'!$B$8:$B$123,1))</f>
        <v>1</v>
      </c>
      <c r="H584" s="8">
        <f t="shared" si="170"/>
        <v>0.19851967691854708</v>
      </c>
      <c r="I584">
        <f t="shared" si="171"/>
        <v>1</v>
      </c>
      <c r="K584" s="22" t="e">
        <f>$I584*IF($E584&gt;_xlfn.AGGREGATE(4,6,'KM Data'!$B$6:$B$310),NA(),INDEX('KM Data'!$C$6:$C$310,MATCH($E584,'KM Data'!$B$6:$B$310,1)))</f>
        <v>#N/A</v>
      </c>
      <c r="L584" s="21">
        <f t="shared" si="172"/>
        <v>7.7799966427741785E-3</v>
      </c>
      <c r="M584" s="20">
        <f t="shared" si="175"/>
        <v>3.1525813040594874E-3</v>
      </c>
      <c r="N584" s="21">
        <f t="shared" si="183"/>
        <v>0</v>
      </c>
      <c r="O584" s="21">
        <f t="shared" si="184"/>
        <v>0</v>
      </c>
      <c r="P584" s="21">
        <f t="shared" si="185"/>
        <v>0</v>
      </c>
      <c r="R584" s="22" t="e">
        <f>$I584*IF($E584&gt;_xlfn.AGGREGATE(4,6,'KM Data'!$E$6:$E$205),NA(),INDEX('KM Data'!$F$6:$F$205,MATCH($E584,'KM Data'!$E$6:$E$205,1)))</f>
        <v>#N/A</v>
      </c>
      <c r="S584" s="21">
        <f t="shared" si="173"/>
        <v>5.3667655115306245E-2</v>
      </c>
      <c r="T584" s="8">
        <f t="shared" si="176"/>
        <v>2.0516254295095404E-3</v>
      </c>
      <c r="U584" s="21">
        <f t="shared" si="186"/>
        <v>0</v>
      </c>
      <c r="V584" s="21">
        <f t="shared" si="187"/>
        <v>0</v>
      </c>
      <c r="W584" s="21">
        <f t="shared" si="188"/>
        <v>0</v>
      </c>
      <c r="Y584" s="23">
        <f t="shared" si="177"/>
        <v>0</v>
      </c>
      <c r="Z584" s="6">
        <f t="shared" si="178"/>
        <v>0</v>
      </c>
      <c r="AA584" s="6">
        <f t="shared" si="179"/>
        <v>1</v>
      </c>
      <c r="AB584" s="6">
        <f t="shared" si="180"/>
        <v>1</v>
      </c>
    </row>
    <row r="585" spans="1:28" x14ac:dyDescent="0.35">
      <c r="A585">
        <v>576</v>
      </c>
      <c r="B585" s="17">
        <f t="shared" si="181"/>
        <v>17501.5625</v>
      </c>
      <c r="C585" s="17">
        <f t="shared" si="174"/>
        <v>17532</v>
      </c>
      <c r="D585" s="17">
        <f t="shared" si="182"/>
        <v>17516.78125</v>
      </c>
      <c r="E585" s="17">
        <f t="shared" ref="E585:E648" si="189">D585/Days_per_Month</f>
        <v>575.5</v>
      </c>
      <c r="F585" s="17">
        <f t="shared" ref="F585:F609" si="190">Patient_Baseline_Age+(D585/365.25)</f>
        <v>107.95833333333334</v>
      </c>
      <c r="G585" s="21">
        <f>INDEX('Life Tables'!$F$8:$F$123,MATCH(Engine!F585,'Life Tables'!$B$8:$B$123,1))</f>
        <v>1</v>
      </c>
      <c r="H585" s="8">
        <f t="shared" ref="H585:H609" si="191">1/(1+Discount_Rate)^ROUNDDOWN(A585/12,0)</f>
        <v>0.19180645112903102</v>
      </c>
      <c r="I585">
        <f t="shared" ref="I585:I609" si="192">IF(E585&lt;Min_Time_Horizon__5_Years___60_Months,1,IF(C585/Days_per_Year&lt;Max_Time_Horizon__in_Years,1,NA()))</f>
        <v>1</v>
      </c>
      <c r="K585" s="22" t="e">
        <f>$I585*IF($E585&gt;_xlfn.AGGREGATE(4,6,'KM Data'!$B$6:$B$310),NA(),INDEX('KM Data'!$C$6:$C$310,MATCH($E585,'KM Data'!$B$6:$B$310,1)))</f>
        <v>#N/A</v>
      </c>
      <c r="L585" s="21">
        <f t="shared" ref="L585:L648" si="193">$I585*CHOOSE(MATCH(K$4,label_curves,0),
    EXP(-$E585*EXP(L$5)),
    1-((EXP(GAMMALN(EXP(L$5)))*_xlfn.GAMMA.DIST(EXP(L$6)*$E585,EXP(L$5),1,TRUE))/_xlfn.GAMMA(EXP(L$5))),
    IF($E585=0,1, IF(L$7&gt;0,1,0) + IF(L$7&gt;0,-1,1) * IFERROR(_xlfn.GAMMA.DIST((L$7^-2)*EXP(L$7*((LN($E585)-(L$5))/EXP(L$6))),L$7^-2,1,TRUE),0)),
    EXP(-(EXP(L$5)/L$6)*(EXP(L$6*$E585)-1)),
    1/(1+($E585/EXP(L$5))^EXP(L$6)),
    1-IFERROR(_xlfn.LOGNORM.DIST($E585,L$5,EXP(L$6),TRUE),0),
    EXP(-(($E585/EXP(L$5))^EXP(L$6)))
)</f>
        <v>7.7554695708125232E-3</v>
      </c>
      <c r="M585" s="20">
        <f t="shared" si="175"/>
        <v>3.1483065396211707E-3</v>
      </c>
      <c r="N585" s="21">
        <f t="shared" si="183"/>
        <v>0</v>
      </c>
      <c r="O585" s="21">
        <f t="shared" si="184"/>
        <v>0</v>
      </c>
      <c r="P585" s="21">
        <f t="shared" si="185"/>
        <v>0</v>
      </c>
      <c r="R585" s="22" t="e">
        <f>$I585*IF($E585&gt;_xlfn.AGGREGATE(4,6,'KM Data'!$E$6:$E$205),NA(),INDEX('KM Data'!$F$6:$F$205,MATCH($E585,'KM Data'!$E$6:$E$205,1)))</f>
        <v>#N/A</v>
      </c>
      <c r="S585" s="21">
        <f t="shared" ref="S585:S648" si="194">$I585*CHOOSE(MATCH(R$4,label_curves,0),
    EXP(-$E585*EXP(S$5)),
    1-((EXP(GAMMALN(EXP(S$5)))*_xlfn.GAMMA.DIST(EXP(S$6)*$E585,EXP(S$5),1,TRUE))/_xlfn.GAMMA(EXP(S$5))),
    IF($E585=0,1, IF(S$7&gt;0,1,0) + IF(S$7&gt;0,-1,1) * IFERROR(_xlfn.GAMMA.DIST((S$7^-2)*EXP(S$7*((LN($E585)-(S$5))/EXP(S$6))),S$7^-2,1,TRUE),0)),
    EXP(-(EXP(S$5)/S$6)*(EXP(S$6*$E585)-1)),
    1/(1+($E585/EXP(S$5))^EXP(S$6)),
    1-IFERROR(_xlfn.LOGNORM.DIST($E585,S$5,EXP(S$6),TRUE),0),
    EXP(-(($E585/EXP(S$5))^EXP(S$6)))
)</f>
        <v>5.3557549189329534E-2</v>
      </c>
      <c r="T585" s="8">
        <f t="shared" si="176"/>
        <v>2.0489397951863886E-3</v>
      </c>
      <c r="U585" s="21">
        <f t="shared" si="186"/>
        <v>0</v>
      </c>
      <c r="V585" s="21">
        <f t="shared" si="187"/>
        <v>0</v>
      </c>
      <c r="W585" s="21">
        <f t="shared" si="188"/>
        <v>0</v>
      </c>
      <c r="Y585" s="23">
        <f t="shared" si="177"/>
        <v>0</v>
      </c>
      <c r="Z585" s="6">
        <f t="shared" si="178"/>
        <v>0</v>
      </c>
      <c r="AA585" s="6">
        <f t="shared" si="179"/>
        <v>1</v>
      </c>
      <c r="AB585" s="6">
        <f t="shared" si="180"/>
        <v>1</v>
      </c>
    </row>
    <row r="586" spans="1:28" x14ac:dyDescent="0.35">
      <c r="A586">
        <v>577</v>
      </c>
      <c r="B586" s="17">
        <f t="shared" si="181"/>
        <v>17532</v>
      </c>
      <c r="C586" s="17">
        <f t="shared" ref="C586:C649" si="195">B586+Days_per_Month</f>
        <v>17562.4375</v>
      </c>
      <c r="D586" s="17">
        <f t="shared" si="182"/>
        <v>17547.21875</v>
      </c>
      <c r="E586" s="17">
        <f t="shared" si="189"/>
        <v>576.5</v>
      </c>
      <c r="F586" s="17">
        <f t="shared" si="190"/>
        <v>108.04166666666666</v>
      </c>
      <c r="G586" s="21">
        <f>INDEX('Life Tables'!$F$8:$F$123,MATCH(Engine!F586,'Life Tables'!$B$8:$B$123,1))</f>
        <v>1</v>
      </c>
      <c r="H586" s="8">
        <f t="shared" si="191"/>
        <v>0.19180645112903102</v>
      </c>
      <c r="I586">
        <f t="shared" si="192"/>
        <v>1</v>
      </c>
      <c r="K586" s="22" t="e">
        <f>$I586*IF($E586&gt;_xlfn.AGGREGATE(4,6,'KM Data'!$B$6:$B$310),NA(),INDEX('KM Data'!$C$6:$C$310,MATCH($E586,'KM Data'!$B$6:$B$310,1)))</f>
        <v>#N/A</v>
      </c>
      <c r="L586" s="21">
        <f t="shared" si="193"/>
        <v>7.7310529752449009E-3</v>
      </c>
      <c r="M586" s="20">
        <f t="shared" ref="M586:M609" si="196">1-(L587/L586)</f>
        <v>3.1440445813608608E-3</v>
      </c>
      <c r="N586" s="21">
        <f t="shared" si="183"/>
        <v>0</v>
      </c>
      <c r="O586" s="21">
        <f t="shared" si="184"/>
        <v>0</v>
      </c>
      <c r="P586" s="21">
        <f t="shared" si="185"/>
        <v>0</v>
      </c>
      <c r="R586" s="22" t="e">
        <f>$I586*IF($E586&gt;_xlfn.AGGREGATE(4,6,'KM Data'!$E$6:$E$205),NA(),INDEX('KM Data'!$F$6:$F$205,MATCH($E586,'KM Data'!$E$6:$E$205,1)))</f>
        <v>#N/A</v>
      </c>
      <c r="S586" s="21">
        <f t="shared" si="194"/>
        <v>5.3447812995462862E-2</v>
      </c>
      <c r="T586" s="8">
        <f t="shared" ref="T586:T609" si="197">1-(S587/S586)</f>
        <v>2.0462620303135504E-3</v>
      </c>
      <c r="U586" s="21">
        <f t="shared" si="186"/>
        <v>0</v>
      </c>
      <c r="V586" s="21">
        <f t="shared" si="187"/>
        <v>0</v>
      </c>
      <c r="W586" s="21">
        <f t="shared" si="188"/>
        <v>0</v>
      </c>
      <c r="Y586" s="23">
        <f t="shared" ref="Y586:Y609" si="198">N586</f>
        <v>0</v>
      </c>
      <c r="Z586" s="6">
        <f t="shared" ref="Z586:Z609" si="199">U586-N586</f>
        <v>0</v>
      </c>
      <c r="AA586" s="6">
        <f t="shared" ref="AA586:AA609" si="200">1-U586</f>
        <v>1</v>
      </c>
      <c r="AB586" s="6">
        <f t="shared" ref="AB586:AB609" si="201">SUM(Y586:AA586)</f>
        <v>1</v>
      </c>
    </row>
    <row r="587" spans="1:28" x14ac:dyDescent="0.35">
      <c r="A587">
        <v>578</v>
      </c>
      <c r="B587" s="17">
        <f t="shared" ref="B587:B609" si="202">C586</f>
        <v>17562.4375</v>
      </c>
      <c r="C587" s="17">
        <f t="shared" si="195"/>
        <v>17592.875</v>
      </c>
      <c r="D587" s="17">
        <f t="shared" ref="D587:D609" si="203">AVERAGE(B587:C587)</f>
        <v>17577.65625</v>
      </c>
      <c r="E587" s="17">
        <f t="shared" si="189"/>
        <v>577.5</v>
      </c>
      <c r="F587" s="17">
        <f t="shared" si="190"/>
        <v>108.125</v>
      </c>
      <c r="G587" s="21">
        <f>INDEX('Life Tables'!$F$8:$F$123,MATCH(Engine!F587,'Life Tables'!$B$8:$B$123,1))</f>
        <v>1</v>
      </c>
      <c r="H587" s="8">
        <f t="shared" si="191"/>
        <v>0.19180645112903102</v>
      </c>
      <c r="I587">
        <f t="shared" si="192"/>
        <v>1</v>
      </c>
      <c r="K587" s="22" t="e">
        <f>$I587*IF($E587&gt;_xlfn.AGGREGATE(4,6,'KM Data'!$B$6:$B$310),NA(),INDEX('KM Data'!$C$6:$C$310,MATCH($E587,'KM Data'!$B$6:$B$310,1)))</f>
        <v>#N/A</v>
      </c>
      <c r="L587" s="21">
        <f t="shared" si="193"/>
        <v>7.7067462000298681E-3</v>
      </c>
      <c r="M587" s="20">
        <f t="shared" si="196"/>
        <v>3.1397953696175041E-3</v>
      </c>
      <c r="N587" s="21">
        <f t="shared" ref="N587:N609" si="204">$I587*MIN(N586,U587,P587)</f>
        <v>0</v>
      </c>
      <c r="O587" s="21">
        <f t="shared" ref="O587:O609" si="205">I587*O586*(1-G586)</f>
        <v>0</v>
      </c>
      <c r="P587" s="21">
        <f t="shared" ref="P587:P609" si="206">$I587*P586*(1-MAX($G586,M586))</f>
        <v>0</v>
      </c>
      <c r="R587" s="22" t="e">
        <f>$I587*IF($E587&gt;_xlfn.AGGREGATE(4,6,'KM Data'!$E$6:$E$205),NA(),INDEX('KM Data'!$F$6:$F$205,MATCH($E587,'KM Data'!$E$6:$E$205,1)))</f>
        <v>#N/A</v>
      </c>
      <c r="S587" s="21">
        <f t="shared" si="194"/>
        <v>5.3338444765126947E-2</v>
      </c>
      <c r="T587" s="8">
        <f t="shared" si="197"/>
        <v>2.0435920988296497E-3</v>
      </c>
      <c r="U587" s="21">
        <f t="shared" ref="U587:U609" si="207">$I587*MIN(U586,W587)</f>
        <v>0</v>
      </c>
      <c r="V587" s="21">
        <f t="shared" ref="V587:V609" si="208">I587*V586*(1-G586)</f>
        <v>0</v>
      </c>
      <c r="W587" s="21">
        <f t="shared" ref="W587:W609" si="209">$I587*W586*(1-MAX($G586,T586))</f>
        <v>0</v>
      </c>
      <c r="Y587" s="23">
        <f t="shared" si="198"/>
        <v>0</v>
      </c>
      <c r="Z587" s="6">
        <f t="shared" si="199"/>
        <v>0</v>
      </c>
      <c r="AA587" s="6">
        <f t="shared" si="200"/>
        <v>1</v>
      </c>
      <c r="AB587" s="6">
        <f t="shared" si="201"/>
        <v>1</v>
      </c>
    </row>
    <row r="588" spans="1:28" x14ac:dyDescent="0.35">
      <c r="A588">
        <v>579</v>
      </c>
      <c r="B588" s="17">
        <f t="shared" si="202"/>
        <v>17592.875</v>
      </c>
      <c r="C588" s="17">
        <f t="shared" si="195"/>
        <v>17623.3125</v>
      </c>
      <c r="D588" s="17">
        <f t="shared" si="203"/>
        <v>17608.09375</v>
      </c>
      <c r="E588" s="17">
        <f t="shared" si="189"/>
        <v>578.5</v>
      </c>
      <c r="F588" s="17">
        <f t="shared" si="190"/>
        <v>108.20833333333334</v>
      </c>
      <c r="G588" s="21">
        <f>INDEX('Life Tables'!$F$8:$F$123,MATCH(Engine!F588,'Life Tables'!$B$8:$B$123,1))</f>
        <v>1</v>
      </c>
      <c r="H588" s="8">
        <f t="shared" si="191"/>
        <v>0.19180645112903102</v>
      </c>
      <c r="I588">
        <f t="shared" si="192"/>
        <v>1</v>
      </c>
      <c r="K588" s="22" t="e">
        <f>$I588*IF($E588&gt;_xlfn.AGGREGATE(4,6,'KM Data'!$B$6:$B$310),NA(),INDEX('KM Data'!$C$6:$C$310,MATCH($E588,'KM Data'!$B$6:$B$310,1)))</f>
        <v>#N/A</v>
      </c>
      <c r="L588" s="21">
        <f t="shared" si="193"/>
        <v>7.6825485939961968E-3</v>
      </c>
      <c r="M588" s="20">
        <f t="shared" si="196"/>
        <v>3.1355588450602268E-3</v>
      </c>
      <c r="N588" s="21">
        <f t="shared" si="204"/>
        <v>0</v>
      </c>
      <c r="O588" s="21">
        <f t="shared" si="205"/>
        <v>0</v>
      </c>
      <c r="P588" s="21">
        <f t="shared" si="206"/>
        <v>0</v>
      </c>
      <c r="R588" s="22" t="e">
        <f>$I588*IF($E588&gt;_xlfn.AGGREGATE(4,6,'KM Data'!$E$6:$E$205),NA(),INDEX('KM Data'!$F$6:$F$205,MATCH($E588,'KM Data'!$E$6:$E$205,1)))</f>
        <v>#N/A</v>
      </c>
      <c r="S588" s="21">
        <f t="shared" si="194"/>
        <v>5.3229442740841071E-2</v>
      </c>
      <c r="T588" s="8">
        <f t="shared" si="197"/>
        <v>2.0409299649080115E-3</v>
      </c>
      <c r="U588" s="21">
        <f t="shared" si="207"/>
        <v>0</v>
      </c>
      <c r="V588" s="21">
        <f t="shared" si="208"/>
        <v>0</v>
      </c>
      <c r="W588" s="21">
        <f t="shared" si="209"/>
        <v>0</v>
      </c>
      <c r="Y588" s="23">
        <f t="shared" si="198"/>
        <v>0</v>
      </c>
      <c r="Z588" s="6">
        <f t="shared" si="199"/>
        <v>0</v>
      </c>
      <c r="AA588" s="6">
        <f t="shared" si="200"/>
        <v>1</v>
      </c>
      <c r="AB588" s="6">
        <f t="shared" si="201"/>
        <v>1</v>
      </c>
    </row>
    <row r="589" spans="1:28" x14ac:dyDescent="0.35">
      <c r="A589">
        <v>580</v>
      </c>
      <c r="B589" s="17">
        <f t="shared" si="202"/>
        <v>17623.3125</v>
      </c>
      <c r="C589" s="17">
        <f t="shared" si="195"/>
        <v>17653.75</v>
      </c>
      <c r="D589" s="17">
        <f t="shared" si="203"/>
        <v>17638.53125</v>
      </c>
      <c r="E589" s="17">
        <f t="shared" si="189"/>
        <v>579.5</v>
      </c>
      <c r="F589" s="17">
        <f t="shared" si="190"/>
        <v>108.29166666666666</v>
      </c>
      <c r="G589" s="21">
        <f>INDEX('Life Tables'!$F$8:$F$123,MATCH(Engine!F589,'Life Tables'!$B$8:$B$123,1))</f>
        <v>1</v>
      </c>
      <c r="H589" s="8">
        <f t="shared" si="191"/>
        <v>0.19180645112903102</v>
      </c>
      <c r="I589">
        <f t="shared" si="192"/>
        <v>1</v>
      </c>
      <c r="K589" s="22" t="e">
        <f>$I589*IF($E589&gt;_xlfn.AGGREGATE(4,6,'KM Data'!$B$6:$B$310),NA(),INDEX('KM Data'!$C$6:$C$310,MATCH($E589,'KM Data'!$B$6:$B$310,1)))</f>
        <v>#N/A</v>
      </c>
      <c r="L589" s="21">
        <f t="shared" si="193"/>
        <v>7.6584595107996867E-3</v>
      </c>
      <c r="M589" s="20">
        <f t="shared" si="196"/>
        <v>3.1313349488021336E-3</v>
      </c>
      <c r="N589" s="21">
        <f t="shared" si="204"/>
        <v>0</v>
      </c>
      <c r="O589" s="21">
        <f t="shared" si="205"/>
        <v>0</v>
      </c>
      <c r="P589" s="21">
        <f t="shared" si="206"/>
        <v>0</v>
      </c>
      <c r="R589" s="22" t="e">
        <f>$I589*IF($E589&gt;_xlfn.AGGREGATE(4,6,'KM Data'!$E$6:$E$205),NA(),INDEX('KM Data'!$F$6:$F$205,MATCH($E589,'KM Data'!$E$6:$E$205,1)))</f>
        <v>#N/A</v>
      </c>
      <c r="S589" s="21">
        <f t="shared" si="194"/>
        <v>5.3120805176135932E-2</v>
      </c>
      <c r="T589" s="8">
        <f t="shared" si="197"/>
        <v>2.0382755929430063E-3</v>
      </c>
      <c r="U589" s="21">
        <f t="shared" si="207"/>
        <v>0</v>
      </c>
      <c r="V589" s="21">
        <f t="shared" si="208"/>
        <v>0</v>
      </c>
      <c r="W589" s="21">
        <f t="shared" si="209"/>
        <v>0</v>
      </c>
      <c r="Y589" s="23">
        <f t="shared" si="198"/>
        <v>0</v>
      </c>
      <c r="Z589" s="6">
        <f t="shared" si="199"/>
        <v>0</v>
      </c>
      <c r="AA589" s="6">
        <f t="shared" si="200"/>
        <v>1</v>
      </c>
      <c r="AB589" s="6">
        <f t="shared" si="201"/>
        <v>1</v>
      </c>
    </row>
    <row r="590" spans="1:28" x14ac:dyDescent="0.35">
      <c r="A590">
        <v>581</v>
      </c>
      <c r="B590" s="17">
        <f t="shared" si="202"/>
        <v>17653.75</v>
      </c>
      <c r="C590" s="17">
        <f t="shared" si="195"/>
        <v>17684.1875</v>
      </c>
      <c r="D590" s="17">
        <f t="shared" si="203"/>
        <v>17668.96875</v>
      </c>
      <c r="E590" s="17">
        <f t="shared" si="189"/>
        <v>580.5</v>
      </c>
      <c r="F590" s="17">
        <f t="shared" si="190"/>
        <v>108.375</v>
      </c>
      <c r="G590" s="21">
        <f>INDEX('Life Tables'!$F$8:$F$123,MATCH(Engine!F590,'Life Tables'!$B$8:$B$123,1))</f>
        <v>1</v>
      </c>
      <c r="H590" s="8">
        <f t="shared" si="191"/>
        <v>0.19180645112903102</v>
      </c>
      <c r="I590">
        <f t="shared" si="192"/>
        <v>1</v>
      </c>
      <c r="K590" s="22" t="e">
        <f>$I590*IF($E590&gt;_xlfn.AGGREGATE(4,6,'KM Data'!$B$6:$B$310),NA(),INDEX('KM Data'!$C$6:$C$310,MATCH($E590,'KM Data'!$B$6:$B$310,1)))</f>
        <v>#N/A</v>
      </c>
      <c r="L590" s="21">
        <f t="shared" si="193"/>
        <v>7.6344783088795332E-3</v>
      </c>
      <c r="M590" s="20">
        <f t="shared" si="196"/>
        <v>3.1271236222976118E-3</v>
      </c>
      <c r="N590" s="21">
        <f t="shared" si="204"/>
        <v>0</v>
      </c>
      <c r="O590" s="21">
        <f t="shared" si="205"/>
        <v>0</v>
      </c>
      <c r="P590" s="21">
        <f t="shared" si="206"/>
        <v>0</v>
      </c>
      <c r="R590" s="22" t="e">
        <f>$I590*IF($E590&gt;_xlfn.AGGREGATE(4,6,'KM Data'!$E$6:$E$205),NA(),INDEX('KM Data'!$F$6:$F$205,MATCH($E590,'KM Data'!$E$6:$E$205,1)))</f>
        <v>#N/A</v>
      </c>
      <c r="S590" s="21">
        <f t="shared" si="194"/>
        <v>5.3012530335467933E-2</v>
      </c>
      <c r="T590" s="8">
        <f t="shared" si="197"/>
        <v>2.0356289475361722E-3</v>
      </c>
      <c r="U590" s="21">
        <f t="shared" si="207"/>
        <v>0</v>
      </c>
      <c r="V590" s="21">
        <f t="shared" si="208"/>
        <v>0</v>
      </c>
      <c r="W590" s="21">
        <f t="shared" si="209"/>
        <v>0</v>
      </c>
      <c r="Y590" s="23">
        <f t="shared" si="198"/>
        <v>0</v>
      </c>
      <c r="Z590" s="6">
        <f t="shared" si="199"/>
        <v>0</v>
      </c>
      <c r="AA590" s="6">
        <f t="shared" si="200"/>
        <v>1</v>
      </c>
      <c r="AB590" s="6">
        <f t="shared" si="201"/>
        <v>1</v>
      </c>
    </row>
    <row r="591" spans="1:28" x14ac:dyDescent="0.35">
      <c r="A591">
        <v>582</v>
      </c>
      <c r="B591" s="17">
        <f t="shared" si="202"/>
        <v>17684.1875</v>
      </c>
      <c r="C591" s="17">
        <f t="shared" si="195"/>
        <v>17714.625</v>
      </c>
      <c r="D591" s="17">
        <f t="shared" si="203"/>
        <v>17699.40625</v>
      </c>
      <c r="E591" s="17">
        <f t="shared" si="189"/>
        <v>581.5</v>
      </c>
      <c r="F591" s="17">
        <f t="shared" si="190"/>
        <v>108.45833333333334</v>
      </c>
      <c r="G591" s="21">
        <f>INDEX('Life Tables'!$F$8:$F$123,MATCH(Engine!F591,'Life Tables'!$B$8:$B$123,1))</f>
        <v>1</v>
      </c>
      <c r="H591" s="8">
        <f t="shared" si="191"/>
        <v>0.19180645112903102</v>
      </c>
      <c r="I591">
        <f t="shared" si="192"/>
        <v>1</v>
      </c>
      <c r="K591" s="22" t="e">
        <f>$I591*IF($E591&gt;_xlfn.AGGREGATE(4,6,'KM Data'!$B$6:$B$310),NA(),INDEX('KM Data'!$C$6:$C$310,MATCH($E591,'KM Data'!$B$6:$B$310,1)))</f>
        <v>#N/A</v>
      </c>
      <c r="L591" s="21">
        <f t="shared" si="193"/>
        <v>7.6106043514159172E-3</v>
      </c>
      <c r="M591" s="20">
        <f t="shared" si="196"/>
        <v>3.1229248073098015E-3</v>
      </c>
      <c r="N591" s="21">
        <f t="shared" si="204"/>
        <v>0</v>
      </c>
      <c r="O591" s="21">
        <f t="shared" si="205"/>
        <v>0</v>
      </c>
      <c r="P591" s="21">
        <f t="shared" si="206"/>
        <v>0</v>
      </c>
      <c r="R591" s="22" t="e">
        <f>$I591*IF($E591&gt;_xlfn.AGGREGATE(4,6,'KM Data'!$E$6:$E$205),NA(),INDEX('KM Data'!$F$6:$F$205,MATCH($E591,'KM Data'!$E$6:$E$205,1)))</f>
        <v>#N/A</v>
      </c>
      <c r="S591" s="21">
        <f t="shared" si="194"/>
        <v>5.2904616494134915E-2</v>
      </c>
      <c r="T591" s="8">
        <f t="shared" si="197"/>
        <v>2.0329899935324081E-3</v>
      </c>
      <c r="U591" s="21">
        <f t="shared" si="207"/>
        <v>0</v>
      </c>
      <c r="V591" s="21">
        <f t="shared" si="208"/>
        <v>0</v>
      </c>
      <c r="W591" s="21">
        <f t="shared" si="209"/>
        <v>0</v>
      </c>
      <c r="Y591" s="23">
        <f t="shared" si="198"/>
        <v>0</v>
      </c>
      <c r="Z591" s="6">
        <f t="shared" si="199"/>
        <v>0</v>
      </c>
      <c r="AA591" s="6">
        <f t="shared" si="200"/>
        <v>1</v>
      </c>
      <c r="AB591" s="6">
        <f t="shared" si="201"/>
        <v>1</v>
      </c>
    </row>
    <row r="592" spans="1:28" x14ac:dyDescent="0.35">
      <c r="A592">
        <v>583</v>
      </c>
      <c r="B592" s="17">
        <f t="shared" si="202"/>
        <v>17714.625</v>
      </c>
      <c r="C592" s="17">
        <f t="shared" si="195"/>
        <v>17745.0625</v>
      </c>
      <c r="D592" s="17">
        <f t="shared" si="203"/>
        <v>17729.84375</v>
      </c>
      <c r="E592" s="17">
        <f t="shared" si="189"/>
        <v>582.5</v>
      </c>
      <c r="F592" s="17">
        <f t="shared" si="190"/>
        <v>108.54166666666666</v>
      </c>
      <c r="G592" s="21">
        <f>INDEX('Life Tables'!$F$8:$F$123,MATCH(Engine!F592,'Life Tables'!$B$8:$B$123,1))</f>
        <v>1</v>
      </c>
      <c r="H592" s="8">
        <f t="shared" si="191"/>
        <v>0.19180645112903102</v>
      </c>
      <c r="I592">
        <f t="shared" si="192"/>
        <v>1</v>
      </c>
      <c r="K592" s="22" t="e">
        <f>$I592*IF($E592&gt;_xlfn.AGGREGATE(4,6,'KM Data'!$B$6:$B$310),NA(),INDEX('KM Data'!$C$6:$C$310,MATCH($E592,'KM Data'!$B$6:$B$310,1)))</f>
        <v>#N/A</v>
      </c>
      <c r="L592" s="21">
        <f t="shared" si="193"/>
        <v>7.5868370062882606E-3</v>
      </c>
      <c r="M592" s="20">
        <f t="shared" si="196"/>
        <v>3.1187384460816814E-3</v>
      </c>
      <c r="N592" s="21">
        <f t="shared" si="204"/>
        <v>0</v>
      </c>
      <c r="O592" s="21">
        <f t="shared" si="205"/>
        <v>0</v>
      </c>
      <c r="P592" s="21">
        <f t="shared" si="206"/>
        <v>0</v>
      </c>
      <c r="R592" s="22" t="e">
        <f>$I592*IF($E592&gt;_xlfn.AGGREGATE(4,6,'KM Data'!$E$6:$E$205),NA(),INDEX('KM Data'!$F$6:$F$205,MATCH($E592,'KM Data'!$E$6:$E$205,1)))</f>
        <v>#N/A</v>
      </c>
      <c r="S592" s="21">
        <f t="shared" si="194"/>
        <v>5.279706193819067E-2</v>
      </c>
      <c r="T592" s="8">
        <f t="shared" si="197"/>
        <v>2.0303586959806719E-3</v>
      </c>
      <c r="U592" s="21">
        <f t="shared" si="207"/>
        <v>0</v>
      </c>
      <c r="V592" s="21">
        <f t="shared" si="208"/>
        <v>0</v>
      </c>
      <c r="W592" s="21">
        <f t="shared" si="209"/>
        <v>0</v>
      </c>
      <c r="Y592" s="23">
        <f t="shared" si="198"/>
        <v>0</v>
      </c>
      <c r="Z592" s="6">
        <f t="shared" si="199"/>
        <v>0</v>
      </c>
      <c r="AA592" s="6">
        <f t="shared" si="200"/>
        <v>1</v>
      </c>
      <c r="AB592" s="6">
        <f t="shared" si="201"/>
        <v>1</v>
      </c>
    </row>
    <row r="593" spans="1:28" x14ac:dyDescent="0.35">
      <c r="A593">
        <v>584</v>
      </c>
      <c r="B593" s="17">
        <f t="shared" si="202"/>
        <v>17745.0625</v>
      </c>
      <c r="C593" s="17">
        <f t="shared" si="195"/>
        <v>17775.5</v>
      </c>
      <c r="D593" s="17">
        <f t="shared" si="203"/>
        <v>17760.28125</v>
      </c>
      <c r="E593" s="17">
        <f t="shared" si="189"/>
        <v>583.5</v>
      </c>
      <c r="F593" s="17">
        <f t="shared" si="190"/>
        <v>108.625</v>
      </c>
      <c r="G593" s="21">
        <f>INDEX('Life Tables'!$F$8:$F$123,MATCH(Engine!F593,'Life Tables'!$B$8:$B$123,1))</f>
        <v>1</v>
      </c>
      <c r="H593" s="8">
        <f t="shared" si="191"/>
        <v>0.19180645112903102</v>
      </c>
      <c r="I593">
        <f t="shared" si="192"/>
        <v>1</v>
      </c>
      <c r="K593" s="22" t="e">
        <f>$I593*IF($E593&gt;_xlfn.AGGREGATE(4,6,'KM Data'!$B$6:$B$310),NA(),INDEX('KM Data'!$C$6:$C$310,MATCH($E593,'KM Data'!$B$6:$B$310,1)))</f>
        <v>#N/A</v>
      </c>
      <c r="L593" s="21">
        <f t="shared" si="193"/>
        <v>7.5631756460325938E-3</v>
      </c>
      <c r="M593" s="20">
        <f t="shared" si="196"/>
        <v>3.1145644811289008E-3</v>
      </c>
      <c r="N593" s="21">
        <f t="shared" si="204"/>
        <v>0</v>
      </c>
      <c r="O593" s="21">
        <f t="shared" si="205"/>
        <v>0</v>
      </c>
      <c r="P593" s="21">
        <f t="shared" si="206"/>
        <v>0</v>
      </c>
      <c r="R593" s="22" t="e">
        <f>$I593*IF($E593&gt;_xlfn.AGGREGATE(4,6,'KM Data'!$E$6:$E$205),NA(),INDEX('KM Data'!$F$6:$F$205,MATCH($E593,'KM Data'!$E$6:$E$205,1)))</f>
        <v>#N/A</v>
      </c>
      <c r="S593" s="21">
        <f t="shared" si="194"/>
        <v>5.2689864964362232E-2</v>
      </c>
      <c r="T593" s="8">
        <f t="shared" si="197"/>
        <v>2.0277350201430844E-3</v>
      </c>
      <c r="U593" s="21">
        <f t="shared" si="207"/>
        <v>0</v>
      </c>
      <c r="V593" s="21">
        <f t="shared" si="208"/>
        <v>0</v>
      </c>
      <c r="W593" s="21">
        <f t="shared" si="209"/>
        <v>0</v>
      </c>
      <c r="Y593" s="23">
        <f t="shared" si="198"/>
        <v>0</v>
      </c>
      <c r="Z593" s="6">
        <f t="shared" si="199"/>
        <v>0</v>
      </c>
      <c r="AA593" s="6">
        <f t="shared" si="200"/>
        <v>1</v>
      </c>
      <c r="AB593" s="6">
        <f t="shared" si="201"/>
        <v>1</v>
      </c>
    </row>
    <row r="594" spans="1:28" x14ac:dyDescent="0.35">
      <c r="A594">
        <v>585</v>
      </c>
      <c r="B594" s="17">
        <f t="shared" si="202"/>
        <v>17775.5</v>
      </c>
      <c r="C594" s="17">
        <f t="shared" si="195"/>
        <v>17805.9375</v>
      </c>
      <c r="D594" s="17">
        <f t="shared" si="203"/>
        <v>17790.71875</v>
      </c>
      <c r="E594" s="17">
        <f t="shared" si="189"/>
        <v>584.5</v>
      </c>
      <c r="F594" s="17">
        <f t="shared" si="190"/>
        <v>108.70833333333334</v>
      </c>
      <c r="G594" s="21">
        <f>INDEX('Life Tables'!$F$8:$F$123,MATCH(Engine!F594,'Life Tables'!$B$8:$B$123,1))</f>
        <v>1</v>
      </c>
      <c r="H594" s="8">
        <f t="shared" si="191"/>
        <v>0.19180645112903102</v>
      </c>
      <c r="I594">
        <f t="shared" si="192"/>
        <v>1</v>
      </c>
      <c r="K594" s="22" t="e">
        <f>$I594*IF($E594&gt;_xlfn.AGGREGATE(4,6,'KM Data'!$B$6:$B$310),NA(),INDEX('KM Data'!$C$6:$C$310,MATCH($E594,'KM Data'!$B$6:$B$310,1)))</f>
        <v>#N/A</v>
      </c>
      <c r="L594" s="21">
        <f t="shared" si="193"/>
        <v>7.5396196478009214E-3</v>
      </c>
      <c r="M594" s="20">
        <f t="shared" si="196"/>
        <v>3.1104028553653462E-3</v>
      </c>
      <c r="N594" s="21">
        <f t="shared" si="204"/>
        <v>0</v>
      </c>
      <c r="O594" s="21">
        <f t="shared" si="205"/>
        <v>0</v>
      </c>
      <c r="P594" s="21">
        <f t="shared" si="206"/>
        <v>0</v>
      </c>
      <c r="R594" s="22" t="e">
        <f>$I594*IF($E594&gt;_xlfn.AGGREGATE(4,6,'KM Data'!$E$6:$E$205),NA(),INDEX('KM Data'!$F$6:$F$205,MATCH($E594,'KM Data'!$E$6:$E$205,1)))</f>
        <v>#N/A</v>
      </c>
      <c r="S594" s="21">
        <f t="shared" si="194"/>
        <v>5.2583023879967383E-2</v>
      </c>
      <c r="T594" s="8">
        <f t="shared" si="197"/>
        <v>2.025118931509251E-3</v>
      </c>
      <c r="U594" s="21">
        <f t="shared" si="207"/>
        <v>0</v>
      </c>
      <c r="V594" s="21">
        <f t="shared" si="208"/>
        <v>0</v>
      </c>
      <c r="W594" s="21">
        <f t="shared" si="209"/>
        <v>0</v>
      </c>
      <c r="Y594" s="23">
        <f t="shared" si="198"/>
        <v>0</v>
      </c>
      <c r="Z594" s="6">
        <f t="shared" si="199"/>
        <v>0</v>
      </c>
      <c r="AA594" s="6">
        <f t="shared" si="200"/>
        <v>1</v>
      </c>
      <c r="AB594" s="6">
        <f t="shared" si="201"/>
        <v>1</v>
      </c>
    </row>
    <row r="595" spans="1:28" x14ac:dyDescent="0.35">
      <c r="A595">
        <v>586</v>
      </c>
      <c r="B595" s="17">
        <f t="shared" si="202"/>
        <v>17805.9375</v>
      </c>
      <c r="C595" s="17">
        <f t="shared" si="195"/>
        <v>17836.375</v>
      </c>
      <c r="D595" s="17">
        <f t="shared" si="203"/>
        <v>17821.15625</v>
      </c>
      <c r="E595" s="17">
        <f t="shared" si="189"/>
        <v>585.5</v>
      </c>
      <c r="F595" s="17">
        <f t="shared" si="190"/>
        <v>108.79166666666666</v>
      </c>
      <c r="G595" s="21">
        <f>INDEX('Life Tables'!$F$8:$F$123,MATCH(Engine!F595,'Life Tables'!$B$8:$B$123,1))</f>
        <v>1</v>
      </c>
      <c r="H595" s="8">
        <f t="shared" si="191"/>
        <v>0.19180645112903102</v>
      </c>
      <c r="I595">
        <f t="shared" si="192"/>
        <v>1</v>
      </c>
      <c r="K595" s="22" t="e">
        <f>$I595*IF($E595&gt;_xlfn.AGGREGATE(4,6,'KM Data'!$B$6:$B$310),NA(),INDEX('KM Data'!$C$6:$C$310,MATCH($E595,'KM Data'!$B$6:$B$310,1)))</f>
        <v>#N/A</v>
      </c>
      <c r="L595" s="21">
        <f t="shared" si="193"/>
        <v>7.5161683933200329E-3</v>
      </c>
      <c r="M595" s="20">
        <f t="shared" si="196"/>
        <v>3.1062535120542911E-3</v>
      </c>
      <c r="N595" s="21">
        <f t="shared" si="204"/>
        <v>0</v>
      </c>
      <c r="O595" s="21">
        <f t="shared" si="205"/>
        <v>0</v>
      </c>
      <c r="P595" s="21">
        <f t="shared" si="206"/>
        <v>0</v>
      </c>
      <c r="R595" s="22" t="e">
        <f>$I595*IF($E595&gt;_xlfn.AGGREGATE(4,6,'KM Data'!$E$6:$E$205),NA(),INDEX('KM Data'!$F$6:$F$205,MATCH($E595,'KM Data'!$E$6:$E$205,1)))</f>
        <v>#N/A</v>
      </c>
      <c r="S595" s="21">
        <f t="shared" si="194"/>
        <v>5.2476537002832058E-2</v>
      </c>
      <c r="T595" s="8">
        <f t="shared" si="197"/>
        <v>2.0225103957695056E-3</v>
      </c>
      <c r="U595" s="21">
        <f t="shared" si="207"/>
        <v>0</v>
      </c>
      <c r="V595" s="21">
        <f t="shared" si="208"/>
        <v>0</v>
      </c>
      <c r="W595" s="21">
        <f t="shared" si="209"/>
        <v>0</v>
      </c>
      <c r="Y595" s="23">
        <f t="shared" si="198"/>
        <v>0</v>
      </c>
      <c r="Z595" s="6">
        <f t="shared" si="199"/>
        <v>0</v>
      </c>
      <c r="AA595" s="6">
        <f t="shared" si="200"/>
        <v>1</v>
      </c>
      <c r="AB595" s="6">
        <f t="shared" si="201"/>
        <v>1</v>
      </c>
    </row>
    <row r="596" spans="1:28" x14ac:dyDescent="0.35">
      <c r="A596">
        <v>587</v>
      </c>
      <c r="B596" s="17">
        <f t="shared" si="202"/>
        <v>17836.375</v>
      </c>
      <c r="C596" s="17">
        <f t="shared" si="195"/>
        <v>17866.8125</v>
      </c>
      <c r="D596" s="17">
        <f t="shared" si="203"/>
        <v>17851.59375</v>
      </c>
      <c r="E596" s="17">
        <f t="shared" si="189"/>
        <v>586.5</v>
      </c>
      <c r="F596" s="17">
        <f t="shared" si="190"/>
        <v>108.875</v>
      </c>
      <c r="G596" s="21">
        <f>INDEX('Life Tables'!$F$8:$F$123,MATCH(Engine!F596,'Life Tables'!$B$8:$B$123,1))</f>
        <v>1</v>
      </c>
      <c r="H596" s="8">
        <f t="shared" si="191"/>
        <v>0.19180645112903102</v>
      </c>
      <c r="I596">
        <f t="shared" si="192"/>
        <v>1</v>
      </c>
      <c r="K596" s="22" t="e">
        <f>$I596*IF($E596&gt;_xlfn.AGGREGATE(4,6,'KM Data'!$B$6:$B$310),NA(),INDEX('KM Data'!$C$6:$C$310,MATCH($E596,'KM Data'!$B$6:$B$310,1)))</f>
        <v>#N/A</v>
      </c>
      <c r="L596" s="21">
        <f t="shared" si="193"/>
        <v>7.4928212688510909E-3</v>
      </c>
      <c r="M596" s="20">
        <f t="shared" si="196"/>
        <v>3.1021163948173891E-3</v>
      </c>
      <c r="N596" s="21">
        <f t="shared" si="204"/>
        <v>0</v>
      </c>
      <c r="O596" s="21">
        <f t="shared" si="205"/>
        <v>0</v>
      </c>
      <c r="P596" s="21">
        <f t="shared" si="206"/>
        <v>0</v>
      </c>
      <c r="R596" s="22" t="e">
        <f>$I596*IF($E596&gt;_xlfn.AGGREGATE(4,6,'KM Data'!$E$6:$E$205),NA(),INDEX('KM Data'!$F$6:$F$205,MATCH($E596,'KM Data'!$E$6:$E$205,1)))</f>
        <v>#N/A</v>
      </c>
      <c r="S596" s="21">
        <f t="shared" si="194"/>
        <v>5.2370402661209847E-2</v>
      </c>
      <c r="T596" s="8">
        <f t="shared" si="197"/>
        <v>2.0199093788314526E-3</v>
      </c>
      <c r="U596" s="21">
        <f t="shared" si="207"/>
        <v>0</v>
      </c>
      <c r="V596" s="21">
        <f t="shared" si="208"/>
        <v>0</v>
      </c>
      <c r="W596" s="21">
        <f t="shared" si="209"/>
        <v>0</v>
      </c>
      <c r="Y596" s="23">
        <f t="shared" si="198"/>
        <v>0</v>
      </c>
      <c r="Z596" s="6">
        <f t="shared" si="199"/>
        <v>0</v>
      </c>
      <c r="AA596" s="6">
        <f t="shared" si="200"/>
        <v>1</v>
      </c>
      <c r="AB596" s="6">
        <f t="shared" si="201"/>
        <v>1</v>
      </c>
    </row>
    <row r="597" spans="1:28" x14ac:dyDescent="0.35">
      <c r="A597">
        <v>588</v>
      </c>
      <c r="B597" s="17">
        <f t="shared" si="202"/>
        <v>17866.8125</v>
      </c>
      <c r="C597" s="17">
        <f t="shared" si="195"/>
        <v>17897.25</v>
      </c>
      <c r="D597" s="17">
        <f t="shared" si="203"/>
        <v>17882.03125</v>
      </c>
      <c r="E597" s="17">
        <f t="shared" si="189"/>
        <v>587.5</v>
      </c>
      <c r="F597" s="17">
        <f t="shared" si="190"/>
        <v>108.95833333333334</v>
      </c>
      <c r="G597" s="21">
        <f>INDEX('Life Tables'!$F$8:$F$123,MATCH(Engine!F597,'Life Tables'!$B$8:$B$123,1))</f>
        <v>1</v>
      </c>
      <c r="H597" s="8">
        <f t="shared" si="191"/>
        <v>0.18532024263674499</v>
      </c>
      <c r="I597">
        <f t="shared" si="192"/>
        <v>1</v>
      </c>
      <c r="K597" s="22" t="e">
        <f>$I597*IF($E597&gt;_xlfn.AGGREGATE(4,6,'KM Data'!$B$6:$B$310),NA(),INDEX('KM Data'!$C$6:$C$310,MATCH($E597,'KM Data'!$B$6:$B$310,1)))</f>
        <v>#N/A</v>
      </c>
      <c r="L597" s="21">
        <f t="shared" si="193"/>
        <v>7.4695776651495516E-3</v>
      </c>
      <c r="M597" s="20">
        <f t="shared" si="196"/>
        <v>3.0979914476124693E-3</v>
      </c>
      <c r="N597" s="21">
        <f t="shared" si="204"/>
        <v>0</v>
      </c>
      <c r="O597" s="21">
        <f t="shared" si="205"/>
        <v>0</v>
      </c>
      <c r="P597" s="21">
        <f t="shared" si="206"/>
        <v>0</v>
      </c>
      <c r="R597" s="22" t="e">
        <f>$I597*IF($E597&gt;_xlfn.AGGREGATE(4,6,'KM Data'!$E$6:$E$205),NA(),INDEX('KM Data'!$F$6:$F$205,MATCH($E597,'KM Data'!$E$6:$E$205,1)))</f>
        <v>#N/A</v>
      </c>
      <c r="S597" s="21">
        <f t="shared" si="194"/>
        <v>5.2264619193701289E-2</v>
      </c>
      <c r="T597" s="8">
        <f t="shared" si="197"/>
        <v>2.0173158468136387E-3</v>
      </c>
      <c r="U597" s="21">
        <f t="shared" si="207"/>
        <v>0</v>
      </c>
      <c r="V597" s="21">
        <f t="shared" si="208"/>
        <v>0</v>
      </c>
      <c r="W597" s="21">
        <f t="shared" si="209"/>
        <v>0</v>
      </c>
      <c r="Y597" s="23">
        <f t="shared" si="198"/>
        <v>0</v>
      </c>
      <c r="Z597" s="6">
        <f t="shared" si="199"/>
        <v>0</v>
      </c>
      <c r="AA597" s="6">
        <f t="shared" si="200"/>
        <v>1</v>
      </c>
      <c r="AB597" s="6">
        <f t="shared" si="201"/>
        <v>1</v>
      </c>
    </row>
    <row r="598" spans="1:28" x14ac:dyDescent="0.35">
      <c r="A598">
        <v>589</v>
      </c>
      <c r="B598" s="17">
        <f t="shared" si="202"/>
        <v>17897.25</v>
      </c>
      <c r="C598" s="17">
        <f t="shared" si="195"/>
        <v>17927.6875</v>
      </c>
      <c r="D598" s="17">
        <f t="shared" si="203"/>
        <v>17912.46875</v>
      </c>
      <c r="E598" s="17">
        <f t="shared" si="189"/>
        <v>588.5</v>
      </c>
      <c r="F598" s="17">
        <f t="shared" si="190"/>
        <v>109.04166666666666</v>
      </c>
      <c r="G598" s="21">
        <f>INDEX('Life Tables'!$F$8:$F$123,MATCH(Engine!F598,'Life Tables'!$B$8:$B$123,1))</f>
        <v>1</v>
      </c>
      <c r="H598" s="8">
        <f t="shared" si="191"/>
        <v>0.18532024263674499</v>
      </c>
      <c r="I598">
        <f t="shared" si="192"/>
        <v>1</v>
      </c>
      <c r="K598" s="22" t="e">
        <f>$I598*IF($E598&gt;_xlfn.AGGREGATE(4,6,'KM Data'!$B$6:$B$310),NA(),INDEX('KM Data'!$C$6:$C$310,MATCH($E598,'KM Data'!$B$6:$B$310,1)))</f>
        <v>#N/A</v>
      </c>
      <c r="L598" s="21">
        <f t="shared" si="193"/>
        <v>7.4464369774256411E-3</v>
      </c>
      <c r="M598" s="20">
        <f t="shared" si="196"/>
        <v>3.0938786147711728E-3</v>
      </c>
      <c r="N598" s="21">
        <f t="shared" si="204"/>
        <v>0</v>
      </c>
      <c r="O598" s="21">
        <f t="shared" si="205"/>
        <v>0</v>
      </c>
      <c r="P598" s="21">
        <f t="shared" si="206"/>
        <v>0</v>
      </c>
      <c r="R598" s="22" t="e">
        <f>$I598*IF($E598&gt;_xlfn.AGGREGATE(4,6,'KM Data'!$E$6:$E$205),NA(),INDEX('KM Data'!$F$6:$F$205,MATCH($E598,'KM Data'!$E$6:$E$205,1)))</f>
        <v>#N/A</v>
      </c>
      <c r="S598" s="21">
        <f t="shared" si="194"/>
        <v>5.2159184949174153E-2</v>
      </c>
      <c r="T598" s="8">
        <f t="shared" si="197"/>
        <v>2.0147297660367824E-3</v>
      </c>
      <c r="U598" s="21">
        <f t="shared" si="207"/>
        <v>0</v>
      </c>
      <c r="V598" s="21">
        <f t="shared" si="208"/>
        <v>0</v>
      </c>
      <c r="W598" s="21">
        <f t="shared" si="209"/>
        <v>0</v>
      </c>
      <c r="Y598" s="23">
        <f t="shared" si="198"/>
        <v>0</v>
      </c>
      <c r="Z598" s="6">
        <f t="shared" si="199"/>
        <v>0</v>
      </c>
      <c r="AA598" s="6">
        <f t="shared" si="200"/>
        <v>1</v>
      </c>
      <c r="AB598" s="6">
        <f t="shared" si="201"/>
        <v>1</v>
      </c>
    </row>
    <row r="599" spans="1:28" x14ac:dyDescent="0.35">
      <c r="A599">
        <v>590</v>
      </c>
      <c r="B599" s="17">
        <f t="shared" si="202"/>
        <v>17927.6875</v>
      </c>
      <c r="C599" s="17">
        <f t="shared" si="195"/>
        <v>17958.125</v>
      </c>
      <c r="D599" s="17">
        <f t="shared" si="203"/>
        <v>17942.90625</v>
      </c>
      <c r="E599" s="17">
        <f t="shared" si="189"/>
        <v>589.5</v>
      </c>
      <c r="F599" s="17">
        <f t="shared" si="190"/>
        <v>109.125</v>
      </c>
      <c r="G599" s="21">
        <f>INDEX('Life Tables'!$F$8:$F$123,MATCH(Engine!F599,'Life Tables'!$B$8:$B$123,1))</f>
        <v>1</v>
      </c>
      <c r="H599" s="8">
        <f t="shared" si="191"/>
        <v>0.18532024263674499</v>
      </c>
      <c r="I599">
        <f t="shared" si="192"/>
        <v>1</v>
      </c>
      <c r="K599" s="22" t="e">
        <f>$I599*IF($E599&gt;_xlfn.AGGREGATE(4,6,'KM Data'!$B$6:$B$310),NA(),INDEX('KM Data'!$C$6:$C$310,MATCH($E599,'KM Data'!$B$6:$B$310,1)))</f>
        <v>#N/A</v>
      </c>
      <c r="L599" s="21">
        <f t="shared" si="193"/>
        <v>7.4233986053049428E-3</v>
      </c>
      <c r="M599" s="20">
        <f t="shared" si="196"/>
        <v>3.0897778409610943E-3</v>
      </c>
      <c r="N599" s="21">
        <f t="shared" si="204"/>
        <v>0</v>
      </c>
      <c r="O599" s="21">
        <f t="shared" si="205"/>
        <v>0</v>
      </c>
      <c r="P599" s="21">
        <f t="shared" si="206"/>
        <v>0</v>
      </c>
      <c r="R599" s="22" t="e">
        <f>$I599*IF($E599&gt;_xlfn.AGGREGATE(4,6,'KM Data'!$E$6:$E$205),NA(),INDEX('KM Data'!$F$6:$F$205,MATCH($E599,'KM Data'!$E$6:$E$205,1)))</f>
        <v>#N/A</v>
      </c>
      <c r="S599" s="21">
        <f t="shared" si="194"/>
        <v>5.2054098286684836E-2</v>
      </c>
      <c r="T599" s="8">
        <f t="shared" si="197"/>
        <v>2.0121511030335437E-3</v>
      </c>
      <c r="U599" s="21">
        <f t="shared" si="207"/>
        <v>0</v>
      </c>
      <c r="V599" s="21">
        <f t="shared" si="208"/>
        <v>0</v>
      </c>
      <c r="W599" s="21">
        <f t="shared" si="209"/>
        <v>0</v>
      </c>
      <c r="Y599" s="23">
        <f t="shared" si="198"/>
        <v>0</v>
      </c>
      <c r="Z599" s="6">
        <f t="shared" si="199"/>
        <v>0</v>
      </c>
      <c r="AA599" s="6">
        <f t="shared" si="200"/>
        <v>1</v>
      </c>
      <c r="AB599" s="6">
        <f t="shared" si="201"/>
        <v>1</v>
      </c>
    </row>
    <row r="600" spans="1:28" x14ac:dyDescent="0.35">
      <c r="A600">
        <v>591</v>
      </c>
      <c r="B600" s="17">
        <f t="shared" si="202"/>
        <v>17958.125</v>
      </c>
      <c r="C600" s="17">
        <f t="shared" si="195"/>
        <v>17988.5625</v>
      </c>
      <c r="D600" s="17">
        <f t="shared" si="203"/>
        <v>17973.34375</v>
      </c>
      <c r="E600" s="17">
        <f t="shared" si="189"/>
        <v>590.5</v>
      </c>
      <c r="F600" s="17">
        <f t="shared" si="190"/>
        <v>109.20833333333334</v>
      </c>
      <c r="G600" s="21">
        <f>INDEX('Life Tables'!$F$8:$F$123,MATCH(Engine!F600,'Life Tables'!$B$8:$B$123,1))</f>
        <v>1</v>
      </c>
      <c r="H600" s="8">
        <f t="shared" si="191"/>
        <v>0.18532024263674499</v>
      </c>
      <c r="I600">
        <f t="shared" si="192"/>
        <v>1</v>
      </c>
      <c r="K600" s="22" t="e">
        <f>$I600*IF($E600&gt;_xlfn.AGGREGATE(4,6,'KM Data'!$B$6:$B$310),NA(),INDEX('KM Data'!$C$6:$C$310,MATCH($E600,'KM Data'!$B$6:$B$310,1)))</f>
        <v>#N/A</v>
      </c>
      <c r="L600" s="21">
        <f t="shared" si="193"/>
        <v>7.4004619527896498E-3</v>
      </c>
      <c r="M600" s="20">
        <f t="shared" si="196"/>
        <v>3.0856890711623564E-3</v>
      </c>
      <c r="N600" s="21">
        <f t="shared" si="204"/>
        <v>0</v>
      </c>
      <c r="O600" s="21">
        <f t="shared" si="205"/>
        <v>0</v>
      </c>
      <c r="P600" s="21">
        <f t="shared" si="206"/>
        <v>0</v>
      </c>
      <c r="R600" s="22" t="e">
        <f>$I600*IF($E600&gt;_xlfn.AGGREGATE(4,6,'KM Data'!$E$6:$E$205),NA(),INDEX('KM Data'!$F$6:$F$205,MATCH($E600,'KM Data'!$E$6:$E$205,1)))</f>
        <v>#N/A</v>
      </c>
      <c r="S600" s="21">
        <f t="shared" si="194"/>
        <v>5.1949357575399868E-2</v>
      </c>
      <c r="T600" s="8">
        <f t="shared" si="197"/>
        <v>2.0095798245420848E-3</v>
      </c>
      <c r="U600" s="21">
        <f t="shared" si="207"/>
        <v>0</v>
      </c>
      <c r="V600" s="21">
        <f t="shared" si="208"/>
        <v>0</v>
      </c>
      <c r="W600" s="21">
        <f t="shared" si="209"/>
        <v>0</v>
      </c>
      <c r="Y600" s="23">
        <f t="shared" si="198"/>
        <v>0</v>
      </c>
      <c r="Z600" s="6">
        <f t="shared" si="199"/>
        <v>0</v>
      </c>
      <c r="AA600" s="6">
        <f t="shared" si="200"/>
        <v>1</v>
      </c>
      <c r="AB600" s="6">
        <f t="shared" si="201"/>
        <v>1</v>
      </c>
    </row>
    <row r="601" spans="1:28" x14ac:dyDescent="0.35">
      <c r="A601">
        <v>592</v>
      </c>
      <c r="B601" s="17">
        <f t="shared" si="202"/>
        <v>17988.5625</v>
      </c>
      <c r="C601" s="17">
        <f t="shared" si="195"/>
        <v>18019</v>
      </c>
      <c r="D601" s="17">
        <f t="shared" si="203"/>
        <v>18003.78125</v>
      </c>
      <c r="E601" s="17">
        <f t="shared" si="189"/>
        <v>591.5</v>
      </c>
      <c r="F601" s="17">
        <f t="shared" si="190"/>
        <v>109.29166666666666</v>
      </c>
      <c r="G601" s="21">
        <f>INDEX('Life Tables'!$F$8:$F$123,MATCH(Engine!F601,'Life Tables'!$B$8:$B$123,1))</f>
        <v>1</v>
      </c>
      <c r="H601" s="8">
        <f t="shared" si="191"/>
        <v>0.18532024263674499</v>
      </c>
      <c r="I601">
        <f t="shared" si="192"/>
        <v>1</v>
      </c>
      <c r="K601" s="22" t="e">
        <f>$I601*IF($E601&gt;_xlfn.AGGREGATE(4,6,'KM Data'!$B$6:$B$310),NA(),INDEX('KM Data'!$C$6:$C$310,MATCH($E601,'KM Data'!$B$6:$B$310,1)))</f>
        <v>#N/A</v>
      </c>
      <c r="L601" s="21">
        <f t="shared" si="193"/>
        <v>7.3776264282203741E-3</v>
      </c>
      <c r="M601" s="20">
        <f t="shared" si="196"/>
        <v>3.0816122507624222E-3</v>
      </c>
      <c r="N601" s="21">
        <f t="shared" si="204"/>
        <v>0</v>
      </c>
      <c r="O601" s="21">
        <f t="shared" si="205"/>
        <v>0</v>
      </c>
      <c r="P601" s="21">
        <f t="shared" si="206"/>
        <v>0</v>
      </c>
      <c r="R601" s="22" t="e">
        <f>$I601*IF($E601&gt;_xlfn.AGGREGATE(4,6,'KM Data'!$E$6:$E$205),NA(),INDEX('KM Data'!$F$6:$F$205,MATCH($E601,'KM Data'!$E$6:$E$205,1)))</f>
        <v>#N/A</v>
      </c>
      <c r="S601" s="21">
        <f t="shared" si="194"/>
        <v>5.1844961194518424E-2</v>
      </c>
      <c r="T601" s="8">
        <f t="shared" si="197"/>
        <v>2.007015897494413E-3</v>
      </c>
      <c r="U601" s="21">
        <f t="shared" si="207"/>
        <v>0</v>
      </c>
      <c r="V601" s="21">
        <f t="shared" si="208"/>
        <v>0</v>
      </c>
      <c r="W601" s="21">
        <f t="shared" si="209"/>
        <v>0</v>
      </c>
      <c r="Y601" s="23">
        <f t="shared" si="198"/>
        <v>0</v>
      </c>
      <c r="Z601" s="6">
        <f t="shared" si="199"/>
        <v>0</v>
      </c>
      <c r="AA601" s="6">
        <f t="shared" si="200"/>
        <v>1</v>
      </c>
      <c r="AB601" s="6">
        <f t="shared" si="201"/>
        <v>1</v>
      </c>
    </row>
    <row r="602" spans="1:28" x14ac:dyDescent="0.35">
      <c r="A602">
        <v>593</v>
      </c>
      <c r="B602" s="17">
        <f t="shared" si="202"/>
        <v>18019</v>
      </c>
      <c r="C602" s="17">
        <f t="shared" si="195"/>
        <v>18049.4375</v>
      </c>
      <c r="D602" s="17">
        <f t="shared" si="203"/>
        <v>18034.21875</v>
      </c>
      <c r="E602" s="17">
        <f t="shared" si="189"/>
        <v>592.5</v>
      </c>
      <c r="F602" s="17">
        <f t="shared" si="190"/>
        <v>109.375</v>
      </c>
      <c r="G602" s="21">
        <f>INDEX('Life Tables'!$F$8:$F$123,MATCH(Engine!F602,'Life Tables'!$B$8:$B$123,1))</f>
        <v>1</v>
      </c>
      <c r="H602" s="8">
        <f t="shared" si="191"/>
        <v>0.18532024263674499</v>
      </c>
      <c r="I602">
        <f t="shared" si="192"/>
        <v>1</v>
      </c>
      <c r="K602" s="22" t="e">
        <f>$I602*IF($E602&gt;_xlfn.AGGREGATE(4,6,'KM Data'!$B$6:$B$310),NA(),INDEX('KM Data'!$C$6:$C$310,MATCH($E602,'KM Data'!$B$6:$B$310,1)))</f>
        <v>#N/A</v>
      </c>
      <c r="L602" s="21">
        <f t="shared" si="193"/>
        <v>7.3548914442376212E-3</v>
      </c>
      <c r="M602" s="20">
        <f t="shared" si="196"/>
        <v>3.0775473254275321E-3</v>
      </c>
      <c r="N602" s="21">
        <f t="shared" si="204"/>
        <v>0</v>
      </c>
      <c r="O602" s="21">
        <f t="shared" si="205"/>
        <v>0</v>
      </c>
      <c r="P602" s="21">
        <f t="shared" si="206"/>
        <v>0</v>
      </c>
      <c r="R602" s="22" t="e">
        <f>$I602*IF($E602&gt;_xlfn.AGGREGATE(4,6,'KM Data'!$E$6:$E$205),NA(),INDEX('KM Data'!$F$6:$F$205,MATCH($E602,'KM Data'!$E$6:$E$205,1)))</f>
        <v>#N/A</v>
      </c>
      <c r="S602" s="21">
        <f t="shared" si="194"/>
        <v>5.1740907533196046E-2</v>
      </c>
      <c r="T602" s="8">
        <f t="shared" si="197"/>
        <v>2.0044592890348101E-3</v>
      </c>
      <c r="U602" s="21">
        <f t="shared" si="207"/>
        <v>0</v>
      </c>
      <c r="V602" s="21">
        <f t="shared" si="208"/>
        <v>0</v>
      </c>
      <c r="W602" s="21">
        <f t="shared" si="209"/>
        <v>0</v>
      </c>
      <c r="Y602" s="23">
        <f t="shared" si="198"/>
        <v>0</v>
      </c>
      <c r="Z602" s="6">
        <f t="shared" si="199"/>
        <v>0</v>
      </c>
      <c r="AA602" s="6">
        <f t="shared" si="200"/>
        <v>1</v>
      </c>
      <c r="AB602" s="6">
        <f t="shared" si="201"/>
        <v>1</v>
      </c>
    </row>
    <row r="603" spans="1:28" x14ac:dyDescent="0.35">
      <c r="A603">
        <v>594</v>
      </c>
      <c r="B603" s="17">
        <f t="shared" si="202"/>
        <v>18049.4375</v>
      </c>
      <c r="C603" s="17">
        <f t="shared" si="195"/>
        <v>18079.875</v>
      </c>
      <c r="D603" s="17">
        <f t="shared" si="203"/>
        <v>18064.65625</v>
      </c>
      <c r="E603" s="17">
        <f t="shared" si="189"/>
        <v>593.5</v>
      </c>
      <c r="F603" s="17">
        <f t="shared" si="190"/>
        <v>109.45833333333334</v>
      </c>
      <c r="G603" s="21">
        <f>INDEX('Life Tables'!$F$8:$F$123,MATCH(Engine!F603,'Life Tables'!$B$8:$B$123,1))</f>
        <v>1</v>
      </c>
      <c r="H603" s="8">
        <f t="shared" si="191"/>
        <v>0.18532024263674499</v>
      </c>
      <c r="I603">
        <f t="shared" si="192"/>
        <v>1</v>
      </c>
      <c r="K603" s="22" t="e">
        <f>$I603*IF($E603&gt;_xlfn.AGGREGATE(4,6,'KM Data'!$B$6:$B$310),NA(),INDEX('KM Data'!$C$6:$C$310,MATCH($E603,'KM Data'!$B$6:$B$310,1)))</f>
        <v>#N/A</v>
      </c>
      <c r="L603" s="21">
        <f t="shared" si="193"/>
        <v>7.3322564177445981E-3</v>
      </c>
      <c r="M603" s="20">
        <f t="shared" si="196"/>
        <v>3.073494241165764E-3</v>
      </c>
      <c r="N603" s="21">
        <f t="shared" si="204"/>
        <v>0</v>
      </c>
      <c r="O603" s="21">
        <f t="shared" si="205"/>
        <v>0</v>
      </c>
      <c r="P603" s="21">
        <f t="shared" si="206"/>
        <v>0</v>
      </c>
      <c r="R603" s="22" t="e">
        <f>$I603*IF($E603&gt;_xlfn.AGGREGATE(4,6,'KM Data'!$E$6:$E$205),NA(),INDEX('KM Data'!$F$6:$F$205,MATCH($E603,'KM Data'!$E$6:$E$205,1)))</f>
        <v>#N/A</v>
      </c>
      <c r="S603" s="21">
        <f t="shared" si="194"/>
        <v>5.1637194990468038E-2</v>
      </c>
      <c r="T603" s="8">
        <f t="shared" si="197"/>
        <v>2.0019099665061768E-3</v>
      </c>
      <c r="U603" s="21">
        <f t="shared" si="207"/>
        <v>0</v>
      </c>
      <c r="V603" s="21">
        <f t="shared" si="208"/>
        <v>0</v>
      </c>
      <c r="W603" s="21">
        <f t="shared" si="209"/>
        <v>0</v>
      </c>
      <c r="Y603" s="23">
        <f t="shared" si="198"/>
        <v>0</v>
      </c>
      <c r="Z603" s="6">
        <f t="shared" si="199"/>
        <v>0</v>
      </c>
      <c r="AA603" s="6">
        <f t="shared" si="200"/>
        <v>1</v>
      </c>
      <c r="AB603" s="6">
        <f t="shared" si="201"/>
        <v>1</v>
      </c>
    </row>
    <row r="604" spans="1:28" x14ac:dyDescent="0.35">
      <c r="A604">
        <v>595</v>
      </c>
      <c r="B604" s="17">
        <f t="shared" si="202"/>
        <v>18079.875</v>
      </c>
      <c r="C604" s="17">
        <f t="shared" si="195"/>
        <v>18110.3125</v>
      </c>
      <c r="D604" s="17">
        <f t="shared" si="203"/>
        <v>18095.09375</v>
      </c>
      <c r="E604" s="17">
        <f t="shared" si="189"/>
        <v>594.5</v>
      </c>
      <c r="F604" s="17">
        <f t="shared" si="190"/>
        <v>109.54166666666666</v>
      </c>
      <c r="G604" s="21">
        <f>INDEX('Life Tables'!$F$8:$F$123,MATCH(Engine!F604,'Life Tables'!$B$8:$B$123,1))</f>
        <v>1</v>
      </c>
      <c r="H604" s="8">
        <f t="shared" si="191"/>
        <v>0.18532024263674499</v>
      </c>
      <c r="I604">
        <f t="shared" si="192"/>
        <v>1</v>
      </c>
      <c r="K604" s="22" t="e">
        <f>$I604*IF($E604&gt;_xlfn.AGGREGATE(4,6,'KM Data'!$B$6:$B$310),NA(),INDEX('KM Data'!$C$6:$C$310,MATCH($E604,'KM Data'!$B$6:$B$310,1)))</f>
        <v>#N/A</v>
      </c>
      <c r="L604" s="21">
        <f t="shared" si="193"/>
        <v>7.3097207698699096E-3</v>
      </c>
      <c r="M604" s="20">
        <f t="shared" si="196"/>
        <v>3.0694529443623386E-3</v>
      </c>
      <c r="N604" s="21">
        <f t="shared" si="204"/>
        <v>0</v>
      </c>
      <c r="O604" s="21">
        <f t="shared" si="205"/>
        <v>0</v>
      </c>
      <c r="P604" s="21">
        <f t="shared" si="206"/>
        <v>0</v>
      </c>
      <c r="R604" s="22" t="e">
        <f>$I604*IF($E604&gt;_xlfn.AGGREGATE(4,6,'KM Data'!$E$6:$E$205),NA(),INDEX('KM Data'!$F$6:$F$205,MATCH($E604,'KM Data'!$E$6:$E$205,1)))</f>
        <v>#N/A</v>
      </c>
      <c r="S604" s="21">
        <f t="shared" si="194"/>
        <v>5.1533821975174199E-2</v>
      </c>
      <c r="T604" s="8">
        <f t="shared" si="197"/>
        <v>1.9993678974463691E-3</v>
      </c>
      <c r="U604" s="21">
        <f t="shared" si="207"/>
        <v>0</v>
      </c>
      <c r="V604" s="21">
        <f t="shared" si="208"/>
        <v>0</v>
      </c>
      <c r="W604" s="21">
        <f t="shared" si="209"/>
        <v>0</v>
      </c>
      <c r="Y604" s="23">
        <f t="shared" si="198"/>
        <v>0</v>
      </c>
      <c r="Z604" s="6">
        <f t="shared" si="199"/>
        <v>0</v>
      </c>
      <c r="AA604" s="6">
        <f t="shared" si="200"/>
        <v>1</v>
      </c>
      <c r="AB604" s="6">
        <f t="shared" si="201"/>
        <v>1</v>
      </c>
    </row>
    <row r="605" spans="1:28" x14ac:dyDescent="0.35">
      <c r="A605">
        <v>596</v>
      </c>
      <c r="B605" s="17">
        <f t="shared" si="202"/>
        <v>18110.3125</v>
      </c>
      <c r="C605" s="17">
        <f t="shared" si="195"/>
        <v>18140.75</v>
      </c>
      <c r="D605" s="17">
        <f t="shared" si="203"/>
        <v>18125.53125</v>
      </c>
      <c r="E605" s="17">
        <f t="shared" si="189"/>
        <v>595.5</v>
      </c>
      <c r="F605" s="17">
        <f t="shared" si="190"/>
        <v>109.625</v>
      </c>
      <c r="G605" s="21">
        <f>INDEX('Life Tables'!$F$8:$F$123,MATCH(Engine!F605,'Life Tables'!$B$8:$B$123,1))</f>
        <v>1</v>
      </c>
      <c r="H605" s="8">
        <f t="shared" si="191"/>
        <v>0.18532024263674499</v>
      </c>
      <c r="I605">
        <f t="shared" si="192"/>
        <v>1</v>
      </c>
      <c r="K605" s="22" t="e">
        <f>$I605*IF($E605&gt;_xlfn.AGGREGATE(4,6,'KM Data'!$B$6:$B$310),NA(),INDEX('KM Data'!$C$6:$C$310,MATCH($E605,'KM Data'!$B$6:$B$310,1)))</f>
        <v>#N/A</v>
      </c>
      <c r="L605" s="21">
        <f t="shared" si="193"/>
        <v>7.2872839259303657E-3</v>
      </c>
      <c r="M605" s="20">
        <f t="shared" si="196"/>
        <v>3.0654233816770349E-3</v>
      </c>
      <c r="N605" s="21">
        <f t="shared" si="204"/>
        <v>0</v>
      </c>
      <c r="O605" s="21">
        <f t="shared" si="205"/>
        <v>0</v>
      </c>
      <c r="P605" s="21">
        <f t="shared" si="206"/>
        <v>0</v>
      </c>
      <c r="R605" s="22" t="e">
        <f>$I605*IF($E605&gt;_xlfn.AGGREGATE(4,6,'KM Data'!$E$6:$E$205),NA(),INDEX('KM Data'!$F$6:$F$205,MATCH($E605,'KM Data'!$E$6:$E$205,1)))</f>
        <v>#N/A</v>
      </c>
      <c r="S605" s="21">
        <f t="shared" si="194"/>
        <v>5.1430786905884318E-2</v>
      </c>
      <c r="T605" s="8">
        <f t="shared" si="197"/>
        <v>1.9968330495897524E-3</v>
      </c>
      <c r="U605" s="21">
        <f t="shared" si="207"/>
        <v>0</v>
      </c>
      <c r="V605" s="21">
        <f t="shared" si="208"/>
        <v>0</v>
      </c>
      <c r="W605" s="21">
        <f t="shared" si="209"/>
        <v>0</v>
      </c>
      <c r="Y605" s="23">
        <f t="shared" si="198"/>
        <v>0</v>
      </c>
      <c r="Z605" s="6">
        <f t="shared" si="199"/>
        <v>0</v>
      </c>
      <c r="AA605" s="6">
        <f t="shared" si="200"/>
        <v>1</v>
      </c>
      <c r="AB605" s="6">
        <f t="shared" si="201"/>
        <v>1</v>
      </c>
    </row>
    <row r="606" spans="1:28" x14ac:dyDescent="0.35">
      <c r="A606">
        <v>597</v>
      </c>
      <c r="B606" s="17">
        <f t="shared" si="202"/>
        <v>18140.75</v>
      </c>
      <c r="C606" s="17">
        <f t="shared" si="195"/>
        <v>18171.1875</v>
      </c>
      <c r="D606" s="17">
        <f t="shared" si="203"/>
        <v>18155.96875</v>
      </c>
      <c r="E606" s="17">
        <f t="shared" si="189"/>
        <v>596.5</v>
      </c>
      <c r="F606" s="17">
        <f t="shared" si="190"/>
        <v>109.70833333333334</v>
      </c>
      <c r="G606" s="21">
        <f>INDEX('Life Tables'!$F$8:$F$123,MATCH(Engine!F606,'Life Tables'!$B$8:$B$123,1))</f>
        <v>1</v>
      </c>
      <c r="H606" s="8">
        <f t="shared" si="191"/>
        <v>0.18532024263674499</v>
      </c>
      <c r="I606">
        <f t="shared" si="192"/>
        <v>1</v>
      </c>
      <c r="K606" s="22" t="e">
        <f>$I606*IF($E606&gt;_xlfn.AGGREGATE(4,6,'KM Data'!$B$6:$B$310),NA(),INDEX('KM Data'!$C$6:$C$310,MATCH($E606,'KM Data'!$B$6:$B$310,1)))</f>
        <v>#N/A</v>
      </c>
      <c r="L606" s="21">
        <f t="shared" si="193"/>
        <v>7.2649453153948995E-3</v>
      </c>
      <c r="M606" s="20">
        <f t="shared" si="196"/>
        <v>3.0614055001526586E-3</v>
      </c>
      <c r="N606" s="21">
        <f t="shared" si="204"/>
        <v>0</v>
      </c>
      <c r="O606" s="21">
        <f t="shared" si="205"/>
        <v>0</v>
      </c>
      <c r="P606" s="21">
        <f t="shared" si="206"/>
        <v>0</v>
      </c>
      <c r="R606" s="22" t="e">
        <f>$I606*IF($E606&gt;_xlfn.AGGREGATE(4,6,'KM Data'!$E$6:$E$205),NA(),INDEX('KM Data'!$F$6:$F$205,MATCH($E606,'KM Data'!$E$6:$E$205,1)))</f>
        <v>#N/A</v>
      </c>
      <c r="S606" s="21">
        <f t="shared" si="194"/>
        <v>5.1328088210824241E-2</v>
      </c>
      <c r="T606" s="8">
        <f t="shared" si="197"/>
        <v>1.9943053908652031E-3</v>
      </c>
      <c r="U606" s="21">
        <f t="shared" si="207"/>
        <v>0</v>
      </c>
      <c r="V606" s="21">
        <f t="shared" si="208"/>
        <v>0</v>
      </c>
      <c r="W606" s="21">
        <f t="shared" si="209"/>
        <v>0</v>
      </c>
      <c r="Y606" s="23">
        <f t="shared" si="198"/>
        <v>0</v>
      </c>
      <c r="Z606" s="6">
        <f t="shared" si="199"/>
        <v>0</v>
      </c>
      <c r="AA606" s="6">
        <f t="shared" si="200"/>
        <v>1</v>
      </c>
      <c r="AB606" s="6">
        <f t="shared" si="201"/>
        <v>1</v>
      </c>
    </row>
    <row r="607" spans="1:28" x14ac:dyDescent="0.35">
      <c r="A607">
        <v>598</v>
      </c>
      <c r="B607" s="17">
        <f t="shared" si="202"/>
        <v>18171.1875</v>
      </c>
      <c r="C607" s="17">
        <f t="shared" si="195"/>
        <v>18201.625</v>
      </c>
      <c r="D607" s="17">
        <f t="shared" si="203"/>
        <v>18186.40625</v>
      </c>
      <c r="E607" s="17">
        <f t="shared" si="189"/>
        <v>597.5</v>
      </c>
      <c r="F607" s="17">
        <f t="shared" si="190"/>
        <v>109.79166666666666</v>
      </c>
      <c r="G607" s="21">
        <f>INDEX('Life Tables'!$F$8:$F$123,MATCH(Engine!F607,'Life Tables'!$B$8:$B$123,1))</f>
        <v>1</v>
      </c>
      <c r="H607" s="8">
        <f t="shared" si="191"/>
        <v>0.18532024263674499</v>
      </c>
      <c r="I607">
        <f t="shared" si="192"/>
        <v>1</v>
      </c>
      <c r="K607" s="22" t="e">
        <f>$I607*IF($E607&gt;_xlfn.AGGREGATE(4,6,'KM Data'!$B$6:$B$310),NA(),INDEX('KM Data'!$C$6:$C$310,MATCH($E607,'KM Data'!$B$6:$B$310,1)))</f>
        <v>#N/A</v>
      </c>
      <c r="L607" s="21">
        <f t="shared" si="193"/>
        <v>7.2427043718480411E-3</v>
      </c>
      <c r="M607" s="20">
        <f t="shared" si="196"/>
        <v>3.0573992470809275E-3</v>
      </c>
      <c r="N607" s="21">
        <f t="shared" si="204"/>
        <v>0</v>
      </c>
      <c r="O607" s="21">
        <f t="shared" si="205"/>
        <v>0</v>
      </c>
      <c r="P607" s="21">
        <f t="shared" si="206"/>
        <v>0</v>
      </c>
      <c r="R607" s="22" t="e">
        <f>$I607*IF($E607&gt;_xlfn.AGGREGATE(4,6,'KM Data'!$E$6:$E$205),NA(),INDEX('KM Data'!$F$6:$F$205,MATCH($E607,'KM Data'!$E$6:$E$205,1)))</f>
        <v>#N/A</v>
      </c>
      <c r="S607" s="21">
        <f t="shared" si="194"/>
        <v>5.1225724327802591E-2</v>
      </c>
      <c r="T607" s="8">
        <f t="shared" si="197"/>
        <v>1.9917848894057677E-3</v>
      </c>
      <c r="U607" s="21">
        <f t="shared" si="207"/>
        <v>0</v>
      </c>
      <c r="V607" s="21">
        <f t="shared" si="208"/>
        <v>0</v>
      </c>
      <c r="W607" s="21">
        <f t="shared" si="209"/>
        <v>0</v>
      </c>
      <c r="Y607" s="23">
        <f t="shared" si="198"/>
        <v>0</v>
      </c>
      <c r="Z607" s="6">
        <f t="shared" si="199"/>
        <v>0</v>
      </c>
      <c r="AA607" s="6">
        <f t="shared" si="200"/>
        <v>1</v>
      </c>
      <c r="AB607" s="6">
        <f t="shared" si="201"/>
        <v>1</v>
      </c>
    </row>
    <row r="608" spans="1:28" x14ac:dyDescent="0.35">
      <c r="A608">
        <v>599</v>
      </c>
      <c r="B608" s="17">
        <f t="shared" si="202"/>
        <v>18201.625</v>
      </c>
      <c r="C608" s="17">
        <f t="shared" si="195"/>
        <v>18232.0625</v>
      </c>
      <c r="D608" s="17">
        <f t="shared" si="203"/>
        <v>18216.84375</v>
      </c>
      <c r="E608" s="17">
        <f t="shared" si="189"/>
        <v>598.5</v>
      </c>
      <c r="F608" s="17">
        <f t="shared" si="190"/>
        <v>109.875</v>
      </c>
      <c r="G608" s="21">
        <f>INDEX('Life Tables'!$F$8:$F$123,MATCH(Engine!F608,'Life Tables'!$B$8:$B$123,1))</f>
        <v>1</v>
      </c>
      <c r="H608" s="8">
        <f t="shared" si="191"/>
        <v>0.18532024263674499</v>
      </c>
      <c r="I608">
        <f t="shared" si="192"/>
        <v>1</v>
      </c>
      <c r="K608" s="22" t="e">
        <f>$I608*IF($E608&gt;_xlfn.AGGREGATE(4,6,'KM Data'!$B$6:$B$310),NA(),INDEX('KM Data'!$C$6:$C$310,MATCH($E608,'KM Data'!$B$6:$B$310,1)))</f>
        <v>#N/A</v>
      </c>
      <c r="L608" s="21">
        <f t="shared" si="193"/>
        <v>7.2205605329547229E-3</v>
      </c>
      <c r="M608" s="20" t="e">
        <f t="shared" si="196"/>
        <v>#N/A</v>
      </c>
      <c r="N608" s="21">
        <f t="shared" si="204"/>
        <v>0</v>
      </c>
      <c r="O608" s="21">
        <f t="shared" si="205"/>
        <v>0</v>
      </c>
      <c r="P608" s="21">
        <f t="shared" si="206"/>
        <v>0</v>
      </c>
      <c r="R608" s="22" t="e">
        <f>$I608*IF($E608&gt;_xlfn.AGGREGATE(4,6,'KM Data'!$E$6:$E$205),NA(),INDEX('KM Data'!$F$6:$F$205,MATCH($E608,'KM Data'!$E$6:$E$205,1)))</f>
        <v>#N/A</v>
      </c>
      <c r="S608" s="21">
        <f t="shared" si="194"/>
        <v>5.1123693704137607E-2</v>
      </c>
      <c r="T608" s="8" t="e">
        <f t="shared" si="197"/>
        <v>#N/A</v>
      </c>
      <c r="U608" s="21">
        <f t="shared" si="207"/>
        <v>0</v>
      </c>
      <c r="V608" s="21">
        <f t="shared" si="208"/>
        <v>0</v>
      </c>
      <c r="W608" s="21">
        <f t="shared" si="209"/>
        <v>0</v>
      </c>
      <c r="Y608" s="23">
        <f t="shared" si="198"/>
        <v>0</v>
      </c>
      <c r="Z608" s="6">
        <f t="shared" si="199"/>
        <v>0</v>
      </c>
      <c r="AA608" s="6">
        <f t="shared" si="200"/>
        <v>1</v>
      </c>
      <c r="AB608" s="6">
        <f t="shared" si="201"/>
        <v>1</v>
      </c>
    </row>
    <row r="609" spans="1:28" x14ac:dyDescent="0.35">
      <c r="A609">
        <v>600</v>
      </c>
      <c r="B609" s="17">
        <f t="shared" si="202"/>
        <v>18232.0625</v>
      </c>
      <c r="C609" s="17">
        <f t="shared" si="195"/>
        <v>18262.5</v>
      </c>
      <c r="D609" s="17">
        <f t="shared" si="203"/>
        <v>18247.28125</v>
      </c>
      <c r="E609" s="17">
        <f t="shared" si="189"/>
        <v>599.5</v>
      </c>
      <c r="F609" s="17">
        <f t="shared" si="190"/>
        <v>109.95833333333334</v>
      </c>
      <c r="G609" s="21">
        <f>INDEX('Life Tables'!$F$8:$F$123,MATCH(Engine!F609,'Life Tables'!$B$8:$B$123,1))</f>
        <v>1</v>
      </c>
      <c r="H609" s="8">
        <f t="shared" si="191"/>
        <v>0.17905337452825601</v>
      </c>
      <c r="I609" t="e">
        <f t="shared" si="192"/>
        <v>#N/A</v>
      </c>
      <c r="K609" s="22" t="e">
        <f>$I609*IF($E609&gt;_xlfn.AGGREGATE(4,6,'KM Data'!$B$6:$B$310),NA(),INDEX('KM Data'!$C$6:$C$310,MATCH($E609,'KM Data'!$B$6:$B$310,1)))</f>
        <v>#N/A</v>
      </c>
      <c r="L609" s="21" t="e">
        <f t="shared" si="193"/>
        <v>#N/A</v>
      </c>
      <c r="M609" s="20" t="e">
        <f t="shared" si="196"/>
        <v>#N/A</v>
      </c>
      <c r="N609" s="21" t="e">
        <f t="shared" si="204"/>
        <v>#N/A</v>
      </c>
      <c r="O609" s="21" t="e">
        <f t="shared" si="205"/>
        <v>#N/A</v>
      </c>
      <c r="P609" s="21" t="e">
        <f t="shared" si="206"/>
        <v>#N/A</v>
      </c>
      <c r="R609" s="22" t="e">
        <f>$I609*IF($E609&gt;_xlfn.AGGREGATE(4,6,'KM Data'!$E$6:$E$205),NA(),INDEX('KM Data'!$F$6:$F$205,MATCH($E609,'KM Data'!$E$6:$E$205,1)))</f>
        <v>#N/A</v>
      </c>
      <c r="S609" s="21" t="e">
        <f t="shared" si="194"/>
        <v>#N/A</v>
      </c>
      <c r="T609" s="8" t="e">
        <f t="shared" si="197"/>
        <v>#N/A</v>
      </c>
      <c r="U609" s="21" t="e">
        <f t="shared" si="207"/>
        <v>#N/A</v>
      </c>
      <c r="V609" s="21" t="e">
        <f t="shared" si="208"/>
        <v>#N/A</v>
      </c>
      <c r="W609" s="21" t="e">
        <f t="shared" si="209"/>
        <v>#N/A</v>
      </c>
      <c r="Y609" s="23" t="e">
        <f t="shared" si="198"/>
        <v>#N/A</v>
      </c>
      <c r="Z609" s="6" t="e">
        <f t="shared" si="199"/>
        <v>#N/A</v>
      </c>
      <c r="AA609" s="6" t="e">
        <f t="shared" si="200"/>
        <v>#N/A</v>
      </c>
      <c r="AB609" s="6" t="e">
        <f t="shared" si="201"/>
        <v>#N/A</v>
      </c>
    </row>
    <row r="610" spans="1:28" x14ac:dyDescent="0.35">
      <c r="B610" s="17"/>
      <c r="C610" s="17"/>
    </row>
    <row r="611" spans="1:28" x14ac:dyDescent="0.35">
      <c r="B611" s="17"/>
      <c r="C611" s="17"/>
    </row>
    <row r="612" spans="1:28" x14ac:dyDescent="0.35">
      <c r="B612" s="17"/>
      <c r="C612" s="17"/>
    </row>
    <row r="613" spans="1:28" x14ac:dyDescent="0.35">
      <c r="B613" s="17"/>
      <c r="C613" s="17"/>
    </row>
    <row r="614" spans="1:28" x14ac:dyDescent="0.35">
      <c r="B614" s="17"/>
      <c r="C614" s="17"/>
    </row>
    <row r="615" spans="1:28" x14ac:dyDescent="0.35">
      <c r="B615" s="17"/>
      <c r="C615" s="17"/>
    </row>
    <row r="616" spans="1:28" x14ac:dyDescent="0.35">
      <c r="B616" s="17"/>
      <c r="C616" s="17"/>
    </row>
    <row r="617" spans="1:28" x14ac:dyDescent="0.35">
      <c r="B617" s="17"/>
      <c r="C617" s="17"/>
    </row>
    <row r="618" spans="1:28" x14ac:dyDescent="0.35">
      <c r="B618" s="17"/>
      <c r="C618" s="17"/>
    </row>
    <row r="619" spans="1:28" x14ac:dyDescent="0.35">
      <c r="B619" s="17"/>
      <c r="C619" s="17"/>
    </row>
    <row r="620" spans="1:28" x14ac:dyDescent="0.35">
      <c r="B620" s="17"/>
      <c r="C620" s="17"/>
    </row>
    <row r="621" spans="1:28" x14ac:dyDescent="0.35">
      <c r="B621" s="17"/>
      <c r="C621" s="17"/>
    </row>
    <row r="622" spans="1:28" x14ac:dyDescent="0.35">
      <c r="B622" s="17"/>
      <c r="C622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5D81-CEE1-4F25-A3B8-751625931C17}">
  <dimension ref="B2:F123"/>
  <sheetViews>
    <sheetView zoomScale="140" zoomScaleNormal="14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J38" sqref="J38"/>
    </sheetView>
  </sheetViews>
  <sheetFormatPr defaultRowHeight="14.5" x14ac:dyDescent="0.35"/>
  <cols>
    <col min="2" max="6" width="17.54296875" customWidth="1"/>
  </cols>
  <sheetData>
    <row r="2" spans="2:6" ht="19" thickBot="1" x14ac:dyDescent="0.5">
      <c r="B2" s="19" t="s">
        <v>58</v>
      </c>
      <c r="C2" s="15"/>
      <c r="D2" s="15"/>
      <c r="E2" s="15"/>
      <c r="F2" s="15"/>
    </row>
    <row r="4" spans="2:6" x14ac:dyDescent="0.35">
      <c r="B4" t="s">
        <v>59</v>
      </c>
      <c r="C4" s="50" t="s">
        <v>64</v>
      </c>
      <c r="D4" s="50"/>
      <c r="E4" s="50"/>
      <c r="F4" s="50"/>
    </row>
    <row r="6" spans="2:6" ht="15" thickBot="1" x14ac:dyDescent="0.4">
      <c r="B6" s="15"/>
      <c r="C6" s="15"/>
      <c r="D6" s="15"/>
      <c r="E6" s="15"/>
      <c r="F6" s="15"/>
    </row>
    <row r="7" spans="2:6" ht="15" thickBot="1" x14ac:dyDescent="0.4">
      <c r="B7" s="18" t="s">
        <v>35</v>
      </c>
      <c r="C7" s="18" t="s">
        <v>60</v>
      </c>
      <c r="D7" s="18" t="s">
        <v>61</v>
      </c>
      <c r="E7" s="18" t="s">
        <v>62</v>
      </c>
      <c r="F7" s="18" t="s">
        <v>63</v>
      </c>
    </row>
    <row r="8" spans="2:6" x14ac:dyDescent="0.35">
      <c r="B8">
        <v>0</v>
      </c>
      <c r="C8">
        <v>4.548E-3</v>
      </c>
      <c r="D8">
        <v>3.571E-3</v>
      </c>
      <c r="E8">
        <f>C8*(1-Per_Cent_Female)+'Life Tables'!D8*Per_Cent_Female</f>
        <v>4.1865100000000001E-3</v>
      </c>
      <c r="F8">
        <f t="shared" ref="F8:F39" si="0">IF(E8=1,1,1-EXP(-(1-EXP(Days_per_Month/Days_per_Year/(_xlfn.IFNA(B9-B8,1))*LN(1-E8)))))</f>
        <v>3.4948597380202173E-4</v>
      </c>
    </row>
    <row r="9" spans="2:6" x14ac:dyDescent="0.35">
      <c r="B9">
        <v>1</v>
      </c>
      <c r="C9">
        <v>2.4000000000000001E-4</v>
      </c>
      <c r="D9">
        <v>2.2100000000000001E-4</v>
      </c>
      <c r="E9">
        <f>C9*(1-Per_Cent_Female)+'Life Tables'!D9*Per_Cent_Female</f>
        <v>2.3297000000000001E-4</v>
      </c>
      <c r="F9">
        <f t="shared" si="0"/>
        <v>1.9416051485587893E-5</v>
      </c>
    </row>
    <row r="10" spans="2:6" x14ac:dyDescent="0.35">
      <c r="B10">
        <v>2</v>
      </c>
      <c r="C10">
        <v>1.6899999999999999E-4</v>
      </c>
      <c r="D10">
        <v>1.3899999999999999E-4</v>
      </c>
      <c r="E10">
        <f>C10*(1-Per_Cent_Female)+'Life Tables'!D10*Per_Cent_Female</f>
        <v>1.5789999999999999E-4</v>
      </c>
      <c r="F10">
        <f t="shared" si="0"/>
        <v>1.3159199125922783E-5</v>
      </c>
    </row>
    <row r="11" spans="2:6" x14ac:dyDescent="0.35">
      <c r="B11">
        <v>3</v>
      </c>
      <c r="C11">
        <v>1.15E-4</v>
      </c>
      <c r="D11">
        <v>9.5000000000000005E-5</v>
      </c>
      <c r="E11">
        <f>C11*(1-Per_Cent_Female)+'Life Tables'!D11*Per_Cent_Female</f>
        <v>1.076E-4</v>
      </c>
      <c r="F11">
        <f t="shared" si="0"/>
        <v>8.9670686987952664E-6</v>
      </c>
    </row>
    <row r="12" spans="2:6" x14ac:dyDescent="0.35">
      <c r="B12">
        <v>4</v>
      </c>
      <c r="C12">
        <v>8.6000000000000003E-5</v>
      </c>
      <c r="D12">
        <v>6.7999999999999999E-5</v>
      </c>
      <c r="E12">
        <f>C12*(1-Per_Cent_Female)+'Life Tables'!D12*Per_Cent_Female</f>
        <v>7.9339999999999996E-5</v>
      </c>
      <c r="F12">
        <f t="shared" si="0"/>
        <v>6.6118852479757351E-6</v>
      </c>
    </row>
    <row r="13" spans="2:6" x14ac:dyDescent="0.35">
      <c r="B13">
        <v>5</v>
      </c>
      <c r="C13">
        <v>8.5000000000000006E-5</v>
      </c>
      <c r="D13">
        <v>6.8999999999999997E-5</v>
      </c>
      <c r="E13">
        <f>C13*(1-Per_Cent_Female)+'Life Tables'!D13*Per_Cent_Female</f>
        <v>7.9080000000000009E-5</v>
      </c>
      <c r="F13">
        <f t="shared" si="0"/>
        <v>6.5902171509923946E-6</v>
      </c>
    </row>
    <row r="14" spans="2:6" x14ac:dyDescent="0.35">
      <c r="B14">
        <v>6</v>
      </c>
      <c r="C14">
        <v>6.8999999999999997E-5</v>
      </c>
      <c r="D14">
        <v>6.8999999999999997E-5</v>
      </c>
      <c r="E14">
        <f>C14*(1-Per_Cent_Female)+'Life Tables'!D14*Per_Cent_Female</f>
        <v>6.8999999999999997E-5</v>
      </c>
      <c r="F14">
        <f t="shared" si="0"/>
        <v>5.7501653195624058E-6</v>
      </c>
    </row>
    <row r="15" spans="2:6" x14ac:dyDescent="0.35">
      <c r="B15">
        <v>7</v>
      </c>
      <c r="C15">
        <v>6.9999999999999994E-5</v>
      </c>
      <c r="D15">
        <v>5.8999999999999998E-5</v>
      </c>
      <c r="E15">
        <f>C15*(1-Per_Cent_Female)+'Life Tables'!D15*Per_Cent_Female</f>
        <v>6.5929999999999987E-5</v>
      </c>
      <c r="F15">
        <f t="shared" si="0"/>
        <v>5.494317602106058E-6</v>
      </c>
    </row>
    <row r="16" spans="2:6" x14ac:dyDescent="0.35">
      <c r="B16">
        <v>8</v>
      </c>
      <c r="C16">
        <v>7.7000000000000001E-5</v>
      </c>
      <c r="D16">
        <v>6.2000000000000003E-5</v>
      </c>
      <c r="E16">
        <f>C16*(1-Per_Cent_Female)+'Life Tables'!D16*Per_Cent_Female</f>
        <v>7.1450000000000002E-5</v>
      </c>
      <c r="F16">
        <f t="shared" si="0"/>
        <v>5.9543439350218108E-6</v>
      </c>
    </row>
    <row r="17" spans="2:6" x14ac:dyDescent="0.35">
      <c r="B17">
        <v>9</v>
      </c>
      <c r="C17">
        <v>7.2000000000000002E-5</v>
      </c>
      <c r="D17">
        <v>6.0999999999999999E-5</v>
      </c>
      <c r="E17">
        <f>C17*(1-Per_Cent_Female)+'Life Tables'!D17*Per_Cent_Female</f>
        <v>6.7929999999999995E-5</v>
      </c>
      <c r="F17">
        <f t="shared" si="0"/>
        <v>5.6609935651374954E-6</v>
      </c>
    </row>
    <row r="18" spans="2:6" x14ac:dyDescent="0.35">
      <c r="B18">
        <v>10</v>
      </c>
      <c r="C18">
        <v>6.0000000000000002E-5</v>
      </c>
      <c r="D18">
        <v>6.6000000000000005E-5</v>
      </c>
      <c r="E18">
        <f>C18*(1-Per_Cent_Female)+'Life Tables'!D18*Per_Cent_Female</f>
        <v>6.2220000000000011E-5</v>
      </c>
      <c r="F18">
        <f t="shared" si="0"/>
        <v>5.1851344262665577E-6</v>
      </c>
    </row>
    <row r="19" spans="2:6" x14ac:dyDescent="0.35">
      <c r="B19">
        <v>11</v>
      </c>
      <c r="C19">
        <v>9.2E-5</v>
      </c>
      <c r="D19">
        <v>7.2999999999999999E-5</v>
      </c>
      <c r="E19">
        <f>C19*(1-Per_Cent_Female)+'Life Tables'!D19*Per_Cent_Female</f>
        <v>8.4969999999999995E-5</v>
      </c>
      <c r="F19">
        <f t="shared" si="0"/>
        <v>7.0810840374635475E-6</v>
      </c>
    </row>
    <row r="20" spans="2:6" x14ac:dyDescent="0.35">
      <c r="B20">
        <v>12</v>
      </c>
      <c r="C20">
        <v>1.01E-4</v>
      </c>
      <c r="D20">
        <v>6.4999999999999994E-5</v>
      </c>
      <c r="E20">
        <f>C20*(1-Per_Cent_Female)+'Life Tables'!D20*Per_Cent_Female</f>
        <v>8.7680000000000001E-5</v>
      </c>
      <c r="F20">
        <f t="shared" si="0"/>
        <v>7.3069336179454325E-6</v>
      </c>
    </row>
    <row r="21" spans="2:6" x14ac:dyDescent="0.35">
      <c r="B21">
        <v>13</v>
      </c>
      <c r="C21">
        <v>1.1400000000000001E-4</v>
      </c>
      <c r="D21">
        <v>1.05E-4</v>
      </c>
      <c r="E21">
        <f>C21*(1-Per_Cent_Female)+'Life Tables'!D21*Per_Cent_Female</f>
        <v>1.1067E-4</v>
      </c>
      <c r="F21">
        <f t="shared" si="0"/>
        <v>9.2229253014775026E-6</v>
      </c>
    </row>
    <row r="22" spans="2:6" x14ac:dyDescent="0.35">
      <c r="B22">
        <v>14</v>
      </c>
      <c r="C22">
        <v>1.3799999999999999E-4</v>
      </c>
      <c r="D22">
        <v>8.6000000000000003E-5</v>
      </c>
      <c r="E22">
        <f>C22*(1-Per_Cent_Female)+'Life Tables'!D22*Per_Cent_Female</f>
        <v>1.1875999999999999E-4</v>
      </c>
      <c r="F22">
        <f t="shared" si="0"/>
        <v>9.8971564224115127E-6</v>
      </c>
    </row>
    <row r="23" spans="2:6" x14ac:dyDescent="0.35">
      <c r="B23">
        <v>15</v>
      </c>
      <c r="C23">
        <v>1.7899999999999999E-4</v>
      </c>
      <c r="D23">
        <v>1.3200000000000001E-4</v>
      </c>
      <c r="E23">
        <f>C23*(1-Per_Cent_Female)+'Life Tables'!D23*Per_Cent_Female</f>
        <v>1.6160999999999999E-4</v>
      </c>
      <c r="F23">
        <f t="shared" si="0"/>
        <v>1.3468406957817258E-5</v>
      </c>
    </row>
    <row r="24" spans="2:6" x14ac:dyDescent="0.35">
      <c r="B24">
        <v>16</v>
      </c>
      <c r="C24">
        <v>2.2900000000000001E-4</v>
      </c>
      <c r="D24">
        <v>1.21E-4</v>
      </c>
      <c r="E24">
        <f>C24*(1-Per_Cent_Female)+'Life Tables'!D24*Per_Cent_Female</f>
        <v>1.8903999999999999E-4</v>
      </c>
      <c r="F24">
        <f t="shared" si="0"/>
        <v>1.5754574314907899E-5</v>
      </c>
    </row>
    <row r="25" spans="2:6" x14ac:dyDescent="0.35">
      <c r="B25">
        <v>17</v>
      </c>
      <c r="C25">
        <v>3.0400000000000002E-4</v>
      </c>
      <c r="D25">
        <v>1.66E-4</v>
      </c>
      <c r="E25">
        <f>C25*(1-Per_Cent_Female)+'Life Tables'!D25*Per_Cent_Female</f>
        <v>2.5294E-4</v>
      </c>
      <c r="F25">
        <f t="shared" si="0"/>
        <v>2.1080555159036507E-5</v>
      </c>
    </row>
    <row r="26" spans="2:6" x14ac:dyDescent="0.35">
      <c r="B26">
        <v>18</v>
      </c>
      <c r="C26">
        <v>4.3199999999999998E-4</v>
      </c>
      <c r="D26">
        <v>1.76E-4</v>
      </c>
      <c r="E26">
        <f>C26*(1-Per_Cent_Female)+'Life Tables'!D26*Per_Cent_Female</f>
        <v>3.3727999999999997E-4</v>
      </c>
      <c r="F26">
        <f t="shared" si="0"/>
        <v>2.8110617408261263E-5</v>
      </c>
    </row>
    <row r="27" spans="2:6" x14ac:dyDescent="0.35">
      <c r="B27">
        <v>19</v>
      </c>
      <c r="C27">
        <v>5.0199999999999995E-4</v>
      </c>
      <c r="D27">
        <v>1.9100000000000001E-4</v>
      </c>
      <c r="E27">
        <f>C27*(1-Per_Cent_Female)+'Life Tables'!D27*Per_Cent_Female</f>
        <v>3.8692999999999996E-4</v>
      </c>
      <c r="F27">
        <f t="shared" si="0"/>
        <v>3.2249366333170215E-5</v>
      </c>
    </row>
    <row r="28" spans="2:6" x14ac:dyDescent="0.35">
      <c r="B28">
        <v>20</v>
      </c>
      <c r="C28">
        <v>4.5600000000000003E-4</v>
      </c>
      <c r="D28">
        <v>2.22E-4</v>
      </c>
      <c r="E28">
        <f>C28*(1-Per_Cent_Female)+'Life Tables'!D28*Per_Cent_Female</f>
        <v>3.6941999999999997E-4</v>
      </c>
      <c r="F28">
        <f t="shared" si="0"/>
        <v>3.0789739656089665E-5</v>
      </c>
    </row>
    <row r="29" spans="2:6" x14ac:dyDescent="0.35">
      <c r="B29">
        <v>21</v>
      </c>
      <c r="C29">
        <v>4.9399999999999997E-4</v>
      </c>
      <c r="D29">
        <v>2.1100000000000001E-4</v>
      </c>
      <c r="E29">
        <f>C29*(1-Per_Cent_Female)+'Life Tables'!D29*Per_Cent_Female</f>
        <v>3.8928999999999998E-4</v>
      </c>
      <c r="F29">
        <f t="shared" si="0"/>
        <v>3.2446096629556997E-5</v>
      </c>
    </row>
    <row r="30" spans="2:6" x14ac:dyDescent="0.35">
      <c r="B30">
        <v>22</v>
      </c>
      <c r="C30">
        <v>5.0199999999999995E-4</v>
      </c>
      <c r="D30">
        <v>2.0799999999999999E-4</v>
      </c>
      <c r="E30">
        <f>C30*(1-Per_Cent_Female)+'Life Tables'!D30*Per_Cent_Female</f>
        <v>3.9321999999999995E-4</v>
      </c>
      <c r="F30">
        <f t="shared" si="0"/>
        <v>3.2773703448119029E-5</v>
      </c>
    </row>
    <row r="31" spans="2:6" x14ac:dyDescent="0.35">
      <c r="B31">
        <v>23</v>
      </c>
      <c r="C31">
        <v>5.5099999999999995E-4</v>
      </c>
      <c r="D31">
        <v>2.42E-4</v>
      </c>
      <c r="E31">
        <f>C31*(1-Per_Cent_Female)+'Life Tables'!D31*Per_Cent_Female</f>
        <v>4.3666999999999995E-4</v>
      </c>
      <c r="F31">
        <f t="shared" si="0"/>
        <v>3.6395789299259462E-5</v>
      </c>
    </row>
    <row r="32" spans="2:6" x14ac:dyDescent="0.35">
      <c r="B32">
        <v>24</v>
      </c>
      <c r="C32">
        <v>5.13E-4</v>
      </c>
      <c r="D32">
        <v>2.4000000000000001E-4</v>
      </c>
      <c r="E32">
        <f>C32*(1-Per_Cent_Female)+'Life Tables'!D32*Per_Cent_Female</f>
        <v>4.1198999999999999E-4</v>
      </c>
      <c r="F32">
        <f t="shared" si="0"/>
        <v>3.4338395093813645E-5</v>
      </c>
    </row>
    <row r="33" spans="2:6" x14ac:dyDescent="0.35">
      <c r="B33">
        <v>25</v>
      </c>
      <c r="C33">
        <v>5.2499999999999997E-4</v>
      </c>
      <c r="D33">
        <v>2.31E-4</v>
      </c>
      <c r="E33">
        <f>C33*(1-Per_Cent_Female)+'Life Tables'!D33*Per_Cent_Female</f>
        <v>4.1622000000000002E-4</v>
      </c>
      <c r="F33">
        <f t="shared" si="0"/>
        <v>3.4691016783550133E-5</v>
      </c>
    </row>
    <row r="34" spans="2:6" x14ac:dyDescent="0.35">
      <c r="B34">
        <v>26</v>
      </c>
      <c r="C34">
        <v>6.3299999999999999E-4</v>
      </c>
      <c r="D34">
        <v>2.7E-4</v>
      </c>
      <c r="E34">
        <f>C34*(1-Per_Cent_Female)+'Life Tables'!D34*Per_Cent_Female</f>
        <v>4.9868999999999998E-4</v>
      </c>
      <c r="F34">
        <f t="shared" si="0"/>
        <v>4.1566137773507705E-5</v>
      </c>
    </row>
    <row r="35" spans="2:6" x14ac:dyDescent="0.35">
      <c r="B35">
        <v>27</v>
      </c>
      <c r="C35">
        <v>6.0400000000000004E-4</v>
      </c>
      <c r="D35">
        <v>3.0200000000000002E-4</v>
      </c>
      <c r="E35">
        <f>C35*(1-Per_Cent_Female)+'Life Tables'!D35*Per_Cent_Female</f>
        <v>4.9226000000000001E-4</v>
      </c>
      <c r="F35">
        <f t="shared" si="0"/>
        <v>4.1030083095860981E-5</v>
      </c>
    </row>
    <row r="36" spans="2:6" x14ac:dyDescent="0.35">
      <c r="B36">
        <v>28</v>
      </c>
      <c r="C36">
        <v>6.6299999999999996E-4</v>
      </c>
      <c r="D36">
        <v>3.0699999999999998E-4</v>
      </c>
      <c r="E36">
        <f>C36*(1-Per_Cent_Female)+'Life Tables'!D36*Per_Cent_Female</f>
        <v>5.3127999999999997E-4</v>
      </c>
      <c r="F36">
        <f t="shared" si="0"/>
        <v>4.428313717119714E-5</v>
      </c>
    </row>
    <row r="37" spans="2:6" x14ac:dyDescent="0.35">
      <c r="B37">
        <v>29</v>
      </c>
      <c r="C37">
        <v>7.3899999999999997E-4</v>
      </c>
      <c r="D37">
        <v>3.3799999999999998E-4</v>
      </c>
      <c r="E37">
        <f>C37*(1-Per_Cent_Female)+'Life Tables'!D37*Per_Cent_Female</f>
        <v>5.9062999999999997E-4</v>
      </c>
      <c r="F37">
        <f t="shared" si="0"/>
        <v>4.9231283692163785E-5</v>
      </c>
    </row>
    <row r="38" spans="2:6" x14ac:dyDescent="0.35">
      <c r="B38">
        <v>30</v>
      </c>
      <c r="C38">
        <v>7.4899999999999999E-4</v>
      </c>
      <c r="D38">
        <v>3.5100000000000002E-4</v>
      </c>
      <c r="E38">
        <f>C38*(1-Per_Cent_Female)+'Life Tables'!D38*Per_Cent_Female</f>
        <v>6.0174000000000002E-4</v>
      </c>
      <c r="F38">
        <f t="shared" si="0"/>
        <v>5.015757725146397E-5</v>
      </c>
    </row>
    <row r="39" spans="2:6" x14ac:dyDescent="0.35">
      <c r="B39">
        <v>31</v>
      </c>
      <c r="C39">
        <v>8.6700000000000004E-4</v>
      </c>
      <c r="D39">
        <v>3.8699999999999997E-4</v>
      </c>
      <c r="E39">
        <f>C39*(1-Per_Cent_Female)+'Life Tables'!D39*Per_Cent_Female</f>
        <v>6.8939999999999995E-4</v>
      </c>
      <c r="F39">
        <f t="shared" si="0"/>
        <v>5.746650950000376E-5</v>
      </c>
    </row>
    <row r="40" spans="2:6" x14ac:dyDescent="0.35">
      <c r="B40">
        <v>32</v>
      </c>
      <c r="C40">
        <v>8.83E-4</v>
      </c>
      <c r="D40">
        <v>4.4200000000000001E-4</v>
      </c>
      <c r="E40">
        <f>C40*(1-Per_Cent_Female)+'Life Tables'!D40*Per_Cent_Female</f>
        <v>7.1982999999999997E-4</v>
      </c>
      <c r="F40">
        <f t="shared" ref="F40:F71" si="1">IF(E40=1,1,1-EXP(-(1-EXP(Days_per_Month/Days_per_Year/(_xlfn.IFNA(B41-B40,1))*LN(1-E40)))))</f>
        <v>6.0003832788702027E-5</v>
      </c>
    </row>
    <row r="41" spans="2:6" x14ac:dyDescent="0.35">
      <c r="B41">
        <v>33</v>
      </c>
      <c r="C41">
        <v>9.4899999999999997E-4</v>
      </c>
      <c r="D41">
        <v>4.7699999999999999E-4</v>
      </c>
      <c r="E41">
        <f>C41*(1-Per_Cent_Female)+'Life Tables'!D41*Per_Cent_Female</f>
        <v>7.7435999999999998E-4</v>
      </c>
      <c r="F41">
        <f t="shared" si="1"/>
        <v>6.4550830507492662E-5</v>
      </c>
    </row>
    <row r="42" spans="2:6" x14ac:dyDescent="0.35">
      <c r="B42">
        <v>34</v>
      </c>
      <c r="C42">
        <v>9.810000000000001E-4</v>
      </c>
      <c r="D42">
        <v>5.4500000000000002E-4</v>
      </c>
      <c r="E42">
        <f>C42*(1-Per_Cent_Female)+'Life Tables'!D42*Per_Cent_Female</f>
        <v>8.1968000000000015E-4</v>
      </c>
      <c r="F42">
        <f t="shared" si="1"/>
        <v>6.833000741601758E-5</v>
      </c>
    </row>
    <row r="43" spans="2:6" x14ac:dyDescent="0.35">
      <c r="B43">
        <v>35</v>
      </c>
      <c r="C43">
        <v>1.091E-3</v>
      </c>
      <c r="D43">
        <v>6.1399999999999996E-4</v>
      </c>
      <c r="E43">
        <f>C43*(1-Per_Cent_Female)+'Life Tables'!D43*Per_Cent_Female</f>
        <v>9.1451E-4</v>
      </c>
      <c r="F43">
        <f t="shared" si="1"/>
        <v>7.6238222165514458E-5</v>
      </c>
    </row>
    <row r="44" spans="2:6" x14ac:dyDescent="0.35">
      <c r="B44">
        <v>36</v>
      </c>
      <c r="C44">
        <v>1.1919999999999999E-3</v>
      </c>
      <c r="D44">
        <v>5.8E-4</v>
      </c>
      <c r="E44">
        <f>C44*(1-Per_Cent_Female)+'Life Tables'!D44*Per_Cent_Female</f>
        <v>9.6555999999999996E-4</v>
      </c>
      <c r="F44">
        <f t="shared" si="1"/>
        <v>8.0495724274820546E-5</v>
      </c>
    </row>
    <row r="45" spans="2:6" x14ac:dyDescent="0.35">
      <c r="B45">
        <v>37</v>
      </c>
      <c r="C45">
        <v>1.276E-3</v>
      </c>
      <c r="D45">
        <v>7.1500000000000003E-4</v>
      </c>
      <c r="E45">
        <f>C45*(1-Per_Cent_Female)+'Life Tables'!D45*Per_Cent_Female</f>
        <v>1.06843E-3</v>
      </c>
      <c r="F45">
        <f t="shared" si="1"/>
        <v>8.9075496248924857E-5</v>
      </c>
    </row>
    <row r="46" spans="2:6" x14ac:dyDescent="0.35">
      <c r="B46">
        <v>38</v>
      </c>
      <c r="C46">
        <v>1.3730000000000001E-3</v>
      </c>
      <c r="D46">
        <v>8.3900000000000001E-4</v>
      </c>
      <c r="E46">
        <f>C46*(1-Per_Cent_Female)+'Life Tables'!D46*Per_Cent_Female</f>
        <v>1.1754199999999999E-3</v>
      </c>
      <c r="F46">
        <f t="shared" si="1"/>
        <v>9.7999673956628008E-5</v>
      </c>
    </row>
    <row r="47" spans="2:6" x14ac:dyDescent="0.35">
      <c r="B47">
        <v>39</v>
      </c>
      <c r="C47">
        <v>1.549E-3</v>
      </c>
      <c r="D47">
        <v>8.9800000000000004E-4</v>
      </c>
      <c r="E47">
        <f>C47*(1-Per_Cent_Female)+'Life Tables'!D47*Per_Cent_Female</f>
        <v>1.30813E-3</v>
      </c>
      <c r="F47">
        <f t="shared" si="1"/>
        <v>1.0907029790108158E-4</v>
      </c>
    </row>
    <row r="48" spans="2:6" x14ac:dyDescent="0.35">
      <c r="B48">
        <v>40</v>
      </c>
      <c r="C48">
        <v>1.653E-3</v>
      </c>
      <c r="D48">
        <v>9.6199999999999996E-4</v>
      </c>
      <c r="E48">
        <f>C48*(1-Per_Cent_Female)+'Life Tables'!D48*Per_Cent_Female</f>
        <v>1.3973299999999998E-3</v>
      </c>
      <c r="F48">
        <f t="shared" si="1"/>
        <v>1.1651202110030123E-4</v>
      </c>
    </row>
    <row r="49" spans="2:6" x14ac:dyDescent="0.35">
      <c r="B49">
        <v>41</v>
      </c>
      <c r="C49">
        <v>1.8079999999999999E-3</v>
      </c>
      <c r="D49">
        <v>1.024E-3</v>
      </c>
      <c r="E49">
        <f>C49*(1-Per_Cent_Female)+'Life Tables'!D49*Per_Cent_Female</f>
        <v>1.5179200000000001E-3</v>
      </c>
      <c r="F49">
        <f t="shared" si="1"/>
        <v>1.2657341078015083E-4</v>
      </c>
    </row>
    <row r="50" spans="2:6" x14ac:dyDescent="0.35">
      <c r="B50">
        <v>42</v>
      </c>
      <c r="C50">
        <v>1.8649999999999999E-3</v>
      </c>
      <c r="D50">
        <v>1.1770000000000001E-3</v>
      </c>
      <c r="E50">
        <f>C50*(1-Per_Cent_Female)+'Life Tables'!D50*Per_Cent_Female</f>
        <v>1.6104399999999999E-3</v>
      </c>
      <c r="F50">
        <f t="shared" si="1"/>
        <v>1.342934751377145E-4</v>
      </c>
    </row>
    <row r="51" spans="2:6" x14ac:dyDescent="0.35">
      <c r="B51">
        <v>43</v>
      </c>
      <c r="C51">
        <v>2.0279999999999999E-3</v>
      </c>
      <c r="D51">
        <v>1.183E-3</v>
      </c>
      <c r="E51">
        <f>C51*(1-Per_Cent_Female)+'Life Tables'!D51*Per_Cent_Female</f>
        <v>1.71535E-3</v>
      </c>
      <c r="F51">
        <f t="shared" si="1"/>
        <v>1.4304810860699124E-4</v>
      </c>
    </row>
    <row r="52" spans="2:6" x14ac:dyDescent="0.35">
      <c r="B52">
        <v>44</v>
      </c>
      <c r="C52">
        <v>2.2049999999999999E-3</v>
      </c>
      <c r="D52">
        <v>1.333E-3</v>
      </c>
      <c r="E52">
        <f>C52*(1-Per_Cent_Female)+'Life Tables'!D52*Per_Cent_Female</f>
        <v>1.88236E-3</v>
      </c>
      <c r="F52">
        <f t="shared" si="1"/>
        <v>1.5698650621986943E-4</v>
      </c>
    </row>
    <row r="53" spans="2:6" x14ac:dyDescent="0.35">
      <c r="B53">
        <v>45</v>
      </c>
      <c r="C53">
        <v>2.4020000000000001E-3</v>
      </c>
      <c r="D53">
        <v>1.415E-3</v>
      </c>
      <c r="E53">
        <f>C53*(1-Per_Cent_Female)+'Life Tables'!D53*Per_Cent_Female</f>
        <v>2.03681E-3</v>
      </c>
      <c r="F53">
        <f t="shared" si="1"/>
        <v>1.6987839547921713E-4</v>
      </c>
    </row>
    <row r="54" spans="2:6" x14ac:dyDescent="0.35">
      <c r="B54">
        <v>46</v>
      </c>
      <c r="C54">
        <v>2.5660000000000001E-3</v>
      </c>
      <c r="D54">
        <v>1.5759999999999999E-3</v>
      </c>
      <c r="E54">
        <f>C54*(1-Per_Cent_Female)+'Life Tables'!D54*Per_Cent_Female</f>
        <v>2.1997000000000002E-3</v>
      </c>
      <c r="F54">
        <f t="shared" si="1"/>
        <v>1.8347657028972009E-4</v>
      </c>
    </row>
    <row r="55" spans="2:6" x14ac:dyDescent="0.35">
      <c r="B55">
        <v>47</v>
      </c>
      <c r="C55">
        <v>2.8670000000000002E-3</v>
      </c>
      <c r="D55">
        <v>1.8420000000000001E-3</v>
      </c>
      <c r="E55">
        <f>C55*(1-Per_Cent_Female)+'Life Tables'!D55*Per_Cent_Female</f>
        <v>2.4877500000000004E-3</v>
      </c>
      <c r="F55">
        <f t="shared" si="1"/>
        <v>2.0752772112919704E-4</v>
      </c>
    </row>
    <row r="56" spans="2:6" x14ac:dyDescent="0.35">
      <c r="B56">
        <v>48</v>
      </c>
      <c r="C56">
        <v>3.1470000000000001E-3</v>
      </c>
      <c r="D56">
        <v>1.9220000000000001E-3</v>
      </c>
      <c r="E56">
        <f>C56*(1-Per_Cent_Female)+'Life Tables'!D56*Per_Cent_Female</f>
        <v>2.69375E-3</v>
      </c>
      <c r="F56">
        <f t="shared" si="1"/>
        <v>2.2473153859581263E-4</v>
      </c>
    </row>
    <row r="57" spans="2:6" x14ac:dyDescent="0.35">
      <c r="B57">
        <v>49</v>
      </c>
      <c r="C57">
        <v>3.3869999999999998E-3</v>
      </c>
      <c r="D57">
        <v>2.0860000000000002E-3</v>
      </c>
      <c r="E57">
        <f>C57*(1-Per_Cent_Female)+'Life Tables'!D57*Per_Cent_Female</f>
        <v>2.9056300000000002E-3</v>
      </c>
      <c r="F57">
        <f t="shared" si="1"/>
        <v>2.424295061248527E-4</v>
      </c>
    </row>
    <row r="58" spans="2:6" x14ac:dyDescent="0.35">
      <c r="B58">
        <v>50</v>
      </c>
      <c r="C58">
        <v>3.699E-3</v>
      </c>
      <c r="D58">
        <v>2.3040000000000001E-3</v>
      </c>
      <c r="E58">
        <f>C58*(1-Per_Cent_Female)+'Life Tables'!D58*Per_Cent_Female</f>
        <v>3.1828500000000001E-3</v>
      </c>
      <c r="F58">
        <f t="shared" si="1"/>
        <v>2.6558994351588705E-4</v>
      </c>
    </row>
    <row r="59" spans="2:6" x14ac:dyDescent="0.35">
      <c r="B59">
        <v>51</v>
      </c>
      <c r="C59">
        <v>3.947E-3</v>
      </c>
      <c r="D59">
        <v>2.454E-3</v>
      </c>
      <c r="E59">
        <f>C59*(1-Per_Cent_Female)+'Life Tables'!D59*Per_Cent_Female</f>
        <v>3.3945900000000003E-3</v>
      </c>
      <c r="F59">
        <f t="shared" si="1"/>
        <v>2.8328344835737429E-4</v>
      </c>
    </row>
    <row r="60" spans="2:6" x14ac:dyDescent="0.35">
      <c r="B60">
        <v>52</v>
      </c>
      <c r="C60">
        <v>4.3579999999999999E-3</v>
      </c>
      <c r="D60">
        <v>2.5769999999999999E-3</v>
      </c>
      <c r="E60">
        <f>C60*(1-Per_Cent_Female)+'Life Tables'!D60*Per_Cent_Female</f>
        <v>3.6990299999999999E-3</v>
      </c>
      <c r="F60">
        <f t="shared" si="1"/>
        <v>3.0872867971476481E-4</v>
      </c>
    </row>
    <row r="61" spans="2:6" x14ac:dyDescent="0.35">
      <c r="B61">
        <v>53</v>
      </c>
      <c r="C61">
        <v>4.5890000000000002E-3</v>
      </c>
      <c r="D61">
        <v>2.882E-3</v>
      </c>
      <c r="E61">
        <f>C61*(1-Per_Cent_Female)+'Life Tables'!D61*Per_Cent_Female</f>
        <v>3.9574100000000006E-3</v>
      </c>
      <c r="F61">
        <f t="shared" si="1"/>
        <v>3.3032927946341495E-4</v>
      </c>
    </row>
    <row r="62" spans="2:6" x14ac:dyDescent="0.35">
      <c r="B62">
        <v>54</v>
      </c>
      <c r="C62">
        <v>4.9430000000000003E-3</v>
      </c>
      <c r="D62">
        <v>3.081E-3</v>
      </c>
      <c r="E62">
        <f>C62*(1-Per_Cent_Female)+'Life Tables'!D62*Per_Cent_Female</f>
        <v>4.2540600000000005E-3</v>
      </c>
      <c r="F62">
        <f t="shared" si="1"/>
        <v>3.5513501495487709E-4</v>
      </c>
    </row>
    <row r="63" spans="2:6" x14ac:dyDescent="0.35">
      <c r="B63">
        <v>55</v>
      </c>
      <c r="C63">
        <v>5.3099999999999996E-3</v>
      </c>
      <c r="D63">
        <v>3.3869999999999998E-3</v>
      </c>
      <c r="E63">
        <f>C63*(1-Per_Cent_Female)+'Life Tables'!D63*Per_Cent_Female</f>
        <v>4.5984900000000002E-3</v>
      </c>
      <c r="F63">
        <f t="shared" si="1"/>
        <v>3.8394381947504108E-4</v>
      </c>
    </row>
    <row r="64" spans="2:6" x14ac:dyDescent="0.35">
      <c r="B64">
        <v>56</v>
      </c>
      <c r="C64">
        <v>5.7460000000000002E-3</v>
      </c>
      <c r="D64">
        <v>3.699E-3</v>
      </c>
      <c r="E64">
        <f>C64*(1-Per_Cent_Female)+'Life Tables'!D64*Per_Cent_Female</f>
        <v>4.9886100000000001E-3</v>
      </c>
      <c r="F64">
        <f t="shared" si="1"/>
        <v>4.1658426090551703E-4</v>
      </c>
    </row>
    <row r="65" spans="2:6" x14ac:dyDescent="0.35">
      <c r="B65">
        <v>57</v>
      </c>
      <c r="C65">
        <v>6.254E-3</v>
      </c>
      <c r="D65">
        <v>4.0150000000000003E-3</v>
      </c>
      <c r="E65">
        <f>C65*(1-Per_Cent_Female)+'Life Tables'!D65*Per_Cent_Female</f>
        <v>5.4255700000000002E-3</v>
      </c>
      <c r="F65">
        <f t="shared" si="1"/>
        <v>4.5315636232168277E-4</v>
      </c>
    </row>
    <row r="66" spans="2:6" x14ac:dyDescent="0.35">
      <c r="B66">
        <v>58</v>
      </c>
      <c r="C66">
        <v>6.7499999999999999E-3</v>
      </c>
      <c r="D66">
        <v>4.274E-3</v>
      </c>
      <c r="E66">
        <f>C66*(1-Per_Cent_Female)+'Life Tables'!D66*Per_Cent_Female</f>
        <v>5.8338800000000005E-3</v>
      </c>
      <c r="F66">
        <f t="shared" si="1"/>
        <v>4.8734265806460453E-4</v>
      </c>
    </row>
    <row r="67" spans="2:6" x14ac:dyDescent="0.35">
      <c r="B67">
        <v>59</v>
      </c>
      <c r="C67">
        <v>7.2249999999999997E-3</v>
      </c>
      <c r="D67">
        <v>4.646E-3</v>
      </c>
      <c r="E67">
        <f>C67*(1-Per_Cent_Female)+'Life Tables'!D67*Per_Cent_Female</f>
        <v>6.2707700000000002E-3</v>
      </c>
      <c r="F67">
        <f t="shared" si="1"/>
        <v>5.2393481281942655E-4</v>
      </c>
    </row>
    <row r="68" spans="2:6" x14ac:dyDescent="0.35">
      <c r="B68">
        <v>60</v>
      </c>
      <c r="C68">
        <v>8.0319999999999992E-3</v>
      </c>
      <c r="D68">
        <v>5.1070000000000004E-3</v>
      </c>
      <c r="E68">
        <f>C68*(1-Per_Cent_Female)+'Life Tables'!D68*Per_Cent_Female</f>
        <v>6.9497499999999993E-3</v>
      </c>
      <c r="F68">
        <f t="shared" si="1"/>
        <v>5.808300732927929E-4</v>
      </c>
    </row>
    <row r="69" spans="2:6" x14ac:dyDescent="0.35">
      <c r="B69">
        <v>61</v>
      </c>
      <c r="C69">
        <v>8.855E-3</v>
      </c>
      <c r="D69">
        <v>5.4530000000000004E-3</v>
      </c>
      <c r="E69">
        <f>C69*(1-Per_Cent_Female)+'Life Tables'!D69*Per_Cent_Female</f>
        <v>7.5962600000000005E-3</v>
      </c>
      <c r="F69">
        <f t="shared" si="1"/>
        <v>6.350346428198872E-4</v>
      </c>
    </row>
    <row r="70" spans="2:6" x14ac:dyDescent="0.35">
      <c r="B70">
        <v>62</v>
      </c>
      <c r="C70">
        <v>9.58E-3</v>
      </c>
      <c r="D70">
        <v>6.1539999999999997E-3</v>
      </c>
      <c r="E70">
        <f>C70*(1-Per_Cent_Female)+'Life Tables'!D70*Per_Cent_Female</f>
        <v>8.3123799999999994E-3</v>
      </c>
      <c r="F70">
        <f t="shared" si="1"/>
        <v>6.9510980367959441E-4</v>
      </c>
    </row>
    <row r="71" spans="2:6" x14ac:dyDescent="0.35">
      <c r="B71">
        <v>63</v>
      </c>
      <c r="C71">
        <v>1.0363000000000001E-2</v>
      </c>
      <c r="D71">
        <v>6.803E-3</v>
      </c>
      <c r="E71">
        <f>C71*(1-Per_Cent_Female)+'Life Tables'!D71*Per_Cent_Female</f>
        <v>9.0457999999999997E-3</v>
      </c>
      <c r="F71">
        <f t="shared" si="1"/>
        <v>7.5667374422505596E-4</v>
      </c>
    </row>
    <row r="72" spans="2:6" x14ac:dyDescent="0.35">
      <c r="B72">
        <v>64</v>
      </c>
      <c r="C72">
        <v>1.1379999999999999E-2</v>
      </c>
      <c r="D72">
        <v>7.4799999999999997E-3</v>
      </c>
      <c r="E72">
        <f>C72*(1-Per_Cent_Female)+'Life Tables'!D72*Per_Cent_Female</f>
        <v>9.9369999999999997E-3</v>
      </c>
      <c r="F72">
        <f t="shared" ref="F72:F103" si="2">IF(E72=1,1,1-EXP(-(1-EXP(Days_per_Month/Days_per_Year/(_xlfn.IFNA(B73-B72,1))*LN(1-E72)))))</f>
        <v>8.3153300758564974E-4</v>
      </c>
    </row>
    <row r="73" spans="2:6" x14ac:dyDescent="0.35">
      <c r="B73">
        <v>65</v>
      </c>
      <c r="C73">
        <v>1.2389000000000001E-2</v>
      </c>
      <c r="D73">
        <v>8.0420000000000005E-3</v>
      </c>
      <c r="E73">
        <f>C73*(1-Per_Cent_Female)+'Life Tables'!D73*Per_Cent_Female</f>
        <v>1.0780610000000001E-2</v>
      </c>
      <c r="F73">
        <f t="shared" si="2"/>
        <v>9.0244655085336412E-4</v>
      </c>
    </row>
    <row r="74" spans="2:6" x14ac:dyDescent="0.35">
      <c r="B74">
        <v>66</v>
      </c>
      <c r="C74">
        <v>1.3665999999999999E-2</v>
      </c>
      <c r="D74">
        <v>8.9969999999999998E-3</v>
      </c>
      <c r="E74">
        <f>C74*(1-Per_Cent_Female)+'Life Tables'!D74*Per_Cent_Female</f>
        <v>1.193847E-2</v>
      </c>
      <c r="F74">
        <f t="shared" si="2"/>
        <v>9.9985793693413427E-4</v>
      </c>
    </row>
    <row r="75" spans="2:6" x14ac:dyDescent="0.35">
      <c r="B75">
        <v>67</v>
      </c>
      <c r="C75">
        <v>1.5075E-2</v>
      </c>
      <c r="D75">
        <v>9.8099999999999993E-3</v>
      </c>
      <c r="E75">
        <f>C75*(1-Per_Cent_Female)+'Life Tables'!D75*Per_Cent_Female</f>
        <v>1.312695E-2</v>
      </c>
      <c r="F75">
        <f t="shared" si="2"/>
        <v>1.0999443932893094E-3</v>
      </c>
    </row>
    <row r="76" spans="2:6" x14ac:dyDescent="0.35">
      <c r="B76">
        <v>68</v>
      </c>
      <c r="C76">
        <v>1.6594000000000001E-2</v>
      </c>
      <c r="D76">
        <v>1.0806E-2</v>
      </c>
      <c r="E76">
        <f>C76*(1-Per_Cent_Female)+'Life Tables'!D76*Per_Cent_Female</f>
        <v>1.445244E-2</v>
      </c>
      <c r="F76">
        <f t="shared" si="2"/>
        <v>1.2116875502521385E-3</v>
      </c>
    </row>
    <row r="77" spans="2:6" x14ac:dyDescent="0.35">
      <c r="B77">
        <v>69</v>
      </c>
      <c r="C77">
        <v>1.7954000000000001E-2</v>
      </c>
      <c r="D77">
        <v>1.1665E-2</v>
      </c>
      <c r="E77">
        <f>C77*(1-Per_Cent_Female)+'Life Tables'!D77*Per_Cent_Female</f>
        <v>1.562707E-2</v>
      </c>
      <c r="F77">
        <f t="shared" si="2"/>
        <v>1.3108174445860543E-3</v>
      </c>
    </row>
    <row r="78" spans="2:6" x14ac:dyDescent="0.35">
      <c r="B78">
        <v>70</v>
      </c>
      <c r="C78">
        <v>1.9639E-2</v>
      </c>
      <c r="D78">
        <v>1.298E-2</v>
      </c>
      <c r="E78">
        <f>C78*(1-Per_Cent_Female)+'Life Tables'!D78*Per_Cent_Female</f>
        <v>1.717517E-2</v>
      </c>
      <c r="F78">
        <f t="shared" si="2"/>
        <v>1.4416160833669034E-3</v>
      </c>
    </row>
    <row r="79" spans="2:6" x14ac:dyDescent="0.35">
      <c r="B79">
        <v>71</v>
      </c>
      <c r="C79">
        <v>2.1509E-2</v>
      </c>
      <c r="D79">
        <v>1.3979999999999999E-2</v>
      </c>
      <c r="E79">
        <f>C79*(1-Per_Cent_Female)+'Life Tables'!D79*Per_Cent_Female</f>
        <v>1.872327E-2</v>
      </c>
      <c r="F79">
        <f t="shared" si="2"/>
        <v>1.5725865497306923E-3</v>
      </c>
    </row>
    <row r="80" spans="2:6" x14ac:dyDescent="0.35">
      <c r="B80">
        <v>72</v>
      </c>
      <c r="C80">
        <v>2.3699000000000001E-2</v>
      </c>
      <c r="D80">
        <v>1.5350000000000001E-2</v>
      </c>
      <c r="E80">
        <f>C80*(1-Per_Cent_Female)+'Life Tables'!D80*Per_Cent_Female</f>
        <v>2.0609870000000002E-2</v>
      </c>
      <c r="F80">
        <f t="shared" si="2"/>
        <v>1.732427396286651E-3</v>
      </c>
    </row>
    <row r="81" spans="2:6" x14ac:dyDescent="0.35">
      <c r="B81">
        <v>73</v>
      </c>
      <c r="C81">
        <v>2.5409999999999999E-2</v>
      </c>
      <c r="D81">
        <v>1.6933E-2</v>
      </c>
      <c r="E81">
        <f>C81*(1-Per_Cent_Female)+'Life Tables'!D81*Per_Cent_Female</f>
        <v>2.227351E-2</v>
      </c>
      <c r="F81">
        <f t="shared" si="2"/>
        <v>1.8735911846904374E-3</v>
      </c>
    </row>
    <row r="82" spans="2:6" x14ac:dyDescent="0.35">
      <c r="B82">
        <v>74</v>
      </c>
      <c r="C82">
        <v>2.7562E-2</v>
      </c>
      <c r="D82">
        <v>1.8619E-2</v>
      </c>
      <c r="E82">
        <f>C82*(1-Per_Cent_Female)+'Life Tables'!D82*Per_Cent_Female</f>
        <v>2.4253090000000001E-2</v>
      </c>
      <c r="F82">
        <f t="shared" si="2"/>
        <v>2.041824306980744E-3</v>
      </c>
    </row>
    <row r="83" spans="2:6" x14ac:dyDescent="0.35">
      <c r="B83">
        <v>75</v>
      </c>
      <c r="C83">
        <v>3.0558999999999999E-2</v>
      </c>
      <c r="D83">
        <v>2.1062999999999998E-2</v>
      </c>
      <c r="E83">
        <f>C83*(1-Per_Cent_Female)+'Life Tables'!D83*Per_Cent_Female</f>
        <v>2.7045479999999997E-2</v>
      </c>
      <c r="F83">
        <f t="shared" si="2"/>
        <v>2.2796178093119623E-3</v>
      </c>
    </row>
    <row r="84" spans="2:6" x14ac:dyDescent="0.35">
      <c r="B84">
        <v>76</v>
      </c>
      <c r="C84">
        <v>3.4411999999999998E-2</v>
      </c>
      <c r="D84">
        <v>2.3411000000000001E-2</v>
      </c>
      <c r="E84">
        <f>C84*(1-Per_Cent_Female)+'Life Tables'!D84*Per_Cent_Female</f>
        <v>3.0341630000000001E-2</v>
      </c>
      <c r="F84">
        <f t="shared" si="2"/>
        <v>2.5610435121949937E-3</v>
      </c>
    </row>
    <row r="85" spans="2:6" x14ac:dyDescent="0.35">
      <c r="B85">
        <v>77</v>
      </c>
      <c r="C85">
        <v>3.8379000000000003E-2</v>
      </c>
      <c r="D85">
        <v>2.6863999999999999E-2</v>
      </c>
      <c r="E85">
        <f>C85*(1-Per_Cent_Female)+'Life Tables'!D85*Per_Cent_Female</f>
        <v>3.4118450000000002E-2</v>
      </c>
      <c r="F85">
        <f t="shared" si="2"/>
        <v>2.8844908891774157E-3</v>
      </c>
    </row>
    <row r="86" spans="2:6" x14ac:dyDescent="0.35">
      <c r="B86">
        <v>78</v>
      </c>
      <c r="C86">
        <v>4.3246E-2</v>
      </c>
      <c r="D86">
        <v>3.0072999999999999E-2</v>
      </c>
      <c r="E86">
        <f>C86*(1-Per_Cent_Female)+'Life Tables'!D86*Per_Cent_Female</f>
        <v>3.8371989999999995E-2</v>
      </c>
      <c r="F86">
        <f t="shared" si="2"/>
        <v>3.2500293527140123E-3</v>
      </c>
    </row>
    <row r="87" spans="2:6" x14ac:dyDescent="0.35">
      <c r="B87">
        <v>79</v>
      </c>
      <c r="C87">
        <v>4.7924000000000001E-2</v>
      </c>
      <c r="D87">
        <v>3.3678E-2</v>
      </c>
      <c r="E87">
        <f>C87*(1-Per_Cent_Female)+'Life Tables'!D87*Per_Cent_Female</f>
        <v>4.265298E-2</v>
      </c>
      <c r="F87">
        <f t="shared" si="2"/>
        <v>3.6192902521909875E-3</v>
      </c>
    </row>
    <row r="88" spans="2:6" x14ac:dyDescent="0.35">
      <c r="B88">
        <v>80</v>
      </c>
      <c r="C88">
        <v>5.4809999999999998E-2</v>
      </c>
      <c r="D88">
        <v>3.9002000000000002E-2</v>
      </c>
      <c r="E88">
        <f>C88*(1-Per_Cent_Female)+'Life Tables'!D88*Per_Cent_Female</f>
        <v>4.8961039999999997E-2</v>
      </c>
      <c r="F88">
        <f t="shared" si="2"/>
        <v>4.1659145220621641E-3</v>
      </c>
    </row>
    <row r="89" spans="2:6" x14ac:dyDescent="0.35">
      <c r="B89">
        <v>81</v>
      </c>
      <c r="C89">
        <v>6.0928999999999997E-2</v>
      </c>
      <c r="D89">
        <v>4.4073000000000001E-2</v>
      </c>
      <c r="E89">
        <f>C89*(1-Per_Cent_Female)+'Life Tables'!D89*Per_Cent_Female</f>
        <v>5.4692279999999996E-2</v>
      </c>
      <c r="F89">
        <f t="shared" si="2"/>
        <v>4.6651815038590838E-3</v>
      </c>
    </row>
    <row r="90" spans="2:6" x14ac:dyDescent="0.35">
      <c r="B90">
        <v>82</v>
      </c>
      <c r="C90">
        <v>6.9091E-2</v>
      </c>
      <c r="D90">
        <v>4.9797000000000001E-2</v>
      </c>
      <c r="E90">
        <f>C90*(1-Per_Cent_Female)+'Life Tables'!D90*Per_Cent_Female</f>
        <v>6.1952220000000002E-2</v>
      </c>
      <c r="F90">
        <f t="shared" si="2"/>
        <v>5.3012544867806488E-3</v>
      </c>
    </row>
    <row r="91" spans="2:6" x14ac:dyDescent="0.35">
      <c r="B91">
        <v>83</v>
      </c>
      <c r="C91">
        <v>7.5578000000000006E-2</v>
      </c>
      <c r="D91">
        <v>5.5957E-2</v>
      </c>
      <c r="E91">
        <f>C91*(1-Per_Cent_Female)+'Life Tables'!D91*Per_Cent_Female</f>
        <v>6.8318230000000008E-2</v>
      </c>
      <c r="F91">
        <f t="shared" si="2"/>
        <v>5.8623931464689694E-3</v>
      </c>
    </row>
    <row r="92" spans="2:6" x14ac:dyDescent="0.35">
      <c r="B92">
        <v>84</v>
      </c>
      <c r="C92">
        <v>8.4871000000000002E-2</v>
      </c>
      <c r="D92">
        <v>6.3022999999999996E-2</v>
      </c>
      <c r="E92">
        <f>C92*(1-Per_Cent_Female)+'Life Tables'!D92*Per_Cent_Female</f>
        <v>7.6787239999999993E-2</v>
      </c>
      <c r="F92">
        <f t="shared" si="2"/>
        <v>6.6138797336633415E-3</v>
      </c>
    </row>
    <row r="93" spans="2:6" x14ac:dyDescent="0.35">
      <c r="B93">
        <v>85</v>
      </c>
      <c r="C93">
        <v>9.4935000000000005E-2</v>
      </c>
      <c r="D93">
        <v>7.1139999999999995E-2</v>
      </c>
      <c r="E93">
        <f>C93*(1-Per_Cent_Female)+'Life Tables'!D93*Per_Cent_Female</f>
        <v>8.6130850000000009E-2</v>
      </c>
      <c r="F93">
        <f t="shared" si="2"/>
        <v>7.4496721455530324E-3</v>
      </c>
    </row>
    <row r="94" spans="2:6" x14ac:dyDescent="0.35">
      <c r="B94">
        <v>86</v>
      </c>
      <c r="C94">
        <v>0.106503</v>
      </c>
      <c r="D94">
        <v>8.1536999999999998E-2</v>
      </c>
      <c r="E94">
        <f>C94*(1-Per_Cent_Female)+'Life Tables'!D94*Per_Cent_Female</f>
        <v>9.7265580000000004E-2</v>
      </c>
      <c r="F94">
        <f t="shared" si="2"/>
        <v>8.4550393826411385E-3</v>
      </c>
    </row>
    <row r="95" spans="2:6" x14ac:dyDescent="0.35">
      <c r="B95">
        <v>87</v>
      </c>
      <c r="C95">
        <v>0.12002400000000001</v>
      </c>
      <c r="D95">
        <v>9.1619999999999993E-2</v>
      </c>
      <c r="E95">
        <f>C95*(1-Per_Cent_Female)+'Life Tables'!D95*Per_Cent_Female</f>
        <v>0.10951452</v>
      </c>
      <c r="F95">
        <f t="shared" si="2"/>
        <v>9.5730280347814389E-3</v>
      </c>
    </row>
    <row r="96" spans="2:6" x14ac:dyDescent="0.35">
      <c r="B96">
        <v>88</v>
      </c>
      <c r="C96">
        <v>0.13526099999999999</v>
      </c>
      <c r="D96">
        <v>0.105934</v>
      </c>
      <c r="E96">
        <f>C96*(1-Per_Cent_Female)+'Life Tables'!D96*Per_Cent_Female</f>
        <v>0.12441000999999999</v>
      </c>
      <c r="F96">
        <f t="shared" si="2"/>
        <v>1.0949990159130452E-2</v>
      </c>
    </row>
    <row r="97" spans="2:6" x14ac:dyDescent="0.35">
      <c r="B97">
        <v>89</v>
      </c>
      <c r="C97">
        <v>0.150561</v>
      </c>
      <c r="D97">
        <v>0.11817800000000001</v>
      </c>
      <c r="E97">
        <f>C97*(1-Per_Cent_Female)+'Life Tables'!D97*Per_Cent_Female</f>
        <v>0.13857928999999999</v>
      </c>
      <c r="F97">
        <f t="shared" si="2"/>
        <v>1.2278077734983128E-2</v>
      </c>
    </row>
    <row r="98" spans="2:6" x14ac:dyDescent="0.35">
      <c r="B98">
        <v>90</v>
      </c>
      <c r="C98">
        <v>0.17042299999999999</v>
      </c>
      <c r="D98">
        <v>0.134099</v>
      </c>
      <c r="E98">
        <f>C98*(1-Per_Cent_Female)+'Life Tables'!D98*Per_Cent_Female</f>
        <v>0.15698311999999998</v>
      </c>
      <c r="F98">
        <f t="shared" si="2"/>
        <v>1.4030555072235273E-2</v>
      </c>
    </row>
    <row r="99" spans="2:6" x14ac:dyDescent="0.35">
      <c r="B99">
        <v>91</v>
      </c>
      <c r="C99">
        <v>0.18754000000000001</v>
      </c>
      <c r="D99">
        <v>0.15221799999999999</v>
      </c>
      <c r="E99">
        <f>C99*(1-Per_Cent_Female)+'Life Tables'!D99*Per_Cent_Female</f>
        <v>0.17447086000000001</v>
      </c>
      <c r="F99">
        <f t="shared" si="2"/>
        <v>1.5725635995728071E-2</v>
      </c>
    </row>
    <row r="100" spans="2:6" x14ac:dyDescent="0.35">
      <c r="B100">
        <v>92</v>
      </c>
      <c r="C100">
        <v>0.20976600000000001</v>
      </c>
      <c r="D100">
        <v>0.17122799999999999</v>
      </c>
      <c r="E100">
        <f>C100*(1-Per_Cent_Female)+'Life Tables'!D100*Per_Cent_Female</f>
        <v>0.19550694000000002</v>
      </c>
      <c r="F100">
        <f t="shared" si="2"/>
        <v>1.7804831133534038E-2</v>
      </c>
    </row>
    <row r="101" spans="2:6" x14ac:dyDescent="0.35">
      <c r="B101">
        <v>93</v>
      </c>
      <c r="C101">
        <v>0.22975899999999999</v>
      </c>
      <c r="D101">
        <v>0.19035099999999999</v>
      </c>
      <c r="E101">
        <f>C101*(1-Per_Cent_Female)+'Life Tables'!D101*Per_Cent_Female</f>
        <v>0.21517803999999996</v>
      </c>
      <c r="F101">
        <f t="shared" si="2"/>
        <v>1.9790592061666334E-2</v>
      </c>
    </row>
    <row r="102" spans="2:6" x14ac:dyDescent="0.35">
      <c r="B102">
        <v>94</v>
      </c>
      <c r="C102">
        <v>0.25412299999999999</v>
      </c>
      <c r="D102">
        <v>0.210095</v>
      </c>
      <c r="E102">
        <f>C102*(1-Per_Cent_Female)+'Life Tables'!D102*Per_Cent_Female</f>
        <v>0.23783263999999998</v>
      </c>
      <c r="F102">
        <f t="shared" si="2"/>
        <v>2.2129698849874591E-2</v>
      </c>
    </row>
    <row r="103" spans="2:6" x14ac:dyDescent="0.35">
      <c r="B103">
        <v>95</v>
      </c>
      <c r="C103">
        <v>0.27496500000000001</v>
      </c>
      <c r="D103">
        <v>0.230103</v>
      </c>
      <c r="E103">
        <f>C103*(1-Per_Cent_Female)+'Life Tables'!D103*Per_Cent_Female</f>
        <v>0.25836606000000001</v>
      </c>
      <c r="F103">
        <f t="shared" si="2"/>
        <v>2.4300510236848205E-2</v>
      </c>
    </row>
    <row r="104" spans="2:6" x14ac:dyDescent="0.35">
      <c r="B104">
        <v>96</v>
      </c>
      <c r="C104">
        <v>0.29870200000000002</v>
      </c>
      <c r="D104">
        <v>0.251247</v>
      </c>
      <c r="E104">
        <f>C104*(1-Per_Cent_Female)+'Life Tables'!D104*Per_Cent_Female</f>
        <v>0.28114365000000002</v>
      </c>
      <c r="F104">
        <f t="shared" ref="F104:F135" si="3">IF(E104=1,1,1-EXP(-(1-EXP(Days_per_Month/Days_per_Year/(_xlfn.IFNA(B105-B104,1))*LN(1-E104)))))</f>
        <v>2.676812573459042E-2</v>
      </c>
    </row>
    <row r="105" spans="2:6" x14ac:dyDescent="0.35">
      <c r="B105">
        <v>97</v>
      </c>
      <c r="C105">
        <v>0.32780599999999999</v>
      </c>
      <c r="D105">
        <v>0.278312</v>
      </c>
      <c r="E105">
        <f>C105*(1-Per_Cent_Female)+'Life Tables'!D105*Per_Cent_Female</f>
        <v>0.30949322000000001</v>
      </c>
      <c r="F105">
        <f t="shared" si="3"/>
        <v>2.9932340075274233E-2</v>
      </c>
    </row>
    <row r="106" spans="2:6" x14ac:dyDescent="0.35">
      <c r="B106">
        <v>98</v>
      </c>
      <c r="C106">
        <v>0.337947</v>
      </c>
      <c r="D106">
        <v>0.304062</v>
      </c>
      <c r="E106">
        <f>C106*(1-Per_Cent_Female)+'Life Tables'!D106*Per_Cent_Female</f>
        <v>0.32540954999999999</v>
      </c>
      <c r="F106">
        <f t="shared" si="3"/>
        <v>3.1756725144922449E-2</v>
      </c>
    </row>
    <row r="107" spans="2:6" x14ac:dyDescent="0.35">
      <c r="B107">
        <v>99</v>
      </c>
      <c r="C107">
        <v>0.37825900000000001</v>
      </c>
      <c r="D107">
        <v>0.32394400000000001</v>
      </c>
      <c r="E107">
        <f>C107*(1-Per_Cent_Female)+'Life Tables'!D107*Per_Cent_Female</f>
        <v>0.35816245000000002</v>
      </c>
      <c r="F107">
        <f t="shared" si="3"/>
        <v>3.5627153996814376E-2</v>
      </c>
    </row>
    <row r="108" spans="2:6" x14ac:dyDescent="0.35">
      <c r="B108">
        <v>100</v>
      </c>
      <c r="C108">
        <v>0.40347499999999997</v>
      </c>
      <c r="D108">
        <v>0.35231099999999999</v>
      </c>
      <c r="E108">
        <f>C108*(1-Per_Cent_Female)+'Life Tables'!D108*Per_Cent_Female</f>
        <v>0.38454431999999994</v>
      </c>
      <c r="F108">
        <f t="shared" si="3"/>
        <v>3.8866734643115852E-2</v>
      </c>
    </row>
    <row r="109" spans="2:6" x14ac:dyDescent="0.35">
      <c r="B109">
        <v>101</v>
      </c>
      <c r="C109">
        <v>1</v>
      </c>
      <c r="D109">
        <v>1</v>
      </c>
      <c r="E109">
        <f>C109*(1-Per_Cent_Female)+'Life Tables'!D109*Per_Cent_Female</f>
        <v>1</v>
      </c>
      <c r="F109">
        <f t="shared" si="3"/>
        <v>1</v>
      </c>
    </row>
    <row r="110" spans="2:6" x14ac:dyDescent="0.35">
      <c r="B110">
        <v>102</v>
      </c>
      <c r="C110">
        <v>1</v>
      </c>
      <c r="D110">
        <v>1</v>
      </c>
      <c r="E110">
        <f>C110*(1-Per_Cent_Female)+'Life Tables'!D110*Per_Cent_Female</f>
        <v>1</v>
      </c>
      <c r="F110">
        <f t="shared" si="3"/>
        <v>1</v>
      </c>
    </row>
    <row r="111" spans="2:6" x14ac:dyDescent="0.35">
      <c r="B111">
        <v>103</v>
      </c>
      <c r="C111">
        <v>1</v>
      </c>
      <c r="D111">
        <v>1</v>
      </c>
      <c r="E111">
        <f>C111*(1-Per_Cent_Female)+'Life Tables'!D111*Per_Cent_Female</f>
        <v>1</v>
      </c>
      <c r="F111">
        <f t="shared" si="3"/>
        <v>1</v>
      </c>
    </row>
    <row r="112" spans="2:6" x14ac:dyDescent="0.35">
      <c r="B112">
        <v>104</v>
      </c>
      <c r="C112">
        <v>1</v>
      </c>
      <c r="D112">
        <v>1</v>
      </c>
      <c r="E112">
        <f>C112*(1-Per_Cent_Female)+'Life Tables'!D112*Per_Cent_Female</f>
        <v>1</v>
      </c>
      <c r="F112">
        <f t="shared" si="3"/>
        <v>1</v>
      </c>
    </row>
    <row r="113" spans="2:6" x14ac:dyDescent="0.35">
      <c r="B113">
        <v>105</v>
      </c>
      <c r="C113">
        <v>1</v>
      </c>
      <c r="D113">
        <v>1</v>
      </c>
      <c r="E113">
        <f>C113*(1-Per_Cent_Female)+'Life Tables'!D113*Per_Cent_Female</f>
        <v>1</v>
      </c>
      <c r="F113">
        <f t="shared" si="3"/>
        <v>1</v>
      </c>
    </row>
    <row r="114" spans="2:6" x14ac:dyDescent="0.35">
      <c r="B114">
        <v>106</v>
      </c>
      <c r="C114">
        <v>1</v>
      </c>
      <c r="D114">
        <v>1</v>
      </c>
      <c r="E114">
        <f>C114*(1-Per_Cent_Female)+'Life Tables'!D114*Per_Cent_Female</f>
        <v>1</v>
      </c>
      <c r="F114">
        <f t="shared" si="3"/>
        <v>1</v>
      </c>
    </row>
    <row r="115" spans="2:6" x14ac:dyDescent="0.35">
      <c r="B115">
        <v>107</v>
      </c>
      <c r="C115">
        <v>1</v>
      </c>
      <c r="D115">
        <v>1</v>
      </c>
      <c r="E115">
        <f>C115*(1-Per_Cent_Female)+'Life Tables'!D115*Per_Cent_Female</f>
        <v>1</v>
      </c>
      <c r="F115">
        <f t="shared" si="3"/>
        <v>1</v>
      </c>
    </row>
    <row r="116" spans="2:6" x14ac:dyDescent="0.35">
      <c r="B116">
        <v>108</v>
      </c>
      <c r="C116">
        <v>1</v>
      </c>
      <c r="D116">
        <v>1</v>
      </c>
      <c r="E116">
        <f>C116*(1-Per_Cent_Female)+'Life Tables'!D116*Per_Cent_Female</f>
        <v>1</v>
      </c>
      <c r="F116">
        <f t="shared" si="3"/>
        <v>1</v>
      </c>
    </row>
    <row r="117" spans="2:6" x14ac:dyDescent="0.35">
      <c r="B117">
        <v>109</v>
      </c>
      <c r="C117">
        <v>1</v>
      </c>
      <c r="D117">
        <v>1</v>
      </c>
      <c r="E117">
        <f>C117*(1-Per_Cent_Female)+'Life Tables'!D117*Per_Cent_Female</f>
        <v>1</v>
      </c>
      <c r="F117">
        <f t="shared" si="3"/>
        <v>1</v>
      </c>
    </row>
    <row r="118" spans="2:6" x14ac:dyDescent="0.35">
      <c r="B118">
        <v>110</v>
      </c>
      <c r="C118">
        <v>1</v>
      </c>
      <c r="D118">
        <v>1</v>
      </c>
      <c r="E118">
        <f>C118*(1-Per_Cent_Female)+'Life Tables'!D118*Per_Cent_Female</f>
        <v>1</v>
      </c>
      <c r="F118">
        <f t="shared" si="3"/>
        <v>1</v>
      </c>
    </row>
    <row r="119" spans="2:6" x14ac:dyDescent="0.35">
      <c r="B119">
        <v>111</v>
      </c>
      <c r="C119">
        <v>1</v>
      </c>
      <c r="D119">
        <v>1</v>
      </c>
      <c r="E119">
        <f>C119*(1-Per_Cent_Female)+'Life Tables'!D119*Per_Cent_Female</f>
        <v>1</v>
      </c>
      <c r="F119">
        <f t="shared" si="3"/>
        <v>1</v>
      </c>
    </row>
    <row r="120" spans="2:6" x14ac:dyDescent="0.35">
      <c r="B120">
        <v>112</v>
      </c>
      <c r="C120">
        <v>1</v>
      </c>
      <c r="D120">
        <v>1</v>
      </c>
      <c r="E120">
        <f>C120*(1-Per_Cent_Female)+'Life Tables'!D120*Per_Cent_Female</f>
        <v>1</v>
      </c>
      <c r="F120">
        <f t="shared" si="3"/>
        <v>1</v>
      </c>
    </row>
    <row r="121" spans="2:6" x14ac:dyDescent="0.35">
      <c r="B121">
        <v>113</v>
      </c>
      <c r="C121">
        <v>1</v>
      </c>
      <c r="D121">
        <v>1</v>
      </c>
      <c r="E121">
        <f>C121*(1-Per_Cent_Female)+'Life Tables'!D121*Per_Cent_Female</f>
        <v>1</v>
      </c>
      <c r="F121">
        <f t="shared" si="3"/>
        <v>1</v>
      </c>
    </row>
    <row r="122" spans="2:6" x14ac:dyDescent="0.35">
      <c r="B122">
        <v>114</v>
      </c>
      <c r="C122">
        <v>1</v>
      </c>
      <c r="D122">
        <v>1</v>
      </c>
      <c r="E122">
        <f>C122*(1-Per_Cent_Female)+'Life Tables'!D122*Per_Cent_Female</f>
        <v>1</v>
      </c>
      <c r="F122">
        <f t="shared" si="3"/>
        <v>1</v>
      </c>
    </row>
    <row r="123" spans="2:6" x14ac:dyDescent="0.35">
      <c r="B123">
        <v>115</v>
      </c>
      <c r="C123">
        <v>1</v>
      </c>
      <c r="D123">
        <v>1</v>
      </c>
      <c r="E123">
        <f>C123*(1-Per_Cent_Female)+'Life Tables'!D123*Per_Cent_Female</f>
        <v>1</v>
      </c>
      <c r="F123">
        <f t="shared" si="3"/>
        <v>1</v>
      </c>
    </row>
  </sheetData>
  <mergeCells count="1">
    <mergeCell ref="C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E806-E198-4D69-B7F5-CDA088E7F543}">
  <dimension ref="A2:D20"/>
  <sheetViews>
    <sheetView zoomScale="120" zoomScaleNormal="120" workbookViewId="0">
      <selection activeCell="B25" sqref="B25"/>
    </sheetView>
  </sheetViews>
  <sheetFormatPr defaultRowHeight="14.5" x14ac:dyDescent="0.35"/>
  <cols>
    <col min="1" max="1" width="50.26953125" customWidth="1"/>
    <col min="2" max="2" width="21.90625" customWidth="1"/>
    <col min="4" max="4" width="23" customWidth="1"/>
  </cols>
  <sheetData>
    <row r="2" spans="1:4" x14ac:dyDescent="0.35">
      <c r="A2" t="s">
        <v>45</v>
      </c>
      <c r="B2">
        <v>60</v>
      </c>
    </row>
    <row r="3" spans="1:4" x14ac:dyDescent="0.35">
      <c r="A3" t="s">
        <v>46</v>
      </c>
      <c r="B3">
        <v>3.5000000000000003E-2</v>
      </c>
    </row>
    <row r="4" spans="1:4" x14ac:dyDescent="0.35">
      <c r="A4" t="s">
        <v>48</v>
      </c>
      <c r="B4">
        <f>Days_per_Month</f>
        <v>30.4375</v>
      </c>
    </row>
    <row r="5" spans="1:4" x14ac:dyDescent="0.35">
      <c r="A5" t="s">
        <v>47</v>
      </c>
      <c r="B5">
        <v>365.25</v>
      </c>
    </row>
    <row r="6" spans="1:4" x14ac:dyDescent="0.35">
      <c r="A6" t="s">
        <v>49</v>
      </c>
      <c r="B6">
        <f>B5/12</f>
        <v>30.4375</v>
      </c>
    </row>
    <row r="7" spans="1:4" x14ac:dyDescent="0.35">
      <c r="A7" t="s">
        <v>65</v>
      </c>
      <c r="B7">
        <v>60</v>
      </c>
    </row>
    <row r="8" spans="1:4" x14ac:dyDescent="0.35">
      <c r="A8" t="s">
        <v>66</v>
      </c>
      <c r="B8">
        <v>50</v>
      </c>
    </row>
    <row r="10" spans="1:4" x14ac:dyDescent="0.35">
      <c r="A10" t="s">
        <v>50</v>
      </c>
      <c r="B10" t="s">
        <v>27</v>
      </c>
      <c r="D10" t="s">
        <v>14</v>
      </c>
    </row>
    <row r="11" spans="1:4" x14ac:dyDescent="0.35">
      <c r="A11" t="s">
        <v>51</v>
      </c>
      <c r="B11" t="s">
        <v>27</v>
      </c>
      <c r="D11" t="s">
        <v>16</v>
      </c>
    </row>
    <row r="12" spans="1:4" x14ac:dyDescent="0.35">
      <c r="D12" t="s">
        <v>18</v>
      </c>
    </row>
    <row r="13" spans="1:4" x14ac:dyDescent="0.35">
      <c r="A13" t="s">
        <v>52</v>
      </c>
      <c r="B13" s="8">
        <v>0.37</v>
      </c>
      <c r="D13" t="s">
        <v>22</v>
      </c>
    </row>
    <row r="14" spans="1:4" x14ac:dyDescent="0.35">
      <c r="D14" t="s">
        <v>25</v>
      </c>
    </row>
    <row r="15" spans="1:4" x14ac:dyDescent="0.35">
      <c r="A15" t="s">
        <v>53</v>
      </c>
      <c r="B15">
        <v>0.85</v>
      </c>
      <c r="D15" t="s">
        <v>27</v>
      </c>
    </row>
    <row r="16" spans="1:4" x14ac:dyDescent="0.35">
      <c r="A16" t="s">
        <v>54</v>
      </c>
      <c r="B16">
        <v>0.6</v>
      </c>
      <c r="D16" t="s">
        <v>28</v>
      </c>
    </row>
    <row r="18" spans="1:2" x14ac:dyDescent="0.35">
      <c r="A18" t="s">
        <v>55</v>
      </c>
      <c r="B18" s="24">
        <v>3000</v>
      </c>
    </row>
    <row r="19" spans="1:2" x14ac:dyDescent="0.35">
      <c r="A19" t="s">
        <v>56</v>
      </c>
      <c r="B19" s="24">
        <v>7500</v>
      </c>
    </row>
    <row r="20" spans="1:2" x14ac:dyDescent="0.35">
      <c r="A20" t="s">
        <v>57</v>
      </c>
      <c r="B20" s="24">
        <v>50000</v>
      </c>
    </row>
  </sheetData>
  <dataValidations count="1">
    <dataValidation type="list" allowBlank="1" showInputMessage="1" showErrorMessage="1" sqref="B10 B11" xr:uid="{5CA1AFA6-A248-4172-9796-4FA518431004}">
      <formula1>$D$10:$D$16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94C4-0749-46FF-98A1-5FA7C47E1275}">
  <dimension ref="B2:H18"/>
  <sheetViews>
    <sheetView zoomScale="150" zoomScaleNormal="150" workbookViewId="0">
      <selection activeCell="B5" sqref="B5"/>
    </sheetView>
  </sheetViews>
  <sheetFormatPr defaultRowHeight="14.5" x14ac:dyDescent="0.35"/>
  <cols>
    <col min="2" max="8" width="22" customWidth="1"/>
  </cols>
  <sheetData>
    <row r="2" spans="2:8" x14ac:dyDescent="0.35">
      <c r="B2" s="1" t="s">
        <v>9</v>
      </c>
      <c r="F2" s="1" t="s">
        <v>10</v>
      </c>
    </row>
    <row r="4" spans="2:8" x14ac:dyDescent="0.35">
      <c r="B4" s="4" t="s">
        <v>11</v>
      </c>
      <c r="C4" s="4" t="s">
        <v>12</v>
      </c>
      <c r="D4" s="4" t="s">
        <v>13</v>
      </c>
      <c r="F4" s="4" t="s">
        <v>11</v>
      </c>
      <c r="G4" s="4" t="s">
        <v>12</v>
      </c>
      <c r="H4" s="4" t="s">
        <v>13</v>
      </c>
    </row>
    <row r="5" spans="2:8" x14ac:dyDescent="0.35">
      <c r="B5" t="s">
        <v>14</v>
      </c>
      <c r="C5" t="s">
        <v>15</v>
      </c>
      <c r="D5">
        <v>-3.1019570000000001</v>
      </c>
      <c r="F5" t="s">
        <v>14</v>
      </c>
      <c r="G5" t="s">
        <v>15</v>
      </c>
      <c r="H5">
        <v>-3.7960739999999999</v>
      </c>
    </row>
    <row r="6" spans="2:8" x14ac:dyDescent="0.35">
      <c r="B6" t="s">
        <v>16</v>
      </c>
      <c r="C6" t="s">
        <v>17</v>
      </c>
      <c r="D6">
        <v>3.5401260000000002E-3</v>
      </c>
      <c r="F6" t="s">
        <v>16</v>
      </c>
      <c r="G6" t="s">
        <v>17</v>
      </c>
      <c r="H6">
        <v>-5.6315789999999998E-2</v>
      </c>
    </row>
    <row r="7" spans="2:8" x14ac:dyDescent="0.35">
      <c r="B7" t="s">
        <v>16</v>
      </c>
      <c r="C7" t="s">
        <v>15</v>
      </c>
      <c r="D7">
        <v>-3.0973038640000001</v>
      </c>
      <c r="F7" t="s">
        <v>16</v>
      </c>
      <c r="G7" t="s">
        <v>15</v>
      </c>
      <c r="H7">
        <v>-3.8910443799999999</v>
      </c>
    </row>
    <row r="8" spans="2:8" x14ac:dyDescent="0.35">
      <c r="B8" t="s">
        <v>18</v>
      </c>
      <c r="C8" t="s">
        <v>19</v>
      </c>
      <c r="D8">
        <v>3.1278506099999999</v>
      </c>
      <c r="F8" t="s">
        <v>18</v>
      </c>
      <c r="G8" t="s">
        <v>19</v>
      </c>
      <c r="H8">
        <v>3.7388218000000002</v>
      </c>
    </row>
    <row r="9" spans="2:8" x14ac:dyDescent="0.35">
      <c r="B9" t="s">
        <v>18</v>
      </c>
      <c r="C9" t="s">
        <v>20</v>
      </c>
      <c r="D9">
        <v>-4.5807479999999998E-2</v>
      </c>
      <c r="F9" t="s">
        <v>18</v>
      </c>
      <c r="G9" t="s">
        <v>20</v>
      </c>
      <c r="H9">
        <v>0.33802470000000001</v>
      </c>
    </row>
    <row r="10" spans="2:8" x14ac:dyDescent="0.35">
      <c r="B10" t="s">
        <v>18</v>
      </c>
      <c r="C10" t="s">
        <v>21</v>
      </c>
      <c r="D10">
        <v>1.0860138699999999</v>
      </c>
      <c r="F10" t="s">
        <v>18</v>
      </c>
      <c r="G10" t="s">
        <v>21</v>
      </c>
      <c r="H10">
        <v>0.48530669999999998</v>
      </c>
    </row>
    <row r="11" spans="2:8" x14ac:dyDescent="0.35">
      <c r="B11" t="s">
        <v>22</v>
      </c>
      <c r="C11" t="s">
        <v>23</v>
      </c>
      <c r="D11">
        <v>-3.1130561870000002</v>
      </c>
      <c r="F11" t="s">
        <v>22</v>
      </c>
      <c r="G11" t="s">
        <v>23</v>
      </c>
      <c r="H11">
        <v>-3.6987339659999998</v>
      </c>
    </row>
    <row r="12" spans="2:8" x14ac:dyDescent="0.35">
      <c r="B12" t="s">
        <v>22</v>
      </c>
      <c r="C12" t="s">
        <v>24</v>
      </c>
      <c r="D12">
        <v>1.1291879999999999E-3</v>
      </c>
      <c r="F12" t="s">
        <v>22</v>
      </c>
      <c r="G12" t="s">
        <v>24</v>
      </c>
      <c r="H12">
        <v>-9.0396720000000003E-3</v>
      </c>
    </row>
    <row r="13" spans="2:8" x14ac:dyDescent="0.35">
      <c r="B13" t="s">
        <v>25</v>
      </c>
      <c r="C13" t="s">
        <v>26</v>
      </c>
      <c r="D13">
        <v>2.7083952</v>
      </c>
      <c r="F13" t="s">
        <v>25</v>
      </c>
      <c r="G13" t="s">
        <v>26</v>
      </c>
      <c r="H13">
        <v>3.51178861</v>
      </c>
    </row>
    <row r="14" spans="2:8" x14ac:dyDescent="0.35">
      <c r="B14" t="s">
        <v>25</v>
      </c>
      <c r="C14" t="s">
        <v>17</v>
      </c>
      <c r="D14">
        <v>0.21284929999999999</v>
      </c>
      <c r="F14" t="s">
        <v>25</v>
      </c>
      <c r="G14" t="s">
        <v>17</v>
      </c>
      <c r="H14">
        <v>6.5803479999999998E-2</v>
      </c>
    </row>
    <row r="15" spans="2:8" x14ac:dyDescent="0.35">
      <c r="B15" t="s">
        <v>27</v>
      </c>
      <c r="C15" t="s">
        <v>19</v>
      </c>
      <c r="D15">
        <v>2.6898593000000002</v>
      </c>
      <c r="F15" t="s">
        <v>27</v>
      </c>
      <c r="G15" t="s">
        <v>19</v>
      </c>
      <c r="H15">
        <v>3.58073</v>
      </c>
    </row>
    <row r="16" spans="2:8" x14ac:dyDescent="0.35">
      <c r="B16" t="s">
        <v>27</v>
      </c>
      <c r="C16" t="s">
        <v>20</v>
      </c>
      <c r="D16">
        <v>0.41507179999999999</v>
      </c>
      <c r="F16" t="s">
        <v>27</v>
      </c>
      <c r="G16" t="s">
        <v>20</v>
      </c>
      <c r="H16">
        <v>0.54343470000000005</v>
      </c>
    </row>
    <row r="17" spans="2:8" x14ac:dyDescent="0.35">
      <c r="B17" t="s">
        <v>28</v>
      </c>
      <c r="C17" t="s">
        <v>26</v>
      </c>
      <c r="D17">
        <v>3.1007505590000002</v>
      </c>
      <c r="F17" t="s">
        <v>28</v>
      </c>
      <c r="G17" t="s">
        <v>26</v>
      </c>
      <c r="H17">
        <v>3.8359100499999998</v>
      </c>
    </row>
    <row r="18" spans="2:8" x14ac:dyDescent="0.35">
      <c r="B18" t="s">
        <v>28</v>
      </c>
      <c r="C18" t="s">
        <v>17</v>
      </c>
      <c r="D18">
        <v>5.7730689999999996E-3</v>
      </c>
      <c r="F18" t="s">
        <v>28</v>
      </c>
      <c r="G18" t="s">
        <v>17</v>
      </c>
      <c r="H18">
        <v>-5.1354379999999998E-2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759D-C806-4F23-9D3A-5BA4DA8AE235}">
  <dimension ref="B2:F310"/>
  <sheetViews>
    <sheetView zoomScale="150" zoomScaleNormal="150" workbookViewId="0">
      <selection activeCell="H8" sqref="H8"/>
    </sheetView>
  </sheetViews>
  <sheetFormatPr defaultRowHeight="14.5" x14ac:dyDescent="0.35"/>
  <cols>
    <col min="2" max="6" width="17.90625" customWidth="1"/>
  </cols>
  <sheetData>
    <row r="2" spans="2:6" x14ac:dyDescent="0.35">
      <c r="B2" s="1" t="s">
        <v>4</v>
      </c>
      <c r="C2" s="1"/>
      <c r="D2" s="1"/>
      <c r="E2" s="1"/>
      <c r="F2" s="1"/>
    </row>
    <row r="3" spans="2:6" x14ac:dyDescent="0.35">
      <c r="B3" s="1"/>
      <c r="C3" s="1"/>
      <c r="D3" s="1"/>
      <c r="E3" s="1"/>
      <c r="F3" s="1"/>
    </row>
    <row r="4" spans="2:6" x14ac:dyDescent="0.35">
      <c r="B4" s="4" t="s">
        <v>5</v>
      </c>
      <c r="C4" s="4"/>
      <c r="D4" s="1"/>
      <c r="E4" s="4" t="s">
        <v>6</v>
      </c>
      <c r="F4" s="4"/>
    </row>
    <row r="5" spans="2:6" x14ac:dyDescent="0.35">
      <c r="B5" s="1" t="s">
        <v>7</v>
      </c>
      <c r="C5" s="1" t="s">
        <v>8</v>
      </c>
      <c r="D5" s="1"/>
      <c r="E5" s="1" t="s">
        <v>7</v>
      </c>
      <c r="F5" s="1" t="s">
        <v>8</v>
      </c>
    </row>
    <row r="6" spans="2:6" x14ac:dyDescent="0.35">
      <c r="B6" s="5">
        <v>0</v>
      </c>
      <c r="C6" s="6">
        <v>1</v>
      </c>
      <c r="E6" s="5">
        <v>0</v>
      </c>
      <c r="F6" s="7">
        <v>1</v>
      </c>
    </row>
    <row r="7" spans="2:6" x14ac:dyDescent="0.35">
      <c r="B7" s="5">
        <v>0.05</v>
      </c>
      <c r="C7" s="6">
        <v>0.998</v>
      </c>
      <c r="E7" s="5">
        <v>0.24</v>
      </c>
      <c r="F7" s="8">
        <v>0.998</v>
      </c>
    </row>
    <row r="8" spans="2:6" x14ac:dyDescent="0.35">
      <c r="B8" s="5">
        <v>0.06</v>
      </c>
      <c r="C8" s="6">
        <v>0.996</v>
      </c>
      <c r="E8" s="5">
        <v>0.26</v>
      </c>
      <c r="F8" s="8">
        <v>0.996</v>
      </c>
    </row>
    <row r="9" spans="2:6" x14ac:dyDescent="0.35">
      <c r="B9" s="5">
        <v>0.08</v>
      </c>
      <c r="C9" s="6">
        <v>0.99399999999999999</v>
      </c>
      <c r="E9" s="5">
        <v>0.33</v>
      </c>
      <c r="F9" s="8">
        <v>0.99399999999999999</v>
      </c>
    </row>
    <row r="10" spans="2:6" x14ac:dyDescent="0.35">
      <c r="B10" s="5">
        <v>0.13</v>
      </c>
      <c r="C10" s="6">
        <v>0.99199999999999999</v>
      </c>
      <c r="E10" s="5">
        <v>0.43</v>
      </c>
      <c r="F10" s="8">
        <v>0.99199999999999999</v>
      </c>
    </row>
    <row r="11" spans="2:6" x14ac:dyDescent="0.35">
      <c r="B11" s="5">
        <v>0.14000000000000001</v>
      </c>
      <c r="C11" s="6">
        <v>0.98799999999999999</v>
      </c>
      <c r="E11" s="5">
        <v>0.51</v>
      </c>
      <c r="F11" s="8">
        <v>0.99</v>
      </c>
    </row>
    <row r="12" spans="2:6" x14ac:dyDescent="0.35">
      <c r="B12" s="5">
        <v>0.17</v>
      </c>
      <c r="C12" s="6">
        <v>0.98599999999999999</v>
      </c>
      <c r="E12" s="5">
        <v>0.54</v>
      </c>
      <c r="F12" s="8">
        <v>0.98799999999999999</v>
      </c>
    </row>
    <row r="13" spans="2:6" x14ac:dyDescent="0.35">
      <c r="B13" s="5">
        <v>0.18</v>
      </c>
      <c r="C13" s="6">
        <v>0.98399999999999999</v>
      </c>
      <c r="E13" s="5">
        <v>0.56999999999999995</v>
      </c>
      <c r="F13" s="8">
        <v>0.98599999999999999</v>
      </c>
    </row>
    <row r="14" spans="2:6" x14ac:dyDescent="0.35">
      <c r="B14" s="5">
        <v>0.3</v>
      </c>
      <c r="C14" s="6">
        <v>0.98199999999999998</v>
      </c>
      <c r="E14" s="5">
        <v>0.68</v>
      </c>
      <c r="F14" s="8">
        <v>0.98399999999999999</v>
      </c>
    </row>
    <row r="15" spans="2:6" x14ac:dyDescent="0.35">
      <c r="B15" s="5">
        <v>0.37</v>
      </c>
      <c r="C15" s="6">
        <v>0.97799999999999998</v>
      </c>
      <c r="E15" s="5">
        <v>0.73</v>
      </c>
      <c r="F15" s="8">
        <v>0.98199999999999998</v>
      </c>
    </row>
    <row r="16" spans="2:6" x14ac:dyDescent="0.35">
      <c r="B16" s="5">
        <v>0.38</v>
      </c>
      <c r="C16" s="6">
        <v>0.97599999999999998</v>
      </c>
      <c r="E16" s="5">
        <v>0.79</v>
      </c>
      <c r="F16" s="8">
        <v>0.98</v>
      </c>
    </row>
    <row r="17" spans="2:6" x14ac:dyDescent="0.35">
      <c r="B17" s="5">
        <v>0.48</v>
      </c>
      <c r="C17" s="6">
        <v>0.97399999999999998</v>
      </c>
      <c r="E17" s="5">
        <v>0.86</v>
      </c>
      <c r="F17" s="8">
        <v>0.97799999999999998</v>
      </c>
    </row>
    <row r="18" spans="2:6" x14ac:dyDescent="0.35">
      <c r="B18" s="5">
        <v>0.56000000000000005</v>
      </c>
      <c r="C18" s="6">
        <v>0.97199999999999998</v>
      </c>
      <c r="E18" s="5">
        <v>0.98</v>
      </c>
      <c r="F18" s="8">
        <v>0.97599999999999998</v>
      </c>
    </row>
    <row r="19" spans="2:6" x14ac:dyDescent="0.35">
      <c r="B19" s="5">
        <v>0.57999999999999996</v>
      </c>
      <c r="C19" s="6">
        <v>0.97</v>
      </c>
      <c r="E19" s="5">
        <v>1.1100000000000001</v>
      </c>
      <c r="F19" s="8">
        <v>0.97399999999999998</v>
      </c>
    </row>
    <row r="20" spans="2:6" x14ac:dyDescent="0.35">
      <c r="B20" s="5">
        <v>0.61</v>
      </c>
      <c r="C20" s="6">
        <v>0.96799999999999997</v>
      </c>
      <c r="E20" s="5">
        <v>1.1599999999999999</v>
      </c>
      <c r="F20" s="8">
        <v>0.97199999999999998</v>
      </c>
    </row>
    <row r="21" spans="2:6" x14ac:dyDescent="0.35">
      <c r="B21" s="5">
        <v>0.62</v>
      </c>
      <c r="C21" s="6">
        <v>0.96599999999999997</v>
      </c>
      <c r="E21" s="5">
        <v>1.21</v>
      </c>
      <c r="F21" s="8">
        <v>0.96799999999999997</v>
      </c>
    </row>
    <row r="22" spans="2:6" x14ac:dyDescent="0.35">
      <c r="B22" s="5">
        <v>0.68</v>
      </c>
      <c r="C22" s="6">
        <v>0.96399999999999997</v>
      </c>
      <c r="E22" s="5">
        <v>1.26</v>
      </c>
      <c r="F22" s="8">
        <v>0.96599999999999997</v>
      </c>
    </row>
    <row r="23" spans="2:6" x14ac:dyDescent="0.35">
      <c r="B23" s="5">
        <v>0.75</v>
      </c>
      <c r="C23" s="6">
        <v>0.96199999999999997</v>
      </c>
      <c r="E23" s="5">
        <v>1.46</v>
      </c>
      <c r="F23" s="8">
        <v>0.96399999999999997</v>
      </c>
    </row>
    <row r="24" spans="2:6" x14ac:dyDescent="0.35">
      <c r="B24" s="5">
        <v>0.85</v>
      </c>
      <c r="C24" s="6">
        <v>0.96</v>
      </c>
      <c r="E24" s="5">
        <v>1.5</v>
      </c>
      <c r="F24" s="8">
        <v>0.96199999999999997</v>
      </c>
    </row>
    <row r="25" spans="2:6" x14ac:dyDescent="0.35">
      <c r="B25" s="5">
        <v>0.9</v>
      </c>
      <c r="C25" s="6">
        <v>0.95799999999999996</v>
      </c>
      <c r="E25" s="5">
        <v>1.64</v>
      </c>
      <c r="F25" s="8">
        <v>0.96</v>
      </c>
    </row>
    <row r="26" spans="2:6" x14ac:dyDescent="0.35">
      <c r="B26" s="5">
        <v>0.95</v>
      </c>
      <c r="C26" s="6">
        <v>0.95399999999999996</v>
      </c>
      <c r="E26" s="5">
        <v>1.72</v>
      </c>
      <c r="F26" s="8">
        <v>0.95799999999999996</v>
      </c>
    </row>
    <row r="27" spans="2:6" x14ac:dyDescent="0.35">
      <c r="B27" s="5">
        <v>1.01</v>
      </c>
      <c r="C27" s="6">
        <v>0.95</v>
      </c>
      <c r="E27" s="5">
        <v>1.77</v>
      </c>
      <c r="F27" s="8">
        <v>0.95599999999999996</v>
      </c>
    </row>
    <row r="28" spans="2:6" x14ac:dyDescent="0.35">
      <c r="B28" s="5">
        <v>1.02</v>
      </c>
      <c r="C28" s="6">
        <v>0.94799999999999995</v>
      </c>
      <c r="E28" s="5">
        <v>1.79</v>
      </c>
      <c r="F28" s="8">
        <v>0.95399999999999996</v>
      </c>
    </row>
    <row r="29" spans="2:6" x14ac:dyDescent="0.35">
      <c r="B29" s="5">
        <v>1.07</v>
      </c>
      <c r="C29" s="6">
        <v>0.94599999999999995</v>
      </c>
      <c r="E29" s="5">
        <v>1.95</v>
      </c>
      <c r="F29" s="8">
        <v>0.95199999999999996</v>
      </c>
    </row>
    <row r="30" spans="2:6" x14ac:dyDescent="0.35">
      <c r="B30" s="5">
        <v>1.1100000000000001</v>
      </c>
      <c r="C30" s="6">
        <v>0.94399999999999995</v>
      </c>
      <c r="E30" s="5">
        <v>1.96</v>
      </c>
      <c r="F30" s="8">
        <v>0.95</v>
      </c>
    </row>
    <row r="31" spans="2:6" x14ac:dyDescent="0.35">
      <c r="B31" s="5">
        <v>1.1399999999999999</v>
      </c>
      <c r="C31" s="6">
        <v>0.94199999999999995</v>
      </c>
      <c r="E31" s="5">
        <v>2.0699999999999998</v>
      </c>
      <c r="F31" s="8">
        <v>0.94799999999999995</v>
      </c>
    </row>
    <row r="32" spans="2:6" x14ac:dyDescent="0.35">
      <c r="B32" s="5">
        <v>1.1499999999999999</v>
      </c>
      <c r="C32" s="6">
        <v>0.94</v>
      </c>
      <c r="E32" s="5">
        <v>2.17</v>
      </c>
      <c r="F32" s="8">
        <v>0.94599999999999995</v>
      </c>
    </row>
    <row r="33" spans="2:6" x14ac:dyDescent="0.35">
      <c r="B33" s="5">
        <v>1.22</v>
      </c>
      <c r="C33" s="6">
        <v>0.93600000000000005</v>
      </c>
      <c r="E33" s="5">
        <v>2.1800000000000002</v>
      </c>
      <c r="F33" s="8">
        <v>0.94399999999999995</v>
      </c>
    </row>
    <row r="34" spans="2:6" x14ac:dyDescent="0.35">
      <c r="B34" s="5">
        <v>1.41</v>
      </c>
      <c r="C34" s="6">
        <v>0.93400000000000005</v>
      </c>
      <c r="E34" s="5">
        <v>2.19</v>
      </c>
      <c r="F34" s="8">
        <v>0.94199999999999995</v>
      </c>
    </row>
    <row r="35" spans="2:6" x14ac:dyDescent="0.35">
      <c r="B35" s="5">
        <v>1.58</v>
      </c>
      <c r="C35" s="6">
        <v>0.93200000000000005</v>
      </c>
      <c r="E35" s="5">
        <v>2.21</v>
      </c>
      <c r="F35" s="8">
        <v>0.94</v>
      </c>
    </row>
    <row r="36" spans="2:6" x14ac:dyDescent="0.35">
      <c r="B36" s="5">
        <v>1.6</v>
      </c>
      <c r="C36" s="6">
        <v>0.93</v>
      </c>
      <c r="E36" s="5">
        <v>2.23</v>
      </c>
      <c r="F36" s="8">
        <v>0.93799999999999994</v>
      </c>
    </row>
    <row r="37" spans="2:6" x14ac:dyDescent="0.35">
      <c r="B37" s="5">
        <v>1.89</v>
      </c>
      <c r="C37" s="6">
        <v>0.92600000000000005</v>
      </c>
      <c r="E37" s="5">
        <v>2.48</v>
      </c>
      <c r="F37" s="8">
        <v>0.93600000000000005</v>
      </c>
    </row>
    <row r="38" spans="2:6" x14ac:dyDescent="0.35">
      <c r="B38" s="5">
        <v>1.95</v>
      </c>
      <c r="C38" s="6">
        <v>0.92400000000000004</v>
      </c>
      <c r="E38" s="5">
        <v>2.4900000000000002</v>
      </c>
      <c r="F38" s="8">
        <v>0.93400000000000005</v>
      </c>
    </row>
    <row r="39" spans="2:6" x14ac:dyDescent="0.35">
      <c r="B39" s="5">
        <v>1.97</v>
      </c>
      <c r="C39" s="6">
        <v>0.92200000000000004</v>
      </c>
      <c r="E39" s="5">
        <v>2.72</v>
      </c>
      <c r="F39" s="8">
        <v>0.93200000000000005</v>
      </c>
    </row>
    <row r="40" spans="2:6" x14ac:dyDescent="0.35">
      <c r="B40" s="5">
        <v>1.99</v>
      </c>
      <c r="C40" s="6">
        <v>0.92</v>
      </c>
      <c r="E40" s="5">
        <v>2.79</v>
      </c>
      <c r="F40" s="8">
        <v>0.93</v>
      </c>
    </row>
    <row r="41" spans="2:6" x14ac:dyDescent="0.35">
      <c r="B41" s="5">
        <v>2.0299999999999998</v>
      </c>
      <c r="C41" s="6">
        <v>0.91600000000000004</v>
      </c>
      <c r="E41" s="5">
        <v>2.81</v>
      </c>
      <c r="F41" s="8">
        <v>0.92800000000000005</v>
      </c>
    </row>
    <row r="42" spans="2:6" x14ac:dyDescent="0.35">
      <c r="B42" s="5">
        <v>2.09</v>
      </c>
      <c r="C42" s="6">
        <v>0.91400000000000003</v>
      </c>
      <c r="E42" s="5">
        <v>3.09</v>
      </c>
      <c r="F42" s="8">
        <v>0.92600000000000005</v>
      </c>
    </row>
    <row r="43" spans="2:6" x14ac:dyDescent="0.35">
      <c r="B43" s="5">
        <v>2.15</v>
      </c>
      <c r="C43" s="6">
        <v>0.91200000000000003</v>
      </c>
      <c r="E43" s="5">
        <v>3.16</v>
      </c>
      <c r="F43" s="8">
        <v>0.92400000000000004</v>
      </c>
    </row>
    <row r="44" spans="2:6" x14ac:dyDescent="0.35">
      <c r="B44" s="5">
        <v>2.19</v>
      </c>
      <c r="C44" s="6">
        <v>0.91</v>
      </c>
      <c r="E44" s="5">
        <v>3.38</v>
      </c>
      <c r="F44" s="8">
        <v>0.92200000000000004</v>
      </c>
    </row>
    <row r="45" spans="2:6" x14ac:dyDescent="0.35">
      <c r="B45" s="5">
        <v>2.21</v>
      </c>
      <c r="C45" s="6">
        <v>0.90600000000000003</v>
      </c>
      <c r="E45" s="5">
        <v>3.44</v>
      </c>
      <c r="F45" s="8">
        <v>0.92</v>
      </c>
    </row>
    <row r="46" spans="2:6" x14ac:dyDescent="0.35">
      <c r="B46" s="5">
        <v>2.2400000000000002</v>
      </c>
      <c r="C46" s="6">
        <v>0.90200000000000002</v>
      </c>
      <c r="E46" s="5">
        <v>3.47</v>
      </c>
      <c r="F46" s="8">
        <v>0.91800000000000004</v>
      </c>
    </row>
    <row r="47" spans="2:6" x14ac:dyDescent="0.35">
      <c r="B47" s="5">
        <v>2.2999999999999998</v>
      </c>
      <c r="C47" s="6">
        <v>0.89800000000000002</v>
      </c>
      <c r="E47" s="5">
        <v>3.55</v>
      </c>
      <c r="F47" s="8">
        <v>0.91600000000000004</v>
      </c>
    </row>
    <row r="48" spans="2:6" x14ac:dyDescent="0.35">
      <c r="B48" s="5">
        <v>2.33</v>
      </c>
      <c r="C48" s="6">
        <v>0.89600000000000002</v>
      </c>
      <c r="E48" s="5">
        <v>3.6</v>
      </c>
      <c r="F48" s="8">
        <v>0.91400000000000003</v>
      </c>
    </row>
    <row r="49" spans="2:6" x14ac:dyDescent="0.35">
      <c r="B49" s="5">
        <v>2.48</v>
      </c>
      <c r="C49" s="6">
        <v>0.89200000000000002</v>
      </c>
      <c r="E49" s="5">
        <v>3.61</v>
      </c>
      <c r="F49" s="8">
        <v>0.91200000000000003</v>
      </c>
    </row>
    <row r="50" spans="2:6" x14ac:dyDescent="0.35">
      <c r="B50" s="5">
        <v>2.5499999999999998</v>
      </c>
      <c r="C50" s="6">
        <v>0.89</v>
      </c>
      <c r="E50" s="5">
        <v>3.64</v>
      </c>
      <c r="F50" s="8">
        <v>0.91</v>
      </c>
    </row>
    <row r="51" spans="2:6" x14ac:dyDescent="0.35">
      <c r="B51" s="5">
        <v>2.56</v>
      </c>
      <c r="C51" s="6">
        <v>0.88800000000000001</v>
      </c>
      <c r="E51" s="5">
        <v>3.76</v>
      </c>
      <c r="F51" s="8">
        <v>0.90800000000000003</v>
      </c>
    </row>
    <row r="52" spans="2:6" x14ac:dyDescent="0.35">
      <c r="B52" s="5">
        <v>2.64</v>
      </c>
      <c r="C52" s="6">
        <v>0.88600000000000001</v>
      </c>
      <c r="E52" s="5">
        <v>3.8</v>
      </c>
      <c r="F52" s="8">
        <v>0.90600000000000003</v>
      </c>
    </row>
    <row r="53" spans="2:6" x14ac:dyDescent="0.35">
      <c r="B53" s="5">
        <v>2.7</v>
      </c>
      <c r="C53" s="6">
        <v>0.88400000000000001</v>
      </c>
      <c r="E53" s="5">
        <v>3.84</v>
      </c>
      <c r="F53" s="8">
        <v>0.90400000000000003</v>
      </c>
    </row>
    <row r="54" spans="2:6" x14ac:dyDescent="0.35">
      <c r="B54" s="5">
        <v>2.81</v>
      </c>
      <c r="C54" s="6">
        <v>0.88200000000000001</v>
      </c>
      <c r="E54" s="5">
        <v>3.99</v>
      </c>
      <c r="F54" s="8">
        <v>0.90200000000000002</v>
      </c>
    </row>
    <row r="55" spans="2:6" x14ac:dyDescent="0.35">
      <c r="B55" s="5">
        <v>2.85</v>
      </c>
      <c r="C55" s="6">
        <v>0.88</v>
      </c>
      <c r="E55" s="5">
        <v>4.0999999999999996</v>
      </c>
      <c r="F55" s="8">
        <v>0.9</v>
      </c>
    </row>
    <row r="56" spans="2:6" x14ac:dyDescent="0.35">
      <c r="B56" s="5">
        <v>2.94</v>
      </c>
      <c r="C56" s="6">
        <v>0.878</v>
      </c>
      <c r="E56" s="5">
        <v>4.13</v>
      </c>
      <c r="F56" s="8">
        <v>0.89600000000000002</v>
      </c>
    </row>
    <row r="57" spans="2:6" x14ac:dyDescent="0.35">
      <c r="B57" s="5">
        <v>2.97</v>
      </c>
      <c r="C57" s="6">
        <v>0.876</v>
      </c>
      <c r="E57" s="5">
        <v>4.17</v>
      </c>
      <c r="F57" s="8">
        <v>0.89400000000000002</v>
      </c>
    </row>
    <row r="58" spans="2:6" x14ac:dyDescent="0.35">
      <c r="B58" s="5">
        <v>2.98</v>
      </c>
      <c r="C58" s="6">
        <v>0.874</v>
      </c>
      <c r="E58" s="5">
        <v>4.1900000000000004</v>
      </c>
      <c r="F58" s="8">
        <v>0.89200000000000002</v>
      </c>
    </row>
    <row r="59" spans="2:6" x14ac:dyDescent="0.35">
      <c r="B59" s="5">
        <v>3.02</v>
      </c>
      <c r="C59" s="6">
        <v>0.872</v>
      </c>
      <c r="E59" s="5">
        <v>4.3499999999999996</v>
      </c>
      <c r="F59" s="8">
        <v>0.89</v>
      </c>
    </row>
    <row r="60" spans="2:6" x14ac:dyDescent="0.35">
      <c r="B60" s="5">
        <v>3.1</v>
      </c>
      <c r="C60" s="6">
        <v>0.87</v>
      </c>
      <c r="E60" s="5">
        <v>4.45</v>
      </c>
      <c r="F60" s="8">
        <v>0.88800000000000001</v>
      </c>
    </row>
    <row r="61" spans="2:6" x14ac:dyDescent="0.35">
      <c r="B61" s="5">
        <v>3.15</v>
      </c>
      <c r="C61" s="6">
        <v>0.86799999999999999</v>
      </c>
      <c r="E61" s="5">
        <v>4.49</v>
      </c>
      <c r="F61" s="8">
        <v>0.88600000000000001</v>
      </c>
    </row>
    <row r="62" spans="2:6" x14ac:dyDescent="0.35">
      <c r="B62" s="5">
        <v>3.21</v>
      </c>
      <c r="C62" s="6">
        <v>0.86399999999999999</v>
      </c>
      <c r="E62" s="5">
        <v>4.5</v>
      </c>
      <c r="F62" s="8">
        <v>0.88400000000000001</v>
      </c>
    </row>
    <row r="63" spans="2:6" x14ac:dyDescent="0.35">
      <c r="B63" s="5">
        <v>3.31</v>
      </c>
      <c r="C63" s="6">
        <v>0.86199999999999999</v>
      </c>
      <c r="E63" s="5">
        <v>4.59</v>
      </c>
      <c r="F63" s="8">
        <v>0.88200000000000001</v>
      </c>
    </row>
    <row r="64" spans="2:6" x14ac:dyDescent="0.35">
      <c r="B64" s="5">
        <v>3.41</v>
      </c>
      <c r="C64" s="6">
        <v>0.86</v>
      </c>
      <c r="E64" s="5">
        <v>4.62</v>
      </c>
      <c r="F64" s="8">
        <v>0.88</v>
      </c>
    </row>
    <row r="65" spans="2:6" x14ac:dyDescent="0.35">
      <c r="B65" s="5">
        <v>3.59</v>
      </c>
      <c r="C65" s="6">
        <v>0.85799999999999998</v>
      </c>
      <c r="E65" s="5">
        <v>4.6399999999999997</v>
      </c>
      <c r="F65" s="8">
        <v>0.878</v>
      </c>
    </row>
    <row r="66" spans="2:6" x14ac:dyDescent="0.35">
      <c r="B66" s="5">
        <v>3.68</v>
      </c>
      <c r="C66" s="6">
        <v>0.85599999999999998</v>
      </c>
      <c r="E66" s="5">
        <v>4.66</v>
      </c>
      <c r="F66" s="8">
        <v>0.876</v>
      </c>
    </row>
    <row r="67" spans="2:6" x14ac:dyDescent="0.35">
      <c r="B67" s="5">
        <v>3.75</v>
      </c>
      <c r="C67" s="6">
        <v>0.85399999999999998</v>
      </c>
      <c r="E67" s="5">
        <v>4.8</v>
      </c>
      <c r="F67" s="8">
        <v>0.874</v>
      </c>
    </row>
    <row r="68" spans="2:6" x14ac:dyDescent="0.35">
      <c r="B68" s="5">
        <v>3.8</v>
      </c>
      <c r="C68" s="6">
        <v>0.85199999999999998</v>
      </c>
      <c r="E68" s="5">
        <v>4.83</v>
      </c>
      <c r="F68" s="8">
        <v>0.872</v>
      </c>
    </row>
    <row r="69" spans="2:6" x14ac:dyDescent="0.35">
      <c r="B69" s="5">
        <v>3.96</v>
      </c>
      <c r="C69" s="6">
        <v>0.85</v>
      </c>
      <c r="E69" s="5">
        <v>4.84</v>
      </c>
      <c r="F69" s="8">
        <v>0.87</v>
      </c>
    </row>
    <row r="70" spans="2:6" x14ac:dyDescent="0.35">
      <c r="B70" s="5">
        <v>4.0199999999999996</v>
      </c>
      <c r="C70" s="6">
        <v>0.84799999999999998</v>
      </c>
      <c r="E70" s="5">
        <v>4.99</v>
      </c>
      <c r="F70" s="8">
        <v>0.86799999999999999</v>
      </c>
    </row>
    <row r="71" spans="2:6" x14ac:dyDescent="0.35">
      <c r="B71" s="5">
        <v>4.04</v>
      </c>
      <c r="C71" s="6">
        <v>0.84599999999999997</v>
      </c>
      <c r="E71" s="5">
        <v>5.01</v>
      </c>
      <c r="F71" s="8">
        <v>0.86599999999999999</v>
      </c>
    </row>
    <row r="72" spans="2:6" x14ac:dyDescent="0.35">
      <c r="B72" s="5">
        <v>4.12</v>
      </c>
      <c r="C72" s="6">
        <v>0.84399999999999997</v>
      </c>
      <c r="E72" s="5">
        <v>5.03</v>
      </c>
      <c r="F72" s="8">
        <v>0.86399999999999999</v>
      </c>
    </row>
    <row r="73" spans="2:6" x14ac:dyDescent="0.35">
      <c r="B73" s="5">
        <v>4.1399999999999997</v>
      </c>
      <c r="C73" s="6">
        <v>0.84199999999999997</v>
      </c>
      <c r="E73" s="5">
        <v>5.1100000000000003</v>
      </c>
      <c r="F73" s="8">
        <v>0.86199999999999999</v>
      </c>
    </row>
    <row r="74" spans="2:6" x14ac:dyDescent="0.35">
      <c r="B74" s="5">
        <v>4.1500000000000004</v>
      </c>
      <c r="C74" s="6">
        <v>0.84</v>
      </c>
      <c r="E74" s="5">
        <v>5.36</v>
      </c>
      <c r="F74" s="8">
        <v>0.86</v>
      </c>
    </row>
    <row r="75" spans="2:6" x14ac:dyDescent="0.35">
      <c r="B75" s="5">
        <v>4.29</v>
      </c>
      <c r="C75" s="6">
        <v>0.83799999999999997</v>
      </c>
      <c r="E75" s="5">
        <v>5.48</v>
      </c>
      <c r="F75" s="8">
        <v>0.85799999999999998</v>
      </c>
    </row>
    <row r="76" spans="2:6" x14ac:dyDescent="0.35">
      <c r="B76" s="5">
        <v>4.41</v>
      </c>
      <c r="C76" s="6">
        <v>0.83599999999999997</v>
      </c>
      <c r="E76" s="5">
        <v>5.54</v>
      </c>
      <c r="F76" s="8">
        <v>0.85599999999999998</v>
      </c>
    </row>
    <row r="77" spans="2:6" x14ac:dyDescent="0.35">
      <c r="B77" s="5">
        <v>4.58</v>
      </c>
      <c r="C77" s="6">
        <v>0.83399999999999996</v>
      </c>
      <c r="E77" s="5">
        <v>5.66</v>
      </c>
      <c r="F77" s="8">
        <v>0.85399999999999998</v>
      </c>
    </row>
    <row r="78" spans="2:6" x14ac:dyDescent="0.35">
      <c r="B78" s="5">
        <v>4.6100000000000003</v>
      </c>
      <c r="C78" s="6">
        <v>0.83199999999999996</v>
      </c>
      <c r="E78" s="5">
        <v>5.79</v>
      </c>
      <c r="F78" s="8">
        <v>0.85199999999999998</v>
      </c>
    </row>
    <row r="79" spans="2:6" x14ac:dyDescent="0.35">
      <c r="B79" s="5">
        <v>4.67</v>
      </c>
      <c r="C79" s="6">
        <v>0.83</v>
      </c>
      <c r="E79" s="5">
        <v>5.8</v>
      </c>
      <c r="F79" s="8">
        <v>0.85</v>
      </c>
    </row>
    <row r="80" spans="2:6" x14ac:dyDescent="0.35">
      <c r="B80" s="5">
        <v>4.7300000000000004</v>
      </c>
      <c r="C80" s="6">
        <v>0.82799999999999996</v>
      </c>
      <c r="E80" s="5">
        <v>5.85</v>
      </c>
      <c r="F80" s="8">
        <v>0.84799999999999998</v>
      </c>
    </row>
    <row r="81" spans="2:6" x14ac:dyDescent="0.35">
      <c r="B81" s="5">
        <v>4.8499999999999996</v>
      </c>
      <c r="C81" s="6">
        <v>0.82599999999999996</v>
      </c>
      <c r="E81" s="5">
        <v>5.87</v>
      </c>
      <c r="F81" s="8">
        <v>0.84599999999999997</v>
      </c>
    </row>
    <row r="82" spans="2:6" x14ac:dyDescent="0.35">
      <c r="B82" s="5">
        <v>4.8600000000000003</v>
      </c>
      <c r="C82" s="6">
        <v>0.82399999999999995</v>
      </c>
      <c r="E82" s="5">
        <v>5.91</v>
      </c>
      <c r="F82" s="8">
        <v>0.84399999999999997</v>
      </c>
    </row>
    <row r="83" spans="2:6" x14ac:dyDescent="0.35">
      <c r="B83" s="5">
        <v>4.9400000000000004</v>
      </c>
      <c r="C83" s="6">
        <v>0.82199999999999995</v>
      </c>
      <c r="E83" s="5">
        <v>5.94</v>
      </c>
      <c r="F83" s="8">
        <v>0.84199999999999997</v>
      </c>
    </row>
    <row r="84" spans="2:6" x14ac:dyDescent="0.35">
      <c r="B84" s="5">
        <v>5.05</v>
      </c>
      <c r="C84" s="6">
        <v>0.82</v>
      </c>
      <c r="E84" s="5">
        <v>5.98</v>
      </c>
      <c r="F84" s="8">
        <v>0.84</v>
      </c>
    </row>
    <row r="85" spans="2:6" x14ac:dyDescent="0.35">
      <c r="B85" s="5">
        <v>5.1100000000000003</v>
      </c>
      <c r="C85" s="6">
        <v>0.81799999999999995</v>
      </c>
      <c r="E85" s="5">
        <v>6</v>
      </c>
      <c r="F85" s="8">
        <v>0.83799999999999997</v>
      </c>
    </row>
    <row r="86" spans="2:6" x14ac:dyDescent="0.35">
      <c r="B86" s="5">
        <v>5.14</v>
      </c>
      <c r="C86" s="6">
        <v>0.81599999999999995</v>
      </c>
      <c r="E86" s="5">
        <v>6.11</v>
      </c>
      <c r="F86" s="8">
        <v>0.83599999999999997</v>
      </c>
    </row>
    <row r="87" spans="2:6" x14ac:dyDescent="0.35">
      <c r="B87" s="5">
        <v>5.22</v>
      </c>
      <c r="C87" s="6">
        <v>0.81399999999999995</v>
      </c>
      <c r="E87" s="5">
        <v>6.38</v>
      </c>
      <c r="F87" s="8">
        <v>0.83399999999999996</v>
      </c>
    </row>
    <row r="88" spans="2:6" x14ac:dyDescent="0.35">
      <c r="B88" s="5">
        <v>5.23</v>
      </c>
      <c r="C88" s="6">
        <v>0.81200000000000006</v>
      </c>
      <c r="E88" s="5">
        <v>6.95</v>
      </c>
      <c r="F88" s="8">
        <v>0.83199999999999996</v>
      </c>
    </row>
    <row r="89" spans="2:6" x14ac:dyDescent="0.35">
      <c r="B89" s="5">
        <v>5.28</v>
      </c>
      <c r="C89" s="6">
        <v>0.80600000000000005</v>
      </c>
      <c r="E89" s="5">
        <v>7.06</v>
      </c>
      <c r="F89" s="8">
        <v>0.83</v>
      </c>
    </row>
    <row r="90" spans="2:6" x14ac:dyDescent="0.35">
      <c r="B90" s="5">
        <v>5.32</v>
      </c>
      <c r="C90" s="6">
        <v>0.80400000000000005</v>
      </c>
      <c r="E90" s="5">
        <v>7.09</v>
      </c>
      <c r="F90" s="8">
        <v>0.82799999999999996</v>
      </c>
    </row>
    <row r="91" spans="2:6" x14ac:dyDescent="0.35">
      <c r="B91" s="5">
        <v>5.34</v>
      </c>
      <c r="C91" s="6">
        <v>0.80200000000000005</v>
      </c>
      <c r="E91" s="5">
        <v>7.14</v>
      </c>
      <c r="F91" s="8">
        <v>0.82599999999999996</v>
      </c>
    </row>
    <row r="92" spans="2:6" x14ac:dyDescent="0.35">
      <c r="B92" s="5">
        <v>5.41</v>
      </c>
      <c r="C92" s="6">
        <v>0.8</v>
      </c>
      <c r="E92" s="5">
        <v>7.25</v>
      </c>
      <c r="F92" s="8">
        <v>0.82399999999999995</v>
      </c>
    </row>
    <row r="93" spans="2:6" x14ac:dyDescent="0.35">
      <c r="B93" s="5">
        <v>5.51</v>
      </c>
      <c r="C93" s="6">
        <v>0.79800000000000004</v>
      </c>
      <c r="E93" s="5">
        <v>7.35</v>
      </c>
      <c r="F93" s="8">
        <v>0.82199999999999995</v>
      </c>
    </row>
    <row r="94" spans="2:6" x14ac:dyDescent="0.35">
      <c r="B94" s="5">
        <v>5.55</v>
      </c>
      <c r="C94" s="6">
        <v>0.79600000000000004</v>
      </c>
      <c r="E94" s="5">
        <v>7.97</v>
      </c>
      <c r="F94" s="8">
        <v>0.81799999999999995</v>
      </c>
    </row>
    <row r="95" spans="2:6" x14ac:dyDescent="0.35">
      <c r="B95" s="5">
        <v>5.62</v>
      </c>
      <c r="C95" s="6">
        <v>0.79400000000000004</v>
      </c>
      <c r="E95" s="5">
        <v>7.99</v>
      </c>
      <c r="F95" s="8">
        <v>0.81599999999999995</v>
      </c>
    </row>
    <row r="96" spans="2:6" x14ac:dyDescent="0.35">
      <c r="B96" s="5">
        <v>5.74</v>
      </c>
      <c r="C96" s="6">
        <v>0.79200000000000004</v>
      </c>
      <c r="E96" s="5">
        <v>8.24</v>
      </c>
      <c r="F96" s="8">
        <v>0.81399999999999995</v>
      </c>
    </row>
    <row r="97" spans="2:6" x14ac:dyDescent="0.35">
      <c r="B97" s="5">
        <v>5.84</v>
      </c>
      <c r="C97" s="6">
        <v>0.78800000000000003</v>
      </c>
      <c r="E97" s="5">
        <v>8.26</v>
      </c>
      <c r="F97" s="8">
        <v>0.81200000000000006</v>
      </c>
    </row>
    <row r="98" spans="2:6" x14ac:dyDescent="0.35">
      <c r="B98" s="5">
        <v>5.88</v>
      </c>
      <c r="C98">
        <v>0.78600000000000003</v>
      </c>
      <c r="E98" s="5">
        <v>8.2799999999999994</v>
      </c>
      <c r="F98" s="8">
        <v>0.81</v>
      </c>
    </row>
    <row r="99" spans="2:6" x14ac:dyDescent="0.35">
      <c r="B99" s="5">
        <v>5.92</v>
      </c>
      <c r="C99">
        <v>0.78400000000000003</v>
      </c>
      <c r="E99" s="5">
        <v>8.36</v>
      </c>
      <c r="F99" s="8">
        <v>0.80800000000000005</v>
      </c>
    </row>
    <row r="100" spans="2:6" x14ac:dyDescent="0.35">
      <c r="B100">
        <v>5.98</v>
      </c>
      <c r="C100">
        <v>0.78200000000000003</v>
      </c>
      <c r="E100" s="5">
        <v>8.73</v>
      </c>
      <c r="F100" s="8">
        <v>0.80600000000000005</v>
      </c>
    </row>
    <row r="101" spans="2:6" x14ac:dyDescent="0.35">
      <c r="B101">
        <v>6.05</v>
      </c>
      <c r="C101">
        <v>0.77800000000000002</v>
      </c>
      <c r="E101">
        <v>8.7799999999999994</v>
      </c>
      <c r="F101" s="8">
        <v>0.80400000000000005</v>
      </c>
    </row>
    <row r="102" spans="2:6" x14ac:dyDescent="0.35">
      <c r="B102">
        <v>6.06</v>
      </c>
      <c r="C102">
        <v>0.77600000000000002</v>
      </c>
      <c r="E102">
        <v>8.94</v>
      </c>
      <c r="F102" s="8">
        <v>0.8</v>
      </c>
    </row>
    <row r="103" spans="2:6" x14ac:dyDescent="0.35">
      <c r="B103">
        <v>6.17</v>
      </c>
      <c r="C103">
        <v>0.77200000000000002</v>
      </c>
      <c r="E103">
        <v>9</v>
      </c>
      <c r="F103" s="8">
        <v>0.79800000000000004</v>
      </c>
    </row>
    <row r="104" spans="2:6" x14ac:dyDescent="0.35">
      <c r="B104">
        <v>6.2</v>
      </c>
      <c r="C104">
        <v>0.77</v>
      </c>
      <c r="E104">
        <v>9.16</v>
      </c>
      <c r="F104" s="8">
        <v>0.79600000000000004</v>
      </c>
    </row>
    <row r="105" spans="2:6" x14ac:dyDescent="0.35">
      <c r="B105">
        <v>6.22</v>
      </c>
      <c r="C105">
        <v>0.76800000000000002</v>
      </c>
      <c r="E105">
        <v>9.18</v>
      </c>
      <c r="F105" s="8">
        <v>0.79400000000000004</v>
      </c>
    </row>
    <row r="106" spans="2:6" x14ac:dyDescent="0.35">
      <c r="B106">
        <v>6.24</v>
      </c>
      <c r="C106">
        <v>0.76600000000000001</v>
      </c>
      <c r="E106">
        <v>9.43</v>
      </c>
      <c r="F106" s="8">
        <v>0.79200000000000004</v>
      </c>
    </row>
    <row r="107" spans="2:6" x14ac:dyDescent="0.35">
      <c r="B107">
        <v>6.3</v>
      </c>
      <c r="C107">
        <v>0.76400000000000001</v>
      </c>
      <c r="E107">
        <v>9.52</v>
      </c>
      <c r="F107" s="8">
        <v>0.79</v>
      </c>
    </row>
    <row r="108" spans="2:6" x14ac:dyDescent="0.35">
      <c r="B108">
        <v>6.32</v>
      </c>
      <c r="C108">
        <v>0.76200000000000001</v>
      </c>
      <c r="E108">
        <v>9.6</v>
      </c>
      <c r="F108" s="8">
        <v>0.78800000000000003</v>
      </c>
    </row>
    <row r="109" spans="2:6" x14ac:dyDescent="0.35">
      <c r="B109">
        <v>6.34</v>
      </c>
      <c r="C109">
        <v>0.76</v>
      </c>
      <c r="E109">
        <v>9.6999999999999993</v>
      </c>
      <c r="F109" s="8">
        <v>0.78400000000000003</v>
      </c>
    </row>
    <row r="110" spans="2:6" x14ac:dyDescent="0.35">
      <c r="B110">
        <v>6.38</v>
      </c>
      <c r="C110">
        <v>0.75800000000000001</v>
      </c>
      <c r="E110">
        <v>9.7899999999999991</v>
      </c>
      <c r="F110" s="8">
        <v>0.78200000000000003</v>
      </c>
    </row>
    <row r="111" spans="2:6" x14ac:dyDescent="0.35">
      <c r="B111">
        <v>6.43</v>
      </c>
      <c r="C111">
        <v>0.754</v>
      </c>
      <c r="E111">
        <v>10.210000000000001</v>
      </c>
      <c r="F111" s="8">
        <v>0.78</v>
      </c>
    </row>
    <row r="112" spans="2:6" x14ac:dyDescent="0.35">
      <c r="B112">
        <v>6.59</v>
      </c>
      <c r="C112">
        <v>0.752</v>
      </c>
      <c r="E112">
        <v>10.24</v>
      </c>
      <c r="F112" s="8">
        <v>0.77800000000000002</v>
      </c>
    </row>
    <row r="113" spans="2:6" x14ac:dyDescent="0.35">
      <c r="B113">
        <v>6.8</v>
      </c>
      <c r="C113">
        <v>0.75</v>
      </c>
      <c r="E113">
        <v>10.25</v>
      </c>
      <c r="F113" s="8">
        <v>0.77600000000000002</v>
      </c>
    </row>
    <row r="114" spans="2:6" x14ac:dyDescent="0.35">
      <c r="B114">
        <v>6.81</v>
      </c>
      <c r="C114">
        <v>0.748</v>
      </c>
      <c r="E114">
        <v>10.41</v>
      </c>
      <c r="F114" s="8">
        <v>0.77400000000000002</v>
      </c>
    </row>
    <row r="115" spans="2:6" x14ac:dyDescent="0.35">
      <c r="B115">
        <v>7</v>
      </c>
      <c r="C115">
        <v>0.746</v>
      </c>
      <c r="E115">
        <v>10.46</v>
      </c>
      <c r="F115" s="8">
        <v>0.77200000000000002</v>
      </c>
    </row>
    <row r="116" spans="2:6" x14ac:dyDescent="0.35">
      <c r="B116">
        <v>7.1</v>
      </c>
      <c r="C116">
        <v>0.74399999999999999</v>
      </c>
      <c r="E116">
        <v>11.21</v>
      </c>
      <c r="F116" s="8">
        <v>0.77</v>
      </c>
    </row>
    <row r="117" spans="2:6" x14ac:dyDescent="0.35">
      <c r="B117">
        <v>7.2</v>
      </c>
      <c r="C117">
        <v>0.74199999999999999</v>
      </c>
      <c r="E117">
        <v>11.42</v>
      </c>
      <c r="F117" s="8">
        <v>0.76800000000000002</v>
      </c>
    </row>
    <row r="118" spans="2:6" x14ac:dyDescent="0.35">
      <c r="B118">
        <v>7.24</v>
      </c>
      <c r="C118">
        <v>0.74</v>
      </c>
      <c r="E118">
        <v>11.8</v>
      </c>
      <c r="F118" s="8">
        <v>0.76600000000000001</v>
      </c>
    </row>
    <row r="119" spans="2:6" x14ac:dyDescent="0.35">
      <c r="B119">
        <v>7.32</v>
      </c>
      <c r="C119">
        <v>0.73799999999999999</v>
      </c>
      <c r="E119">
        <v>11.89</v>
      </c>
      <c r="F119" s="8">
        <v>0.76400000000000001</v>
      </c>
    </row>
    <row r="120" spans="2:6" x14ac:dyDescent="0.35">
      <c r="B120">
        <v>7.41</v>
      </c>
      <c r="C120">
        <v>0.73599999999999999</v>
      </c>
      <c r="E120">
        <v>11.93</v>
      </c>
      <c r="F120" s="8">
        <v>0.76200000000000001</v>
      </c>
    </row>
    <row r="121" spans="2:6" x14ac:dyDescent="0.35">
      <c r="B121">
        <v>7.43</v>
      </c>
      <c r="C121">
        <v>0.73399999999999999</v>
      </c>
      <c r="E121">
        <v>12.07</v>
      </c>
      <c r="F121" s="8">
        <v>0.76</v>
      </c>
    </row>
    <row r="122" spans="2:6" x14ac:dyDescent="0.35">
      <c r="B122">
        <v>7.45</v>
      </c>
      <c r="C122">
        <v>0.73199999999999998</v>
      </c>
      <c r="E122">
        <v>12.15</v>
      </c>
      <c r="F122" s="8">
        <v>0.75800000000000001</v>
      </c>
    </row>
    <row r="123" spans="2:6" x14ac:dyDescent="0.35">
      <c r="B123">
        <v>7.5</v>
      </c>
      <c r="C123">
        <v>0.73</v>
      </c>
      <c r="E123">
        <v>12.21</v>
      </c>
      <c r="F123" s="8">
        <v>0.75600000000000001</v>
      </c>
    </row>
    <row r="124" spans="2:6" x14ac:dyDescent="0.35">
      <c r="B124">
        <v>7.53</v>
      </c>
      <c r="C124">
        <v>0.72799999999999998</v>
      </c>
      <c r="E124">
        <v>12.72</v>
      </c>
      <c r="F124" s="8">
        <v>0.754</v>
      </c>
    </row>
    <row r="125" spans="2:6" x14ac:dyDescent="0.35">
      <c r="B125">
        <v>7.55</v>
      </c>
      <c r="C125">
        <v>0.72599999999999998</v>
      </c>
      <c r="E125">
        <v>12.75</v>
      </c>
      <c r="F125" s="8">
        <v>0.752</v>
      </c>
    </row>
    <row r="126" spans="2:6" x14ac:dyDescent="0.35">
      <c r="B126">
        <v>7.71</v>
      </c>
      <c r="C126">
        <v>0.72399999999999998</v>
      </c>
      <c r="E126">
        <v>12.87</v>
      </c>
      <c r="F126" s="8">
        <v>0.75</v>
      </c>
    </row>
    <row r="127" spans="2:6" x14ac:dyDescent="0.35">
      <c r="B127">
        <v>7.72</v>
      </c>
      <c r="C127">
        <v>0.72199999999999998</v>
      </c>
      <c r="E127">
        <v>13.01</v>
      </c>
      <c r="F127" s="8">
        <v>0.748</v>
      </c>
    </row>
    <row r="128" spans="2:6" x14ac:dyDescent="0.35">
      <c r="B128">
        <v>7.74</v>
      </c>
      <c r="C128">
        <v>0.72</v>
      </c>
      <c r="E128">
        <v>13.02</v>
      </c>
      <c r="F128" s="8">
        <v>0.746</v>
      </c>
    </row>
    <row r="129" spans="2:6" x14ac:dyDescent="0.35">
      <c r="B129">
        <v>7.91</v>
      </c>
      <c r="C129">
        <v>0.71799999999999997</v>
      </c>
      <c r="E129">
        <v>13.14</v>
      </c>
      <c r="F129" s="8">
        <v>0.74399999999999999</v>
      </c>
    </row>
    <row r="130" spans="2:6" x14ac:dyDescent="0.35">
      <c r="B130">
        <v>7.93</v>
      </c>
      <c r="C130">
        <v>0.71599999999999997</v>
      </c>
      <c r="E130">
        <v>13.37</v>
      </c>
      <c r="F130" s="8">
        <v>0.74199999999999999</v>
      </c>
    </row>
    <row r="131" spans="2:6" x14ac:dyDescent="0.35">
      <c r="B131">
        <v>7.95</v>
      </c>
      <c r="C131">
        <v>0.71399999999999997</v>
      </c>
      <c r="E131">
        <v>13.47</v>
      </c>
      <c r="F131" s="8">
        <v>0.74</v>
      </c>
    </row>
    <row r="132" spans="2:6" x14ac:dyDescent="0.35">
      <c r="B132">
        <v>7.97</v>
      </c>
      <c r="C132">
        <v>0.71199999999999997</v>
      </c>
      <c r="E132">
        <v>13.53</v>
      </c>
      <c r="F132" s="8">
        <v>0.73799999999999999</v>
      </c>
    </row>
    <row r="133" spans="2:6" x14ac:dyDescent="0.35">
      <c r="B133">
        <v>8.0500000000000007</v>
      </c>
      <c r="C133">
        <v>0.70799999999999996</v>
      </c>
      <c r="E133">
        <v>13.63</v>
      </c>
      <c r="F133" s="8">
        <v>0.73599999999999999</v>
      </c>
    </row>
    <row r="134" spans="2:6" x14ac:dyDescent="0.35">
      <c r="B134">
        <v>8.1</v>
      </c>
      <c r="C134">
        <v>0.70599999999999996</v>
      </c>
      <c r="E134">
        <v>14.02</v>
      </c>
      <c r="F134" s="8">
        <v>0.73399999999999999</v>
      </c>
    </row>
    <row r="135" spans="2:6" x14ac:dyDescent="0.35">
      <c r="B135">
        <v>8.17</v>
      </c>
      <c r="C135">
        <v>0.70399999999999996</v>
      </c>
      <c r="E135">
        <v>14.07</v>
      </c>
      <c r="F135" s="8">
        <v>0.73199999999999998</v>
      </c>
    </row>
    <row r="136" spans="2:6" x14ac:dyDescent="0.35">
      <c r="B136">
        <v>8.19</v>
      </c>
      <c r="C136">
        <v>0.70199999999999996</v>
      </c>
      <c r="E136">
        <v>14.48</v>
      </c>
      <c r="F136" s="8">
        <v>0.73</v>
      </c>
    </row>
    <row r="137" spans="2:6" x14ac:dyDescent="0.35">
      <c r="B137">
        <v>8.2200000000000006</v>
      </c>
      <c r="C137">
        <v>0.7</v>
      </c>
      <c r="E137">
        <v>14.84</v>
      </c>
      <c r="F137" s="8">
        <v>0.72799999999999998</v>
      </c>
    </row>
    <row r="138" spans="2:6" x14ac:dyDescent="0.35">
      <c r="B138">
        <v>8.2899999999999991</v>
      </c>
      <c r="C138">
        <v>0.69799999999999995</v>
      </c>
      <c r="E138">
        <v>14.87</v>
      </c>
      <c r="F138" s="8">
        <v>0.72599999999999998</v>
      </c>
    </row>
    <row r="139" spans="2:6" x14ac:dyDescent="0.35">
      <c r="B139">
        <v>8.31</v>
      </c>
      <c r="C139">
        <v>0.69599999999999995</v>
      </c>
      <c r="E139">
        <v>15.26</v>
      </c>
      <c r="F139" s="8">
        <v>0.72399999999999998</v>
      </c>
    </row>
    <row r="140" spans="2:6" x14ac:dyDescent="0.35">
      <c r="B140">
        <v>8.3699999999999992</v>
      </c>
      <c r="C140">
        <v>0.69399999999999995</v>
      </c>
      <c r="E140">
        <v>15.35</v>
      </c>
      <c r="F140" s="8">
        <v>0.72199999999999998</v>
      </c>
    </row>
    <row r="141" spans="2:6" x14ac:dyDescent="0.35">
      <c r="B141">
        <v>8.56</v>
      </c>
      <c r="C141">
        <v>0.69199999999999995</v>
      </c>
      <c r="E141">
        <v>15.43</v>
      </c>
      <c r="F141" s="8">
        <v>0.72</v>
      </c>
    </row>
    <row r="142" spans="2:6" x14ac:dyDescent="0.35">
      <c r="B142">
        <v>8.6</v>
      </c>
      <c r="C142">
        <v>0.69</v>
      </c>
      <c r="E142">
        <v>15.48</v>
      </c>
      <c r="F142" s="8">
        <v>0.71799999999999997</v>
      </c>
    </row>
    <row r="143" spans="2:6" x14ac:dyDescent="0.35">
      <c r="B143">
        <v>8.6300000000000008</v>
      </c>
      <c r="C143">
        <v>0.68799999999999994</v>
      </c>
      <c r="E143">
        <v>15.5</v>
      </c>
      <c r="F143" s="8">
        <v>0.71399999999999997</v>
      </c>
    </row>
    <row r="144" spans="2:6" x14ac:dyDescent="0.35">
      <c r="B144">
        <v>8.7100000000000009</v>
      </c>
      <c r="C144">
        <v>0.68600000000000005</v>
      </c>
      <c r="E144">
        <v>15.56</v>
      </c>
      <c r="F144" s="8">
        <v>0.71199999999999997</v>
      </c>
    </row>
    <row r="145" spans="2:6" x14ac:dyDescent="0.35">
      <c r="B145">
        <v>8.73</v>
      </c>
      <c r="C145">
        <v>0.68400000000000005</v>
      </c>
      <c r="E145">
        <v>15.57</v>
      </c>
      <c r="F145" s="8">
        <v>0.71</v>
      </c>
    </row>
    <row r="146" spans="2:6" x14ac:dyDescent="0.35">
      <c r="B146">
        <v>8.7799999999999994</v>
      </c>
      <c r="C146">
        <v>0.68200000000000005</v>
      </c>
      <c r="E146">
        <v>15.75</v>
      </c>
      <c r="F146" s="8">
        <v>0.70799999999999996</v>
      </c>
    </row>
    <row r="147" spans="2:6" x14ac:dyDescent="0.35">
      <c r="B147">
        <v>8.86</v>
      </c>
      <c r="C147">
        <v>0.68</v>
      </c>
      <c r="E147">
        <v>15.81</v>
      </c>
      <c r="F147" s="8">
        <v>0.70599999999999996</v>
      </c>
    </row>
    <row r="148" spans="2:6" x14ac:dyDescent="0.35">
      <c r="B148">
        <v>8.8800000000000008</v>
      </c>
      <c r="C148">
        <v>0.67800000000000005</v>
      </c>
      <c r="E148">
        <v>15.86</v>
      </c>
      <c r="F148" s="8">
        <v>0.70399999999999996</v>
      </c>
    </row>
    <row r="149" spans="2:6" x14ac:dyDescent="0.35">
      <c r="B149">
        <v>8.92</v>
      </c>
      <c r="C149">
        <v>0.67400000000000004</v>
      </c>
      <c r="E149">
        <v>16.07</v>
      </c>
      <c r="F149" s="8">
        <v>0.70199999999999996</v>
      </c>
    </row>
    <row r="150" spans="2:6" x14ac:dyDescent="0.35">
      <c r="B150">
        <v>9.06</v>
      </c>
      <c r="C150">
        <v>0.67200000000000004</v>
      </c>
      <c r="E150">
        <v>16.170000000000002</v>
      </c>
      <c r="F150" s="8">
        <v>0.7</v>
      </c>
    </row>
    <row r="151" spans="2:6" x14ac:dyDescent="0.35">
      <c r="B151">
        <v>9.24</v>
      </c>
      <c r="C151">
        <v>0.67</v>
      </c>
      <c r="E151">
        <v>16.23</v>
      </c>
      <c r="F151" s="8">
        <v>0.69799999999999995</v>
      </c>
    </row>
    <row r="152" spans="2:6" x14ac:dyDescent="0.35">
      <c r="B152">
        <v>9.25</v>
      </c>
      <c r="C152">
        <v>0.66800000000000004</v>
      </c>
      <c r="E152">
        <v>16.3</v>
      </c>
      <c r="F152" s="8">
        <v>0.69599999999999995</v>
      </c>
    </row>
    <row r="153" spans="2:6" x14ac:dyDescent="0.35">
      <c r="B153">
        <v>9.32</v>
      </c>
      <c r="C153">
        <v>0.66600000000000004</v>
      </c>
      <c r="E153">
        <v>16.329999999999998</v>
      </c>
      <c r="F153" s="8">
        <v>0.69399999999999995</v>
      </c>
    </row>
    <row r="154" spans="2:6" x14ac:dyDescent="0.35">
      <c r="B154">
        <v>9.35</v>
      </c>
      <c r="C154">
        <v>0.66400000000000003</v>
      </c>
      <c r="E154">
        <v>16.39</v>
      </c>
      <c r="F154" s="8">
        <v>0.69199999999999995</v>
      </c>
    </row>
    <row r="155" spans="2:6" x14ac:dyDescent="0.35">
      <c r="B155">
        <v>9.3699999999999992</v>
      </c>
      <c r="C155">
        <v>0.66200000000000003</v>
      </c>
      <c r="E155">
        <v>16.82</v>
      </c>
      <c r="F155" s="8">
        <v>0.69</v>
      </c>
    </row>
    <row r="156" spans="2:6" x14ac:dyDescent="0.35">
      <c r="B156">
        <v>9.4</v>
      </c>
      <c r="C156">
        <v>0.66</v>
      </c>
      <c r="E156">
        <v>17.04</v>
      </c>
      <c r="F156" s="8">
        <v>0.68799999999999994</v>
      </c>
    </row>
    <row r="157" spans="2:6" x14ac:dyDescent="0.35">
      <c r="B157">
        <v>9.4499999999999993</v>
      </c>
      <c r="C157">
        <v>0.65800000000000003</v>
      </c>
      <c r="E157">
        <v>17.07</v>
      </c>
      <c r="F157" s="8">
        <v>0.68600000000000005</v>
      </c>
    </row>
    <row r="158" spans="2:6" x14ac:dyDescent="0.35">
      <c r="B158">
        <v>9.56</v>
      </c>
      <c r="C158">
        <v>0.65600000000000003</v>
      </c>
      <c r="E158">
        <v>17.5</v>
      </c>
      <c r="F158" s="8">
        <v>0.68400000000000005</v>
      </c>
    </row>
    <row r="159" spans="2:6" x14ac:dyDescent="0.35">
      <c r="B159">
        <v>9.6</v>
      </c>
      <c r="C159">
        <v>0.65400000000000003</v>
      </c>
      <c r="E159">
        <v>17.55</v>
      </c>
      <c r="F159" s="8">
        <v>0.68200000000000005</v>
      </c>
    </row>
    <row r="160" spans="2:6" x14ac:dyDescent="0.35">
      <c r="B160">
        <v>9.61</v>
      </c>
      <c r="C160">
        <v>0.65200000000000002</v>
      </c>
      <c r="E160">
        <v>17.73</v>
      </c>
      <c r="F160" s="8">
        <v>0.68</v>
      </c>
    </row>
    <row r="161" spans="2:6" x14ac:dyDescent="0.35">
      <c r="B161">
        <v>9.6199999999999992</v>
      </c>
      <c r="C161">
        <v>0.65</v>
      </c>
      <c r="E161">
        <v>17.91</v>
      </c>
      <c r="F161" s="8">
        <v>0.67800000000000005</v>
      </c>
    </row>
    <row r="162" spans="2:6" x14ac:dyDescent="0.35">
      <c r="B162">
        <v>9.74</v>
      </c>
      <c r="C162">
        <v>0.64800000000000002</v>
      </c>
      <c r="E162">
        <v>17.98</v>
      </c>
      <c r="F162" s="8">
        <v>0.67600000000000005</v>
      </c>
    </row>
    <row r="163" spans="2:6" x14ac:dyDescent="0.35">
      <c r="B163">
        <v>9.81</v>
      </c>
      <c r="C163">
        <v>0.64600000000000002</v>
      </c>
      <c r="E163">
        <v>18.05</v>
      </c>
      <c r="F163" s="8">
        <v>0.67400000000000004</v>
      </c>
    </row>
    <row r="164" spans="2:6" x14ac:dyDescent="0.35">
      <c r="B164">
        <v>9.83</v>
      </c>
      <c r="C164">
        <v>0.64200000000000002</v>
      </c>
      <c r="E164">
        <v>18.07</v>
      </c>
      <c r="F164" s="8">
        <v>0.67200000000000004</v>
      </c>
    </row>
    <row r="165" spans="2:6" x14ac:dyDescent="0.35">
      <c r="B165">
        <v>10</v>
      </c>
      <c r="C165">
        <v>0.64</v>
      </c>
      <c r="E165">
        <v>18.12</v>
      </c>
      <c r="F165" s="8">
        <v>0.67</v>
      </c>
    </row>
    <row r="166" spans="2:6" x14ac:dyDescent="0.35">
      <c r="B166">
        <v>10.06</v>
      </c>
      <c r="C166">
        <v>0.63600000000000001</v>
      </c>
      <c r="E166">
        <v>18.170000000000002</v>
      </c>
      <c r="F166" s="8">
        <v>0.66800000000000004</v>
      </c>
    </row>
    <row r="167" spans="2:6" x14ac:dyDescent="0.35">
      <c r="B167">
        <v>10.11</v>
      </c>
      <c r="C167">
        <v>0.63400000000000001</v>
      </c>
      <c r="E167">
        <v>18.32</v>
      </c>
      <c r="F167" s="8">
        <v>0.66600000000000004</v>
      </c>
    </row>
    <row r="168" spans="2:6" x14ac:dyDescent="0.35">
      <c r="B168">
        <v>10.220000000000001</v>
      </c>
      <c r="C168">
        <v>0.63200000000000001</v>
      </c>
      <c r="E168">
        <v>18.34</v>
      </c>
      <c r="F168" s="8">
        <v>0.66400000000000003</v>
      </c>
    </row>
    <row r="169" spans="2:6" x14ac:dyDescent="0.35">
      <c r="B169">
        <v>10.27</v>
      </c>
      <c r="C169">
        <v>0.628</v>
      </c>
      <c r="E169">
        <v>18.48</v>
      </c>
      <c r="F169" s="8">
        <v>0.66200000000000003</v>
      </c>
    </row>
    <row r="170" spans="2:6" x14ac:dyDescent="0.35">
      <c r="B170">
        <v>10.28</v>
      </c>
      <c r="C170">
        <v>0.626</v>
      </c>
      <c r="E170">
        <v>18.489999999999998</v>
      </c>
      <c r="F170" s="8">
        <v>0.65800000000000003</v>
      </c>
    </row>
    <row r="171" spans="2:6" x14ac:dyDescent="0.35">
      <c r="B171">
        <v>10.33</v>
      </c>
      <c r="C171">
        <v>0.624</v>
      </c>
      <c r="E171">
        <v>18.72</v>
      </c>
      <c r="F171" s="8">
        <v>0.65600000000000003</v>
      </c>
    </row>
    <row r="172" spans="2:6" x14ac:dyDescent="0.35">
      <c r="B172">
        <v>10.35</v>
      </c>
      <c r="C172">
        <v>0.622</v>
      </c>
      <c r="E172">
        <v>18.88</v>
      </c>
      <c r="F172" s="8">
        <v>0.65400000000000003</v>
      </c>
    </row>
    <row r="173" spans="2:6" x14ac:dyDescent="0.35">
      <c r="B173">
        <v>10.41</v>
      </c>
      <c r="C173">
        <v>0.62</v>
      </c>
      <c r="E173">
        <v>19.350000000000001</v>
      </c>
      <c r="F173" s="8">
        <v>0.65200000000000002</v>
      </c>
    </row>
    <row r="174" spans="2:6" x14ac:dyDescent="0.35">
      <c r="B174">
        <v>10.52</v>
      </c>
      <c r="C174">
        <v>0.61799999999999999</v>
      </c>
      <c r="E174">
        <v>19.38</v>
      </c>
      <c r="F174" s="8">
        <v>0.65</v>
      </c>
    </row>
    <row r="175" spans="2:6" x14ac:dyDescent="0.35">
      <c r="B175">
        <v>10.54</v>
      </c>
      <c r="C175">
        <v>0.61599999999999999</v>
      </c>
      <c r="E175">
        <v>19.45</v>
      </c>
      <c r="F175" s="8">
        <v>0.64800000000000002</v>
      </c>
    </row>
    <row r="176" spans="2:6" x14ac:dyDescent="0.35">
      <c r="B176">
        <v>10.63</v>
      </c>
      <c r="C176">
        <v>0.61399999999999999</v>
      </c>
      <c r="E176">
        <v>19.579999999999998</v>
      </c>
      <c r="F176" s="8">
        <v>0.64600000000000002</v>
      </c>
    </row>
    <row r="177" spans="2:6" x14ac:dyDescent="0.35">
      <c r="B177">
        <v>10.65</v>
      </c>
      <c r="C177">
        <v>0.61199999999999999</v>
      </c>
      <c r="E177">
        <v>19.600000000000001</v>
      </c>
      <c r="F177" s="8">
        <v>0.64400000000000002</v>
      </c>
    </row>
    <row r="178" spans="2:6" x14ac:dyDescent="0.35">
      <c r="B178">
        <v>10.72</v>
      </c>
      <c r="C178">
        <v>0.61</v>
      </c>
      <c r="E178">
        <v>20.18</v>
      </c>
      <c r="F178" s="8">
        <v>0.64200000000000002</v>
      </c>
    </row>
    <row r="179" spans="2:6" x14ac:dyDescent="0.35">
      <c r="B179">
        <v>10.75</v>
      </c>
      <c r="C179">
        <v>0.60599999999999998</v>
      </c>
      <c r="E179">
        <v>20.309999999999999</v>
      </c>
      <c r="F179" s="8">
        <v>0.64</v>
      </c>
    </row>
    <row r="180" spans="2:6" x14ac:dyDescent="0.35">
      <c r="B180">
        <v>10.89</v>
      </c>
      <c r="C180">
        <v>0.60399999999999998</v>
      </c>
      <c r="E180">
        <v>20.48</v>
      </c>
      <c r="F180" s="8">
        <v>0.63800000000000001</v>
      </c>
    </row>
    <row r="181" spans="2:6" x14ac:dyDescent="0.35">
      <c r="B181">
        <v>11.11</v>
      </c>
      <c r="C181">
        <v>0.60199999999999998</v>
      </c>
      <c r="E181">
        <v>20.67</v>
      </c>
      <c r="F181" s="8">
        <v>0.63600000000000001</v>
      </c>
    </row>
    <row r="182" spans="2:6" x14ac:dyDescent="0.35">
      <c r="B182">
        <v>11.26</v>
      </c>
      <c r="C182">
        <v>0.6</v>
      </c>
      <c r="E182">
        <v>20.73</v>
      </c>
      <c r="F182" s="8">
        <v>0.63400000000000001</v>
      </c>
    </row>
    <row r="183" spans="2:6" x14ac:dyDescent="0.35">
      <c r="B183">
        <v>11.3</v>
      </c>
      <c r="C183">
        <v>0.59799999999999998</v>
      </c>
      <c r="E183">
        <v>20.86</v>
      </c>
      <c r="F183" s="8">
        <v>0.63200000000000001</v>
      </c>
    </row>
    <row r="184" spans="2:6" x14ac:dyDescent="0.35">
      <c r="B184">
        <v>11.38</v>
      </c>
      <c r="C184">
        <v>0.59599999999999997</v>
      </c>
      <c r="E184">
        <v>20.93</v>
      </c>
      <c r="F184" s="8">
        <v>0.63</v>
      </c>
    </row>
    <row r="185" spans="2:6" x14ac:dyDescent="0.35">
      <c r="B185">
        <v>11.46</v>
      </c>
      <c r="C185">
        <v>0.59399999999999997</v>
      </c>
      <c r="E185">
        <v>20.98</v>
      </c>
      <c r="F185" s="8">
        <v>0.628</v>
      </c>
    </row>
    <row r="186" spans="2:6" x14ac:dyDescent="0.35">
      <c r="B186">
        <v>11.6</v>
      </c>
      <c r="C186">
        <v>0.59199999999999997</v>
      </c>
      <c r="E186">
        <v>21.24</v>
      </c>
      <c r="F186" s="8">
        <v>0.626</v>
      </c>
    </row>
    <row r="187" spans="2:6" x14ac:dyDescent="0.35">
      <c r="B187">
        <v>11.61</v>
      </c>
      <c r="C187">
        <v>0.59</v>
      </c>
      <c r="E187">
        <v>21.44</v>
      </c>
      <c r="F187" s="8">
        <v>0.624</v>
      </c>
    </row>
    <row r="188" spans="2:6" x14ac:dyDescent="0.35">
      <c r="B188">
        <v>11.63</v>
      </c>
      <c r="C188">
        <v>0.58799999999999997</v>
      </c>
      <c r="E188">
        <v>21.54</v>
      </c>
      <c r="F188" s="8">
        <v>0.62</v>
      </c>
    </row>
    <row r="189" spans="2:6" x14ac:dyDescent="0.35">
      <c r="B189">
        <v>11.64</v>
      </c>
      <c r="C189">
        <v>0.58599999999999997</v>
      </c>
      <c r="E189">
        <v>21.72</v>
      </c>
      <c r="F189" s="8">
        <v>0.61799999999999999</v>
      </c>
    </row>
    <row r="190" spans="2:6" x14ac:dyDescent="0.35">
      <c r="B190">
        <v>11.65</v>
      </c>
      <c r="C190">
        <v>0.58399999999999996</v>
      </c>
      <c r="E190">
        <v>21.76</v>
      </c>
      <c r="F190" s="8">
        <v>0.61599999999999999</v>
      </c>
    </row>
    <row r="191" spans="2:6" x14ac:dyDescent="0.35">
      <c r="B191">
        <v>11.89</v>
      </c>
      <c r="C191">
        <v>0.58199999999999996</v>
      </c>
      <c r="E191">
        <v>21.86</v>
      </c>
      <c r="F191" s="8">
        <v>0.61399999999999999</v>
      </c>
    </row>
    <row r="192" spans="2:6" x14ac:dyDescent="0.35">
      <c r="B192">
        <v>11.94</v>
      </c>
      <c r="C192">
        <v>0.57999999999999996</v>
      </c>
      <c r="E192">
        <v>22.03</v>
      </c>
      <c r="F192" s="8">
        <v>0.61199999999999999</v>
      </c>
    </row>
    <row r="193" spans="2:6" x14ac:dyDescent="0.35">
      <c r="B193">
        <v>12.01</v>
      </c>
      <c r="C193">
        <v>0.57799999999999996</v>
      </c>
      <c r="E193">
        <v>22.05</v>
      </c>
      <c r="F193" s="8">
        <v>0.60799999999999998</v>
      </c>
    </row>
    <row r="194" spans="2:6" x14ac:dyDescent="0.35">
      <c r="B194">
        <v>12.07</v>
      </c>
      <c r="C194">
        <v>0.57599999999999996</v>
      </c>
      <c r="E194">
        <v>22.07</v>
      </c>
      <c r="F194" s="8">
        <v>0.60599999999999998</v>
      </c>
    </row>
    <row r="195" spans="2:6" x14ac:dyDescent="0.35">
      <c r="B195">
        <v>12.08</v>
      </c>
      <c r="C195">
        <v>0.57399999999999995</v>
      </c>
      <c r="E195">
        <v>22.13</v>
      </c>
      <c r="F195" s="8">
        <v>0.60399999999999998</v>
      </c>
    </row>
    <row r="196" spans="2:6" x14ac:dyDescent="0.35">
      <c r="B196">
        <v>12.12</v>
      </c>
      <c r="C196">
        <v>0.57199999999999995</v>
      </c>
      <c r="E196">
        <v>22.18</v>
      </c>
      <c r="F196" s="8">
        <v>0.60199999999999998</v>
      </c>
    </row>
    <row r="197" spans="2:6" x14ac:dyDescent="0.35">
      <c r="B197">
        <v>12.25</v>
      </c>
      <c r="C197">
        <v>0.56999999999999995</v>
      </c>
      <c r="E197">
        <v>22.85</v>
      </c>
      <c r="F197" s="8">
        <v>0.6</v>
      </c>
    </row>
    <row r="198" spans="2:6" x14ac:dyDescent="0.35">
      <c r="B198">
        <v>12.28</v>
      </c>
      <c r="C198">
        <v>0.56799999999999995</v>
      </c>
      <c r="E198">
        <v>22.92</v>
      </c>
      <c r="F198" s="8">
        <v>0.59799999999999998</v>
      </c>
    </row>
    <row r="199" spans="2:6" x14ac:dyDescent="0.35">
      <c r="B199">
        <v>12.34</v>
      </c>
      <c r="C199">
        <v>0.56599999999999995</v>
      </c>
      <c r="E199">
        <v>22.97</v>
      </c>
      <c r="F199" s="8">
        <v>0.59599999999999997</v>
      </c>
    </row>
    <row r="200" spans="2:6" x14ac:dyDescent="0.35">
      <c r="B200">
        <v>12.35</v>
      </c>
      <c r="C200">
        <v>0.56399999999999995</v>
      </c>
      <c r="E200">
        <v>23.08</v>
      </c>
      <c r="F200" s="8">
        <v>0.59399999999999997</v>
      </c>
    </row>
    <row r="201" spans="2:6" x14ac:dyDescent="0.35">
      <c r="B201">
        <v>12.4</v>
      </c>
      <c r="C201">
        <v>0.56200000000000006</v>
      </c>
      <c r="E201">
        <v>23.12</v>
      </c>
      <c r="F201" s="8">
        <v>0.59199999999999997</v>
      </c>
    </row>
    <row r="202" spans="2:6" x14ac:dyDescent="0.35">
      <c r="B202">
        <v>12.5</v>
      </c>
      <c r="C202">
        <v>0.56000000000000005</v>
      </c>
      <c r="E202">
        <v>23.16</v>
      </c>
      <c r="F202" s="8">
        <v>0.59</v>
      </c>
    </row>
    <row r="203" spans="2:6" x14ac:dyDescent="0.35">
      <c r="B203">
        <v>12.55</v>
      </c>
      <c r="C203">
        <v>0.55800000000000005</v>
      </c>
      <c r="E203">
        <v>23.46</v>
      </c>
      <c r="F203" s="8">
        <v>0.58799999999999997</v>
      </c>
    </row>
    <row r="204" spans="2:6" x14ac:dyDescent="0.35">
      <c r="B204">
        <v>12.58</v>
      </c>
      <c r="C204">
        <v>0.55600000000000005</v>
      </c>
      <c r="E204">
        <v>23.88</v>
      </c>
      <c r="F204" s="8">
        <v>0.58599999999999997</v>
      </c>
    </row>
    <row r="205" spans="2:6" x14ac:dyDescent="0.35">
      <c r="B205">
        <v>12.59</v>
      </c>
      <c r="C205">
        <v>0.55400000000000005</v>
      </c>
      <c r="E205">
        <v>24</v>
      </c>
      <c r="F205" s="8">
        <v>0.58599999999999997</v>
      </c>
    </row>
    <row r="206" spans="2:6" x14ac:dyDescent="0.35">
      <c r="B206">
        <v>12.62</v>
      </c>
      <c r="C206">
        <v>0.55200000000000005</v>
      </c>
    </row>
    <row r="207" spans="2:6" x14ac:dyDescent="0.35">
      <c r="B207">
        <v>12.68</v>
      </c>
      <c r="C207">
        <v>0.55000000000000004</v>
      </c>
    </row>
    <row r="208" spans="2:6" x14ac:dyDescent="0.35">
      <c r="B208">
        <v>12.69</v>
      </c>
      <c r="C208">
        <v>0.54800000000000004</v>
      </c>
    </row>
    <row r="209" spans="2:3" x14ac:dyDescent="0.35">
      <c r="B209">
        <v>12.7</v>
      </c>
      <c r="C209">
        <v>0.54600000000000004</v>
      </c>
    </row>
    <row r="210" spans="2:3" x14ac:dyDescent="0.35">
      <c r="B210">
        <v>12.78</v>
      </c>
      <c r="C210">
        <v>0.54400000000000004</v>
      </c>
    </row>
    <row r="211" spans="2:3" x14ac:dyDescent="0.35">
      <c r="B211">
        <v>12.84</v>
      </c>
      <c r="C211">
        <v>0.54200000000000004</v>
      </c>
    </row>
    <row r="212" spans="2:3" x14ac:dyDescent="0.35">
      <c r="B212">
        <v>12.89</v>
      </c>
      <c r="C212">
        <v>0.54</v>
      </c>
    </row>
    <row r="213" spans="2:3" x14ac:dyDescent="0.35">
      <c r="B213">
        <v>13</v>
      </c>
      <c r="C213">
        <v>0.53800000000000003</v>
      </c>
    </row>
    <row r="214" spans="2:3" x14ac:dyDescent="0.35">
      <c r="B214">
        <v>13.18</v>
      </c>
      <c r="C214">
        <v>0.53600000000000003</v>
      </c>
    </row>
    <row r="215" spans="2:3" x14ac:dyDescent="0.35">
      <c r="B215">
        <v>13.2</v>
      </c>
      <c r="C215">
        <v>0.53400000000000003</v>
      </c>
    </row>
    <row r="216" spans="2:3" x14ac:dyDescent="0.35">
      <c r="B216">
        <v>13.27</v>
      </c>
      <c r="C216">
        <v>0.53200000000000003</v>
      </c>
    </row>
    <row r="217" spans="2:3" x14ac:dyDescent="0.35">
      <c r="B217">
        <v>13.32</v>
      </c>
      <c r="C217">
        <v>0.53</v>
      </c>
    </row>
    <row r="218" spans="2:3" x14ac:dyDescent="0.35">
      <c r="B218">
        <v>13.39</v>
      </c>
      <c r="C218">
        <v>0.52800000000000002</v>
      </c>
    </row>
    <row r="219" spans="2:3" x14ac:dyDescent="0.35">
      <c r="B219">
        <v>13.43</v>
      </c>
      <c r="C219">
        <v>0.52600000000000002</v>
      </c>
    </row>
    <row r="220" spans="2:3" x14ac:dyDescent="0.35">
      <c r="B220">
        <v>13.69</v>
      </c>
      <c r="C220">
        <v>0.52400000000000002</v>
      </c>
    </row>
    <row r="221" spans="2:3" x14ac:dyDescent="0.35">
      <c r="B221">
        <v>13.71</v>
      </c>
      <c r="C221">
        <v>0.52200000000000002</v>
      </c>
    </row>
    <row r="222" spans="2:3" x14ac:dyDescent="0.35">
      <c r="B222">
        <v>13.8</v>
      </c>
      <c r="C222">
        <v>0.52</v>
      </c>
    </row>
    <row r="223" spans="2:3" x14ac:dyDescent="0.35">
      <c r="B223">
        <v>13.93</v>
      </c>
      <c r="C223">
        <v>0.51800000000000002</v>
      </c>
    </row>
    <row r="224" spans="2:3" x14ac:dyDescent="0.35">
      <c r="B224">
        <v>13.98</v>
      </c>
      <c r="C224">
        <v>0.51600000000000001</v>
      </c>
    </row>
    <row r="225" spans="2:3" x14ac:dyDescent="0.35">
      <c r="B225">
        <v>14.17</v>
      </c>
      <c r="C225">
        <v>0.51400000000000001</v>
      </c>
    </row>
    <row r="226" spans="2:3" x14ac:dyDescent="0.35">
      <c r="B226">
        <v>14.24</v>
      </c>
      <c r="C226">
        <v>0.51200000000000001</v>
      </c>
    </row>
    <row r="227" spans="2:3" x14ac:dyDescent="0.35">
      <c r="B227">
        <v>14.3</v>
      </c>
      <c r="C227">
        <v>0.51</v>
      </c>
    </row>
    <row r="228" spans="2:3" x14ac:dyDescent="0.35">
      <c r="B228">
        <v>14.4</v>
      </c>
      <c r="C228">
        <v>0.50800000000000001</v>
      </c>
    </row>
    <row r="229" spans="2:3" x14ac:dyDescent="0.35">
      <c r="B229">
        <v>14.43</v>
      </c>
      <c r="C229">
        <v>0.50600000000000001</v>
      </c>
    </row>
    <row r="230" spans="2:3" x14ac:dyDescent="0.35">
      <c r="B230">
        <v>14.54</v>
      </c>
      <c r="C230">
        <v>0.504</v>
      </c>
    </row>
    <row r="231" spans="2:3" x14ac:dyDescent="0.35">
      <c r="B231">
        <v>14.64</v>
      </c>
      <c r="C231">
        <v>0.502</v>
      </c>
    </row>
    <row r="232" spans="2:3" x14ac:dyDescent="0.35">
      <c r="B232">
        <v>14.99</v>
      </c>
      <c r="C232">
        <v>0.496</v>
      </c>
    </row>
    <row r="233" spans="2:3" x14ac:dyDescent="0.35">
      <c r="B233">
        <v>15.08</v>
      </c>
      <c r="C233">
        <v>0.49399999999999999</v>
      </c>
    </row>
    <row r="234" spans="2:3" x14ac:dyDescent="0.35">
      <c r="B234">
        <v>15.12</v>
      </c>
      <c r="C234">
        <v>0.49199999999999999</v>
      </c>
    </row>
    <row r="235" spans="2:3" x14ac:dyDescent="0.35">
      <c r="B235">
        <v>15.17</v>
      </c>
      <c r="C235">
        <v>0.49</v>
      </c>
    </row>
    <row r="236" spans="2:3" x14ac:dyDescent="0.35">
      <c r="B236">
        <v>15.45</v>
      </c>
      <c r="C236">
        <v>0.48799999999999999</v>
      </c>
    </row>
    <row r="237" spans="2:3" x14ac:dyDescent="0.35">
      <c r="B237">
        <v>15.56</v>
      </c>
      <c r="C237">
        <v>0.48599999999999999</v>
      </c>
    </row>
    <row r="238" spans="2:3" x14ac:dyDescent="0.35">
      <c r="B238">
        <v>15.87</v>
      </c>
      <c r="C238">
        <v>0.48399999999999999</v>
      </c>
    </row>
    <row r="239" spans="2:3" x14ac:dyDescent="0.35">
      <c r="B239">
        <v>15.93</v>
      </c>
      <c r="C239">
        <v>0.48199999999999998</v>
      </c>
    </row>
    <row r="240" spans="2:3" x14ac:dyDescent="0.35">
      <c r="B240">
        <v>15.94</v>
      </c>
      <c r="C240">
        <v>0.48</v>
      </c>
    </row>
    <row r="241" spans="2:3" x14ac:dyDescent="0.35">
      <c r="B241">
        <v>15.95</v>
      </c>
      <c r="C241">
        <v>0.47799999999999998</v>
      </c>
    </row>
    <row r="242" spans="2:3" x14ac:dyDescent="0.35">
      <c r="B242">
        <v>16.28</v>
      </c>
      <c r="C242">
        <v>0.47599999999999998</v>
      </c>
    </row>
    <row r="243" spans="2:3" x14ac:dyDescent="0.35">
      <c r="B243">
        <v>16.329999999999998</v>
      </c>
      <c r="C243">
        <v>0.47399999999999998</v>
      </c>
    </row>
    <row r="244" spans="2:3" x14ac:dyDescent="0.35">
      <c r="B244">
        <v>16.45</v>
      </c>
      <c r="C244">
        <v>0.47199999999999998</v>
      </c>
    </row>
    <row r="245" spans="2:3" x14ac:dyDescent="0.35">
      <c r="B245">
        <v>16.72</v>
      </c>
      <c r="C245">
        <v>0.47</v>
      </c>
    </row>
    <row r="246" spans="2:3" x14ac:dyDescent="0.35">
      <c r="B246">
        <v>16.75</v>
      </c>
      <c r="C246">
        <v>0.46800000000000003</v>
      </c>
    </row>
    <row r="247" spans="2:3" x14ac:dyDescent="0.35">
      <c r="B247">
        <v>16.78</v>
      </c>
      <c r="C247">
        <v>0.46600000000000003</v>
      </c>
    </row>
    <row r="248" spans="2:3" x14ac:dyDescent="0.35">
      <c r="B248">
        <v>16.850000000000001</v>
      </c>
      <c r="C248">
        <v>0.46400000000000002</v>
      </c>
    </row>
    <row r="249" spans="2:3" x14ac:dyDescent="0.35">
      <c r="B249">
        <v>16.95</v>
      </c>
      <c r="C249">
        <v>0.46200000000000002</v>
      </c>
    </row>
    <row r="250" spans="2:3" x14ac:dyDescent="0.35">
      <c r="B250">
        <v>17.34</v>
      </c>
      <c r="C250">
        <v>0.46</v>
      </c>
    </row>
    <row r="251" spans="2:3" x14ac:dyDescent="0.35">
      <c r="B251">
        <v>17.350000000000001</v>
      </c>
      <c r="C251">
        <v>0.45800000000000002</v>
      </c>
    </row>
    <row r="252" spans="2:3" x14ac:dyDescent="0.35">
      <c r="B252">
        <v>17.45</v>
      </c>
      <c r="C252">
        <v>0.45600000000000002</v>
      </c>
    </row>
    <row r="253" spans="2:3" x14ac:dyDescent="0.35">
      <c r="B253">
        <v>17.73</v>
      </c>
      <c r="C253">
        <v>0.45400000000000001</v>
      </c>
    </row>
    <row r="254" spans="2:3" x14ac:dyDescent="0.35">
      <c r="B254">
        <v>17.75</v>
      </c>
      <c r="C254">
        <v>0.45200000000000001</v>
      </c>
    </row>
    <row r="255" spans="2:3" x14ac:dyDescent="0.35">
      <c r="B255">
        <v>17.88</v>
      </c>
      <c r="C255">
        <v>0.45</v>
      </c>
    </row>
    <row r="256" spans="2:3" x14ac:dyDescent="0.35">
      <c r="B256">
        <v>17.89</v>
      </c>
      <c r="C256">
        <v>0.44800000000000001</v>
      </c>
    </row>
    <row r="257" spans="2:3" x14ac:dyDescent="0.35">
      <c r="B257">
        <v>17.899999999999999</v>
      </c>
      <c r="C257">
        <v>0.44600000000000001</v>
      </c>
    </row>
    <row r="258" spans="2:3" x14ac:dyDescent="0.35">
      <c r="B258">
        <v>18.010000000000002</v>
      </c>
      <c r="C258">
        <v>0.44400000000000001</v>
      </c>
    </row>
    <row r="259" spans="2:3" x14ac:dyDescent="0.35">
      <c r="B259">
        <v>18.14</v>
      </c>
      <c r="C259">
        <v>0.442</v>
      </c>
    </row>
    <row r="260" spans="2:3" x14ac:dyDescent="0.35">
      <c r="B260">
        <v>18.32</v>
      </c>
      <c r="C260">
        <v>0.44</v>
      </c>
    </row>
    <row r="261" spans="2:3" x14ac:dyDescent="0.35">
      <c r="B261">
        <v>18.34</v>
      </c>
      <c r="C261">
        <v>0.438</v>
      </c>
    </row>
    <row r="262" spans="2:3" x14ac:dyDescent="0.35">
      <c r="B262">
        <v>18.38</v>
      </c>
      <c r="C262">
        <v>0.436</v>
      </c>
    </row>
    <row r="263" spans="2:3" x14ac:dyDescent="0.35">
      <c r="B263">
        <v>18.420000000000002</v>
      </c>
      <c r="C263">
        <v>0.434</v>
      </c>
    </row>
    <row r="264" spans="2:3" x14ac:dyDescent="0.35">
      <c r="B264">
        <v>18.48</v>
      </c>
      <c r="C264">
        <v>0.432</v>
      </c>
    </row>
    <row r="265" spans="2:3" x14ac:dyDescent="0.35">
      <c r="B265">
        <v>18.559999999999999</v>
      </c>
      <c r="C265">
        <v>0.43</v>
      </c>
    </row>
    <row r="266" spans="2:3" x14ac:dyDescent="0.35">
      <c r="B266">
        <v>18.600000000000001</v>
      </c>
      <c r="C266">
        <v>0.42799999999999999</v>
      </c>
    </row>
    <row r="267" spans="2:3" x14ac:dyDescent="0.35">
      <c r="B267">
        <v>18.75</v>
      </c>
      <c r="C267">
        <v>0.42599999999999999</v>
      </c>
    </row>
    <row r="268" spans="2:3" x14ac:dyDescent="0.35">
      <c r="B268">
        <v>18.88</v>
      </c>
      <c r="C268">
        <v>0.42399999999999999</v>
      </c>
    </row>
    <row r="269" spans="2:3" x14ac:dyDescent="0.35">
      <c r="B269">
        <v>19</v>
      </c>
      <c r="C269">
        <v>0.42199999999999999</v>
      </c>
    </row>
    <row r="270" spans="2:3" x14ac:dyDescent="0.35">
      <c r="B270">
        <v>19.010000000000002</v>
      </c>
      <c r="C270">
        <v>0.42</v>
      </c>
    </row>
    <row r="271" spans="2:3" x14ac:dyDescent="0.35">
      <c r="B271">
        <v>19.059999999999999</v>
      </c>
      <c r="C271">
        <v>0.41799999999999998</v>
      </c>
    </row>
    <row r="272" spans="2:3" x14ac:dyDescent="0.35">
      <c r="B272">
        <v>19.190000000000001</v>
      </c>
      <c r="C272">
        <v>0.41599999999999998</v>
      </c>
    </row>
    <row r="273" spans="2:3" x14ac:dyDescent="0.35">
      <c r="B273">
        <v>19.239999999999998</v>
      </c>
      <c r="C273">
        <v>0.41399999999999998</v>
      </c>
    </row>
    <row r="274" spans="2:3" x14ac:dyDescent="0.35">
      <c r="B274">
        <v>19.41</v>
      </c>
      <c r="C274">
        <v>0.41199999999999998</v>
      </c>
    </row>
    <row r="275" spans="2:3" x14ac:dyDescent="0.35">
      <c r="B275">
        <v>19.43</v>
      </c>
      <c r="C275">
        <v>0.41</v>
      </c>
    </row>
    <row r="276" spans="2:3" x14ac:dyDescent="0.35">
      <c r="B276">
        <v>19.5</v>
      </c>
      <c r="C276">
        <v>0.40799999999999997</v>
      </c>
    </row>
    <row r="277" spans="2:3" x14ac:dyDescent="0.35">
      <c r="B277">
        <v>19.510000000000002</v>
      </c>
      <c r="C277">
        <v>0.40600000000000003</v>
      </c>
    </row>
    <row r="278" spans="2:3" x14ac:dyDescent="0.35">
      <c r="B278">
        <v>19.75</v>
      </c>
      <c r="C278">
        <v>0.40400000000000003</v>
      </c>
    </row>
    <row r="279" spans="2:3" x14ac:dyDescent="0.35">
      <c r="B279">
        <v>19.87</v>
      </c>
      <c r="C279">
        <v>0.40200000000000002</v>
      </c>
    </row>
    <row r="280" spans="2:3" x14ac:dyDescent="0.35">
      <c r="B280">
        <v>19.95</v>
      </c>
      <c r="C280">
        <v>0.4</v>
      </c>
    </row>
    <row r="281" spans="2:3" x14ac:dyDescent="0.35">
      <c r="B281">
        <v>19.98</v>
      </c>
      <c r="C281">
        <v>0.39800000000000002</v>
      </c>
    </row>
    <row r="282" spans="2:3" x14ac:dyDescent="0.35">
      <c r="B282">
        <v>20.16</v>
      </c>
      <c r="C282">
        <v>0.39600000000000002</v>
      </c>
    </row>
    <row r="283" spans="2:3" x14ac:dyDescent="0.35">
      <c r="B283">
        <v>20.239999999999998</v>
      </c>
      <c r="C283">
        <v>0.39400000000000002</v>
      </c>
    </row>
    <row r="284" spans="2:3" x14ac:dyDescent="0.35">
      <c r="B284">
        <v>20.56</v>
      </c>
      <c r="C284">
        <v>0.39200000000000002</v>
      </c>
    </row>
    <row r="285" spans="2:3" x14ac:dyDescent="0.35">
      <c r="B285">
        <v>20.63</v>
      </c>
      <c r="C285">
        <v>0.39</v>
      </c>
    </row>
    <row r="286" spans="2:3" x14ac:dyDescent="0.35">
      <c r="B286">
        <v>20.75</v>
      </c>
      <c r="C286">
        <v>0.38800000000000001</v>
      </c>
    </row>
    <row r="287" spans="2:3" x14ac:dyDescent="0.35">
      <c r="B287">
        <v>20.8</v>
      </c>
      <c r="C287">
        <v>0.38600000000000001</v>
      </c>
    </row>
    <row r="288" spans="2:3" x14ac:dyDescent="0.35">
      <c r="B288">
        <v>20.99</v>
      </c>
      <c r="C288">
        <v>0.38400000000000001</v>
      </c>
    </row>
    <row r="289" spans="2:3" x14ac:dyDescent="0.35">
      <c r="B289">
        <v>21.12</v>
      </c>
      <c r="C289">
        <v>0.38</v>
      </c>
    </row>
    <row r="290" spans="2:3" x14ac:dyDescent="0.35">
      <c r="B290">
        <v>21.38</v>
      </c>
      <c r="C290">
        <v>0.378</v>
      </c>
    </row>
    <row r="291" spans="2:3" x14ac:dyDescent="0.35">
      <c r="B291">
        <v>21.59</v>
      </c>
      <c r="C291">
        <v>0.376</v>
      </c>
    </row>
    <row r="292" spans="2:3" x14ac:dyDescent="0.35">
      <c r="B292">
        <v>21.64</v>
      </c>
      <c r="C292">
        <v>0.374</v>
      </c>
    </row>
    <row r="293" spans="2:3" x14ac:dyDescent="0.35">
      <c r="B293">
        <v>21.65</v>
      </c>
      <c r="C293">
        <v>0.372</v>
      </c>
    </row>
    <row r="294" spans="2:3" x14ac:dyDescent="0.35">
      <c r="B294">
        <v>21.68</v>
      </c>
      <c r="C294">
        <v>0.37</v>
      </c>
    </row>
    <row r="295" spans="2:3" x14ac:dyDescent="0.35">
      <c r="B295">
        <v>21.7</v>
      </c>
      <c r="C295">
        <v>0.36799999999999999</v>
      </c>
    </row>
    <row r="296" spans="2:3" x14ac:dyDescent="0.35">
      <c r="B296">
        <v>21.98</v>
      </c>
      <c r="C296">
        <v>0.36599999999999999</v>
      </c>
    </row>
    <row r="297" spans="2:3" x14ac:dyDescent="0.35">
      <c r="B297">
        <v>22.36</v>
      </c>
      <c r="C297">
        <v>0.36399999999999999</v>
      </c>
    </row>
    <row r="298" spans="2:3" x14ac:dyDescent="0.35">
      <c r="B298">
        <v>22.42</v>
      </c>
      <c r="C298">
        <v>0.36199999999999999</v>
      </c>
    </row>
    <row r="299" spans="2:3" x14ac:dyDescent="0.35">
      <c r="B299">
        <v>22.44</v>
      </c>
      <c r="C299">
        <v>0.36</v>
      </c>
    </row>
    <row r="300" spans="2:3" x14ac:dyDescent="0.35">
      <c r="B300">
        <v>22.5</v>
      </c>
      <c r="C300">
        <v>0.35799999999999998</v>
      </c>
    </row>
    <row r="301" spans="2:3" x14ac:dyDescent="0.35">
      <c r="B301">
        <v>22.56</v>
      </c>
      <c r="C301">
        <v>0.35599999999999998</v>
      </c>
    </row>
    <row r="302" spans="2:3" x14ac:dyDescent="0.35">
      <c r="B302">
        <v>22.79</v>
      </c>
      <c r="C302">
        <v>0.35399999999999998</v>
      </c>
    </row>
    <row r="303" spans="2:3" x14ac:dyDescent="0.35">
      <c r="B303">
        <v>22.86</v>
      </c>
      <c r="C303">
        <v>0.35199999999999998</v>
      </c>
    </row>
    <row r="304" spans="2:3" x14ac:dyDescent="0.35">
      <c r="B304">
        <v>23</v>
      </c>
      <c r="C304">
        <v>0.35</v>
      </c>
    </row>
    <row r="305" spans="2:3" x14ac:dyDescent="0.35">
      <c r="B305">
        <v>23.01</v>
      </c>
      <c r="C305">
        <v>0.34799999999999998</v>
      </c>
    </row>
    <row r="306" spans="2:3" x14ac:dyDescent="0.35">
      <c r="B306">
        <v>23.02</v>
      </c>
      <c r="C306">
        <v>0.34599999999999997</v>
      </c>
    </row>
    <row r="307" spans="2:3" x14ac:dyDescent="0.35">
      <c r="B307">
        <v>23.1</v>
      </c>
      <c r="C307">
        <v>0.34399999999999997</v>
      </c>
    </row>
    <row r="308" spans="2:3" x14ac:dyDescent="0.35">
      <c r="B308">
        <v>23.73</v>
      </c>
      <c r="C308">
        <v>0.34200000000000003</v>
      </c>
    </row>
    <row r="309" spans="2:3" x14ac:dyDescent="0.35">
      <c r="B309">
        <v>23.9</v>
      </c>
      <c r="C309">
        <v>0.34</v>
      </c>
    </row>
    <row r="310" spans="2:3" x14ac:dyDescent="0.35">
      <c r="B310">
        <v>24</v>
      </c>
      <c r="C310">
        <v>0.34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0038-E54B-4061-B3B0-C69BD97A9AA9}">
  <dimension ref="A1:E502"/>
  <sheetViews>
    <sheetView zoomScale="150" zoomScaleNormal="150" workbookViewId="0">
      <selection activeCell="G13" sqref="G13"/>
    </sheetView>
  </sheetViews>
  <sheetFormatPr defaultRowHeight="14.5" x14ac:dyDescent="0.35"/>
  <sheetData>
    <row r="1" spans="1:5" x14ac:dyDescent="0.35">
      <c r="A1" s="1" t="s">
        <v>0</v>
      </c>
      <c r="D1" s="1" t="s">
        <v>1</v>
      </c>
    </row>
    <row r="2" spans="1:5" x14ac:dyDescent="0.35">
      <c r="A2" s="2" t="s">
        <v>2</v>
      </c>
      <c r="B2" s="2" t="s">
        <v>3</v>
      </c>
      <c r="C2" s="3"/>
      <c r="D2" s="2" t="s">
        <v>2</v>
      </c>
      <c r="E2" s="2" t="s">
        <v>3</v>
      </c>
    </row>
    <row r="3" spans="1:5" x14ac:dyDescent="0.35">
      <c r="A3">
        <v>0.05</v>
      </c>
      <c r="B3">
        <v>1</v>
      </c>
      <c r="D3">
        <v>0.24</v>
      </c>
      <c r="E3">
        <v>1</v>
      </c>
    </row>
    <row r="4" spans="1:5" x14ac:dyDescent="0.35">
      <c r="A4">
        <v>0.06</v>
      </c>
      <c r="B4">
        <v>1</v>
      </c>
      <c r="D4">
        <v>0.26</v>
      </c>
      <c r="E4">
        <v>1</v>
      </c>
    </row>
    <row r="5" spans="1:5" x14ac:dyDescent="0.35">
      <c r="A5">
        <v>0.08</v>
      </c>
      <c r="B5">
        <v>1</v>
      </c>
      <c r="D5">
        <v>0.33</v>
      </c>
      <c r="E5">
        <v>1</v>
      </c>
    </row>
    <row r="6" spans="1:5" x14ac:dyDescent="0.35">
      <c r="A6">
        <v>0.13</v>
      </c>
      <c r="B6">
        <v>1</v>
      </c>
      <c r="D6">
        <v>0.43</v>
      </c>
      <c r="E6">
        <v>1</v>
      </c>
    </row>
    <row r="7" spans="1:5" x14ac:dyDescent="0.35">
      <c r="A7">
        <v>0.14000000000000001</v>
      </c>
      <c r="B7">
        <v>1</v>
      </c>
      <c r="D7">
        <v>0.51</v>
      </c>
      <c r="E7">
        <v>1</v>
      </c>
    </row>
    <row r="8" spans="1:5" x14ac:dyDescent="0.35">
      <c r="A8">
        <v>0.14000000000000001</v>
      </c>
      <c r="B8">
        <v>1</v>
      </c>
      <c r="D8">
        <v>0.54</v>
      </c>
      <c r="E8">
        <v>1</v>
      </c>
    </row>
    <row r="9" spans="1:5" x14ac:dyDescent="0.35">
      <c r="A9">
        <v>0.17</v>
      </c>
      <c r="B9">
        <v>1</v>
      </c>
      <c r="D9">
        <v>0.56999999999999995</v>
      </c>
      <c r="E9">
        <v>1</v>
      </c>
    </row>
    <row r="10" spans="1:5" x14ac:dyDescent="0.35">
      <c r="A10">
        <v>0.18</v>
      </c>
      <c r="B10">
        <v>1</v>
      </c>
      <c r="D10">
        <v>0.68</v>
      </c>
      <c r="E10">
        <v>1</v>
      </c>
    </row>
    <row r="11" spans="1:5" x14ac:dyDescent="0.35">
      <c r="A11">
        <v>0.3</v>
      </c>
      <c r="B11">
        <v>1</v>
      </c>
      <c r="D11">
        <v>0.73</v>
      </c>
      <c r="E11">
        <v>1</v>
      </c>
    </row>
    <row r="12" spans="1:5" x14ac:dyDescent="0.35">
      <c r="A12">
        <v>0.37</v>
      </c>
      <c r="B12">
        <v>1</v>
      </c>
      <c r="D12">
        <v>0.79</v>
      </c>
      <c r="E12">
        <v>1</v>
      </c>
    </row>
    <row r="13" spans="1:5" x14ac:dyDescent="0.35">
      <c r="A13">
        <v>0.37</v>
      </c>
      <c r="B13">
        <v>1</v>
      </c>
      <c r="D13">
        <v>0.86</v>
      </c>
      <c r="E13">
        <v>1</v>
      </c>
    </row>
    <row r="14" spans="1:5" x14ac:dyDescent="0.35">
      <c r="A14">
        <v>0.38</v>
      </c>
      <c r="B14">
        <v>1</v>
      </c>
      <c r="D14">
        <v>0.98</v>
      </c>
      <c r="E14">
        <v>1</v>
      </c>
    </row>
    <row r="15" spans="1:5" x14ac:dyDescent="0.35">
      <c r="A15">
        <v>0.48</v>
      </c>
      <c r="B15">
        <v>1</v>
      </c>
      <c r="D15">
        <v>1.1100000000000001</v>
      </c>
      <c r="E15">
        <v>1</v>
      </c>
    </row>
    <row r="16" spans="1:5" x14ac:dyDescent="0.35">
      <c r="A16">
        <v>0.56000000000000005</v>
      </c>
      <c r="B16">
        <v>1</v>
      </c>
      <c r="D16">
        <v>1.1599999999999999</v>
      </c>
      <c r="E16">
        <v>1</v>
      </c>
    </row>
    <row r="17" spans="1:5" x14ac:dyDescent="0.35">
      <c r="A17">
        <v>0.57999999999999996</v>
      </c>
      <c r="B17">
        <v>1</v>
      </c>
      <c r="D17">
        <v>1.21</v>
      </c>
      <c r="E17">
        <v>1</v>
      </c>
    </row>
    <row r="18" spans="1:5" x14ac:dyDescent="0.35">
      <c r="A18">
        <v>0.61</v>
      </c>
      <c r="B18">
        <v>1</v>
      </c>
      <c r="D18">
        <v>1.21</v>
      </c>
      <c r="E18">
        <v>1</v>
      </c>
    </row>
    <row r="19" spans="1:5" x14ac:dyDescent="0.35">
      <c r="A19">
        <v>0.62</v>
      </c>
      <c r="B19">
        <v>1</v>
      </c>
      <c r="D19">
        <v>1.26</v>
      </c>
      <c r="E19">
        <v>1</v>
      </c>
    </row>
    <row r="20" spans="1:5" x14ac:dyDescent="0.35">
      <c r="A20">
        <v>0.68</v>
      </c>
      <c r="B20">
        <v>1</v>
      </c>
      <c r="D20">
        <v>1.46</v>
      </c>
      <c r="E20">
        <v>1</v>
      </c>
    </row>
    <row r="21" spans="1:5" x14ac:dyDescent="0.35">
      <c r="A21">
        <v>0.75</v>
      </c>
      <c r="B21">
        <v>1</v>
      </c>
      <c r="D21">
        <v>1.5</v>
      </c>
      <c r="E21">
        <v>1</v>
      </c>
    </row>
    <row r="22" spans="1:5" x14ac:dyDescent="0.35">
      <c r="A22">
        <v>0.85</v>
      </c>
      <c r="B22">
        <v>1</v>
      </c>
      <c r="D22">
        <v>1.64</v>
      </c>
      <c r="E22">
        <v>1</v>
      </c>
    </row>
    <row r="23" spans="1:5" x14ac:dyDescent="0.35">
      <c r="A23">
        <v>0.9</v>
      </c>
      <c r="B23">
        <v>1</v>
      </c>
      <c r="D23">
        <v>1.72</v>
      </c>
      <c r="E23">
        <v>1</v>
      </c>
    </row>
    <row r="24" spans="1:5" x14ac:dyDescent="0.35">
      <c r="A24">
        <v>0.95</v>
      </c>
      <c r="B24">
        <v>1</v>
      </c>
      <c r="D24">
        <v>1.77</v>
      </c>
      <c r="E24">
        <v>1</v>
      </c>
    </row>
    <row r="25" spans="1:5" x14ac:dyDescent="0.35">
      <c r="A25">
        <v>0.95</v>
      </c>
      <c r="B25">
        <v>1</v>
      </c>
      <c r="D25">
        <v>1.79</v>
      </c>
      <c r="E25">
        <v>1</v>
      </c>
    </row>
    <row r="26" spans="1:5" x14ac:dyDescent="0.35">
      <c r="A26">
        <v>1.01</v>
      </c>
      <c r="B26">
        <v>1</v>
      </c>
      <c r="D26">
        <v>1.95</v>
      </c>
      <c r="E26">
        <v>1</v>
      </c>
    </row>
    <row r="27" spans="1:5" x14ac:dyDescent="0.35">
      <c r="A27">
        <v>1.01</v>
      </c>
      <c r="B27">
        <v>1</v>
      </c>
      <c r="D27">
        <v>1.96</v>
      </c>
      <c r="E27">
        <v>1</v>
      </c>
    </row>
    <row r="28" spans="1:5" x14ac:dyDescent="0.35">
      <c r="A28">
        <v>1.02</v>
      </c>
      <c r="B28">
        <v>1</v>
      </c>
      <c r="D28">
        <v>2.0699999999999998</v>
      </c>
      <c r="E28">
        <v>1</v>
      </c>
    </row>
    <row r="29" spans="1:5" x14ac:dyDescent="0.35">
      <c r="A29">
        <v>1.07</v>
      </c>
      <c r="B29">
        <v>1</v>
      </c>
      <c r="D29">
        <v>2.17</v>
      </c>
      <c r="E29">
        <v>1</v>
      </c>
    </row>
    <row r="30" spans="1:5" x14ac:dyDescent="0.35">
      <c r="A30">
        <v>1.1100000000000001</v>
      </c>
      <c r="B30">
        <v>1</v>
      </c>
      <c r="D30">
        <v>2.1800000000000002</v>
      </c>
      <c r="E30">
        <v>1</v>
      </c>
    </row>
    <row r="31" spans="1:5" x14ac:dyDescent="0.35">
      <c r="A31">
        <v>1.1399999999999999</v>
      </c>
      <c r="B31">
        <v>1</v>
      </c>
      <c r="D31">
        <v>2.19</v>
      </c>
      <c r="E31">
        <v>1</v>
      </c>
    </row>
    <row r="32" spans="1:5" x14ac:dyDescent="0.35">
      <c r="A32">
        <v>1.1499999999999999</v>
      </c>
      <c r="B32">
        <v>1</v>
      </c>
      <c r="D32">
        <v>2.21</v>
      </c>
      <c r="E32">
        <v>1</v>
      </c>
    </row>
    <row r="33" spans="1:5" x14ac:dyDescent="0.35">
      <c r="A33">
        <v>1.22</v>
      </c>
      <c r="B33">
        <v>1</v>
      </c>
      <c r="D33">
        <v>2.23</v>
      </c>
      <c r="E33">
        <v>1</v>
      </c>
    </row>
    <row r="34" spans="1:5" x14ac:dyDescent="0.35">
      <c r="A34">
        <v>1.22</v>
      </c>
      <c r="B34">
        <v>1</v>
      </c>
      <c r="D34">
        <v>2.48</v>
      </c>
      <c r="E34">
        <v>1</v>
      </c>
    </row>
    <row r="35" spans="1:5" x14ac:dyDescent="0.35">
      <c r="A35">
        <v>1.41</v>
      </c>
      <c r="B35">
        <v>1</v>
      </c>
      <c r="D35">
        <v>2.4900000000000002</v>
      </c>
      <c r="E35">
        <v>1</v>
      </c>
    </row>
    <row r="36" spans="1:5" x14ac:dyDescent="0.35">
      <c r="A36">
        <v>1.58</v>
      </c>
      <c r="B36">
        <v>1</v>
      </c>
      <c r="D36">
        <v>2.72</v>
      </c>
      <c r="E36">
        <v>1</v>
      </c>
    </row>
    <row r="37" spans="1:5" x14ac:dyDescent="0.35">
      <c r="A37">
        <v>1.6</v>
      </c>
      <c r="B37">
        <v>1</v>
      </c>
      <c r="D37">
        <v>2.79</v>
      </c>
      <c r="E37">
        <v>1</v>
      </c>
    </row>
    <row r="38" spans="1:5" x14ac:dyDescent="0.35">
      <c r="A38">
        <v>1.89</v>
      </c>
      <c r="B38">
        <v>1</v>
      </c>
      <c r="D38">
        <v>2.81</v>
      </c>
      <c r="E38">
        <v>1</v>
      </c>
    </row>
    <row r="39" spans="1:5" x14ac:dyDescent="0.35">
      <c r="A39">
        <v>1.89</v>
      </c>
      <c r="B39">
        <v>1</v>
      </c>
      <c r="D39">
        <v>3.09</v>
      </c>
      <c r="E39">
        <v>1</v>
      </c>
    </row>
    <row r="40" spans="1:5" x14ac:dyDescent="0.35">
      <c r="A40">
        <v>1.95</v>
      </c>
      <c r="B40">
        <v>1</v>
      </c>
      <c r="D40">
        <v>3.16</v>
      </c>
      <c r="E40">
        <v>1</v>
      </c>
    </row>
    <row r="41" spans="1:5" x14ac:dyDescent="0.35">
      <c r="A41">
        <v>1.97</v>
      </c>
      <c r="B41">
        <v>1</v>
      </c>
      <c r="D41">
        <v>3.38</v>
      </c>
      <c r="E41">
        <v>1</v>
      </c>
    </row>
    <row r="42" spans="1:5" x14ac:dyDescent="0.35">
      <c r="A42">
        <v>1.99</v>
      </c>
      <c r="B42">
        <v>1</v>
      </c>
      <c r="D42">
        <v>3.44</v>
      </c>
      <c r="E42">
        <v>1</v>
      </c>
    </row>
    <row r="43" spans="1:5" x14ac:dyDescent="0.35">
      <c r="A43">
        <v>2.0299999999999998</v>
      </c>
      <c r="B43">
        <v>1</v>
      </c>
      <c r="D43">
        <v>3.47</v>
      </c>
      <c r="E43">
        <v>1</v>
      </c>
    </row>
    <row r="44" spans="1:5" x14ac:dyDescent="0.35">
      <c r="A44">
        <v>2.0299999999999998</v>
      </c>
      <c r="B44">
        <v>1</v>
      </c>
      <c r="D44">
        <v>3.55</v>
      </c>
      <c r="E44">
        <v>1</v>
      </c>
    </row>
    <row r="45" spans="1:5" x14ac:dyDescent="0.35">
      <c r="A45">
        <v>2.09</v>
      </c>
      <c r="B45">
        <v>1</v>
      </c>
      <c r="D45">
        <v>3.6</v>
      </c>
      <c r="E45">
        <v>1</v>
      </c>
    </row>
    <row r="46" spans="1:5" x14ac:dyDescent="0.35">
      <c r="A46">
        <v>2.15</v>
      </c>
      <c r="B46">
        <v>1</v>
      </c>
      <c r="D46">
        <v>3.61</v>
      </c>
      <c r="E46">
        <v>1</v>
      </c>
    </row>
    <row r="47" spans="1:5" x14ac:dyDescent="0.35">
      <c r="A47">
        <v>2.19</v>
      </c>
      <c r="B47">
        <v>1</v>
      </c>
      <c r="D47">
        <v>3.64</v>
      </c>
      <c r="E47">
        <v>1</v>
      </c>
    </row>
    <row r="48" spans="1:5" x14ac:dyDescent="0.35">
      <c r="A48">
        <v>2.21</v>
      </c>
      <c r="B48">
        <v>1</v>
      </c>
      <c r="D48">
        <v>3.76</v>
      </c>
      <c r="E48">
        <v>1</v>
      </c>
    </row>
    <row r="49" spans="1:5" x14ac:dyDescent="0.35">
      <c r="A49">
        <v>2.21</v>
      </c>
      <c r="B49">
        <v>1</v>
      </c>
      <c r="D49">
        <v>3.8</v>
      </c>
      <c r="E49">
        <v>1</v>
      </c>
    </row>
    <row r="50" spans="1:5" x14ac:dyDescent="0.35">
      <c r="A50">
        <v>2.2400000000000002</v>
      </c>
      <c r="B50">
        <v>1</v>
      </c>
      <c r="D50">
        <v>3.84</v>
      </c>
      <c r="E50">
        <v>1</v>
      </c>
    </row>
    <row r="51" spans="1:5" x14ac:dyDescent="0.35">
      <c r="A51">
        <v>2.2400000000000002</v>
      </c>
      <c r="B51">
        <v>1</v>
      </c>
      <c r="D51">
        <v>3.99</v>
      </c>
      <c r="E51">
        <v>1</v>
      </c>
    </row>
    <row r="52" spans="1:5" x14ac:dyDescent="0.35">
      <c r="A52">
        <v>2.2999999999999998</v>
      </c>
      <c r="B52">
        <v>1</v>
      </c>
      <c r="D52">
        <v>4.0999999999999996</v>
      </c>
      <c r="E52">
        <v>1</v>
      </c>
    </row>
    <row r="53" spans="1:5" x14ac:dyDescent="0.35">
      <c r="A53">
        <v>2.2999999999999998</v>
      </c>
      <c r="B53">
        <v>1</v>
      </c>
      <c r="D53">
        <v>4.13</v>
      </c>
      <c r="E53">
        <v>1</v>
      </c>
    </row>
    <row r="54" spans="1:5" x14ac:dyDescent="0.35">
      <c r="A54">
        <v>2.33</v>
      </c>
      <c r="B54">
        <v>1</v>
      </c>
      <c r="D54">
        <v>4.13</v>
      </c>
      <c r="E54">
        <v>1</v>
      </c>
    </row>
    <row r="55" spans="1:5" x14ac:dyDescent="0.35">
      <c r="A55">
        <v>2.48</v>
      </c>
      <c r="B55">
        <v>1</v>
      </c>
      <c r="D55">
        <v>4.17</v>
      </c>
      <c r="E55">
        <v>1</v>
      </c>
    </row>
    <row r="56" spans="1:5" x14ac:dyDescent="0.35">
      <c r="A56">
        <v>2.48</v>
      </c>
      <c r="B56">
        <v>1</v>
      </c>
      <c r="D56">
        <v>4.1900000000000004</v>
      </c>
      <c r="E56">
        <v>1</v>
      </c>
    </row>
    <row r="57" spans="1:5" x14ac:dyDescent="0.35">
      <c r="A57">
        <v>2.5499999999999998</v>
      </c>
      <c r="B57">
        <v>1</v>
      </c>
      <c r="D57">
        <v>4.3499999999999996</v>
      </c>
      <c r="E57">
        <v>1</v>
      </c>
    </row>
    <row r="58" spans="1:5" x14ac:dyDescent="0.35">
      <c r="A58">
        <v>2.56</v>
      </c>
      <c r="B58">
        <v>1</v>
      </c>
      <c r="D58">
        <v>4.45</v>
      </c>
      <c r="E58">
        <v>1</v>
      </c>
    </row>
    <row r="59" spans="1:5" x14ac:dyDescent="0.35">
      <c r="A59">
        <v>2.64</v>
      </c>
      <c r="B59">
        <v>1</v>
      </c>
      <c r="D59">
        <v>4.49</v>
      </c>
      <c r="E59">
        <v>1</v>
      </c>
    </row>
    <row r="60" spans="1:5" x14ac:dyDescent="0.35">
      <c r="A60">
        <v>2.7</v>
      </c>
      <c r="B60">
        <v>1</v>
      </c>
      <c r="D60">
        <v>4.5</v>
      </c>
      <c r="E60">
        <v>1</v>
      </c>
    </row>
    <row r="61" spans="1:5" x14ac:dyDescent="0.35">
      <c r="A61">
        <v>2.81</v>
      </c>
      <c r="B61">
        <v>1</v>
      </c>
      <c r="D61">
        <v>4.59</v>
      </c>
      <c r="E61">
        <v>1</v>
      </c>
    </row>
    <row r="62" spans="1:5" x14ac:dyDescent="0.35">
      <c r="A62">
        <v>2.85</v>
      </c>
      <c r="B62">
        <v>1</v>
      </c>
      <c r="D62">
        <v>4.62</v>
      </c>
      <c r="E62">
        <v>1</v>
      </c>
    </row>
    <row r="63" spans="1:5" x14ac:dyDescent="0.35">
      <c r="A63">
        <v>2.94</v>
      </c>
      <c r="B63">
        <v>1</v>
      </c>
      <c r="D63">
        <v>4.6399999999999997</v>
      </c>
      <c r="E63">
        <v>1</v>
      </c>
    </row>
    <row r="64" spans="1:5" x14ac:dyDescent="0.35">
      <c r="A64">
        <v>2.97</v>
      </c>
      <c r="B64">
        <v>1</v>
      </c>
      <c r="D64">
        <v>4.66</v>
      </c>
      <c r="E64">
        <v>1</v>
      </c>
    </row>
    <row r="65" spans="1:5" x14ac:dyDescent="0.35">
      <c r="A65">
        <v>2.98</v>
      </c>
      <c r="B65">
        <v>1</v>
      </c>
      <c r="D65">
        <v>4.8</v>
      </c>
      <c r="E65">
        <v>1</v>
      </c>
    </row>
    <row r="66" spans="1:5" x14ac:dyDescent="0.35">
      <c r="A66">
        <v>3.02</v>
      </c>
      <c r="B66">
        <v>1</v>
      </c>
      <c r="D66">
        <v>4.83</v>
      </c>
      <c r="E66">
        <v>1</v>
      </c>
    </row>
    <row r="67" spans="1:5" x14ac:dyDescent="0.35">
      <c r="A67">
        <v>3.1</v>
      </c>
      <c r="B67">
        <v>1</v>
      </c>
      <c r="D67">
        <v>4.84</v>
      </c>
      <c r="E67">
        <v>1</v>
      </c>
    </row>
    <row r="68" spans="1:5" x14ac:dyDescent="0.35">
      <c r="A68">
        <v>3.15</v>
      </c>
      <c r="B68">
        <v>1</v>
      </c>
      <c r="D68">
        <v>4.99</v>
      </c>
      <c r="E68">
        <v>1</v>
      </c>
    </row>
    <row r="69" spans="1:5" x14ac:dyDescent="0.35">
      <c r="A69">
        <v>3.21</v>
      </c>
      <c r="B69">
        <v>1</v>
      </c>
      <c r="D69">
        <v>5.01</v>
      </c>
      <c r="E69">
        <v>1</v>
      </c>
    </row>
    <row r="70" spans="1:5" x14ac:dyDescent="0.35">
      <c r="A70">
        <v>3.21</v>
      </c>
      <c r="B70">
        <v>1</v>
      </c>
      <c r="D70">
        <v>5.03</v>
      </c>
      <c r="E70">
        <v>1</v>
      </c>
    </row>
    <row r="71" spans="1:5" x14ac:dyDescent="0.35">
      <c r="A71">
        <v>3.31</v>
      </c>
      <c r="B71">
        <v>1</v>
      </c>
      <c r="D71">
        <v>5.1100000000000003</v>
      </c>
      <c r="E71">
        <v>1</v>
      </c>
    </row>
    <row r="72" spans="1:5" x14ac:dyDescent="0.35">
      <c r="A72">
        <v>3.41</v>
      </c>
      <c r="B72">
        <v>1</v>
      </c>
      <c r="D72">
        <v>5.36</v>
      </c>
      <c r="E72">
        <v>1</v>
      </c>
    </row>
    <row r="73" spans="1:5" x14ac:dyDescent="0.35">
      <c r="A73">
        <v>3.59</v>
      </c>
      <c r="B73">
        <v>1</v>
      </c>
      <c r="D73">
        <v>5.48</v>
      </c>
      <c r="E73">
        <v>1</v>
      </c>
    </row>
    <row r="74" spans="1:5" x14ac:dyDescent="0.35">
      <c r="A74">
        <v>3.68</v>
      </c>
      <c r="B74">
        <v>1</v>
      </c>
      <c r="D74">
        <v>5.54</v>
      </c>
      <c r="E74">
        <v>1</v>
      </c>
    </row>
    <row r="75" spans="1:5" x14ac:dyDescent="0.35">
      <c r="A75">
        <v>3.75</v>
      </c>
      <c r="B75">
        <v>1</v>
      </c>
      <c r="D75">
        <v>5.66</v>
      </c>
      <c r="E75">
        <v>1</v>
      </c>
    </row>
    <row r="76" spans="1:5" x14ac:dyDescent="0.35">
      <c r="A76">
        <v>3.8</v>
      </c>
      <c r="B76">
        <v>1</v>
      </c>
      <c r="D76">
        <v>5.79</v>
      </c>
      <c r="E76">
        <v>1</v>
      </c>
    </row>
    <row r="77" spans="1:5" x14ac:dyDescent="0.35">
      <c r="A77">
        <v>3.96</v>
      </c>
      <c r="B77">
        <v>1</v>
      </c>
      <c r="D77">
        <v>5.8</v>
      </c>
      <c r="E77">
        <v>1</v>
      </c>
    </row>
    <row r="78" spans="1:5" x14ac:dyDescent="0.35">
      <c r="A78">
        <v>4.0199999999999996</v>
      </c>
      <c r="B78">
        <v>1</v>
      </c>
      <c r="D78">
        <v>5.85</v>
      </c>
      <c r="E78">
        <v>1</v>
      </c>
    </row>
    <row r="79" spans="1:5" x14ac:dyDescent="0.35">
      <c r="A79">
        <v>4.04</v>
      </c>
      <c r="B79">
        <v>1</v>
      </c>
      <c r="D79">
        <v>5.87</v>
      </c>
      <c r="E79">
        <v>1</v>
      </c>
    </row>
    <row r="80" spans="1:5" x14ac:dyDescent="0.35">
      <c r="A80">
        <v>4.12</v>
      </c>
      <c r="B80">
        <v>1</v>
      </c>
      <c r="D80">
        <v>5.91</v>
      </c>
      <c r="E80">
        <v>1</v>
      </c>
    </row>
    <row r="81" spans="1:5" x14ac:dyDescent="0.35">
      <c r="A81">
        <v>4.1399999999999997</v>
      </c>
      <c r="B81">
        <v>1</v>
      </c>
      <c r="D81">
        <v>5.94</v>
      </c>
      <c r="E81">
        <v>1</v>
      </c>
    </row>
    <row r="82" spans="1:5" x14ac:dyDescent="0.35">
      <c r="A82">
        <v>4.1500000000000004</v>
      </c>
      <c r="B82">
        <v>1</v>
      </c>
      <c r="D82">
        <v>5.98</v>
      </c>
      <c r="E82">
        <v>1</v>
      </c>
    </row>
    <row r="83" spans="1:5" x14ac:dyDescent="0.35">
      <c r="A83">
        <v>4.29</v>
      </c>
      <c r="B83">
        <v>1</v>
      </c>
      <c r="D83">
        <v>6</v>
      </c>
      <c r="E83">
        <v>1</v>
      </c>
    </row>
    <row r="84" spans="1:5" x14ac:dyDescent="0.35">
      <c r="A84">
        <v>4.41</v>
      </c>
      <c r="B84">
        <v>1</v>
      </c>
      <c r="D84">
        <v>6.11</v>
      </c>
      <c r="E84">
        <v>1</v>
      </c>
    </row>
    <row r="85" spans="1:5" x14ac:dyDescent="0.35">
      <c r="A85">
        <v>4.58</v>
      </c>
      <c r="B85">
        <v>1</v>
      </c>
      <c r="D85">
        <v>6.38</v>
      </c>
      <c r="E85">
        <v>1</v>
      </c>
    </row>
    <row r="86" spans="1:5" x14ac:dyDescent="0.35">
      <c r="A86">
        <v>4.6100000000000003</v>
      </c>
      <c r="B86">
        <v>1</v>
      </c>
      <c r="D86">
        <v>6.95</v>
      </c>
      <c r="E86">
        <v>1</v>
      </c>
    </row>
    <row r="87" spans="1:5" x14ac:dyDescent="0.35">
      <c r="A87">
        <v>4.67</v>
      </c>
      <c r="B87">
        <v>1</v>
      </c>
      <c r="D87">
        <v>7.06</v>
      </c>
      <c r="E87">
        <v>1</v>
      </c>
    </row>
    <row r="88" spans="1:5" x14ac:dyDescent="0.35">
      <c r="A88">
        <v>4.7300000000000004</v>
      </c>
      <c r="B88">
        <v>1</v>
      </c>
      <c r="D88">
        <v>7.09</v>
      </c>
      <c r="E88">
        <v>1</v>
      </c>
    </row>
    <row r="89" spans="1:5" x14ac:dyDescent="0.35">
      <c r="A89">
        <v>4.8499999999999996</v>
      </c>
      <c r="B89">
        <v>1</v>
      </c>
      <c r="D89">
        <v>7.14</v>
      </c>
      <c r="E89">
        <v>1</v>
      </c>
    </row>
    <row r="90" spans="1:5" x14ac:dyDescent="0.35">
      <c r="A90">
        <v>4.8600000000000003</v>
      </c>
      <c r="B90">
        <v>1</v>
      </c>
      <c r="D90">
        <v>7.25</v>
      </c>
      <c r="E90">
        <v>1</v>
      </c>
    </row>
    <row r="91" spans="1:5" x14ac:dyDescent="0.35">
      <c r="A91">
        <v>4.9400000000000004</v>
      </c>
      <c r="B91">
        <v>1</v>
      </c>
      <c r="D91">
        <v>7.35</v>
      </c>
      <c r="E91">
        <v>1</v>
      </c>
    </row>
    <row r="92" spans="1:5" x14ac:dyDescent="0.35">
      <c r="A92">
        <v>5.05</v>
      </c>
      <c r="B92">
        <v>1</v>
      </c>
      <c r="D92">
        <v>7.97</v>
      </c>
      <c r="E92">
        <v>1</v>
      </c>
    </row>
    <row r="93" spans="1:5" x14ac:dyDescent="0.35">
      <c r="A93">
        <v>5.1100000000000003</v>
      </c>
      <c r="B93">
        <v>1</v>
      </c>
      <c r="D93">
        <v>7.97</v>
      </c>
      <c r="E93">
        <v>1</v>
      </c>
    </row>
    <row r="94" spans="1:5" x14ac:dyDescent="0.35">
      <c r="A94">
        <v>5.14</v>
      </c>
      <c r="B94">
        <v>1</v>
      </c>
      <c r="D94">
        <v>7.99</v>
      </c>
      <c r="E94">
        <v>1</v>
      </c>
    </row>
    <row r="95" spans="1:5" x14ac:dyDescent="0.35">
      <c r="A95">
        <v>5.22</v>
      </c>
      <c r="B95">
        <v>1</v>
      </c>
      <c r="D95">
        <v>8.24</v>
      </c>
      <c r="E95">
        <v>1</v>
      </c>
    </row>
    <row r="96" spans="1:5" x14ac:dyDescent="0.35">
      <c r="A96">
        <v>5.23</v>
      </c>
      <c r="B96">
        <v>1</v>
      </c>
      <c r="D96">
        <v>8.26</v>
      </c>
      <c r="E96">
        <v>1</v>
      </c>
    </row>
    <row r="97" spans="1:5" x14ac:dyDescent="0.35">
      <c r="A97">
        <v>5.28</v>
      </c>
      <c r="B97">
        <v>1</v>
      </c>
      <c r="D97">
        <v>8.2799999999999994</v>
      </c>
      <c r="E97">
        <v>1</v>
      </c>
    </row>
    <row r="98" spans="1:5" x14ac:dyDescent="0.35">
      <c r="A98">
        <v>5.28</v>
      </c>
      <c r="B98">
        <v>1</v>
      </c>
      <c r="D98">
        <v>8.36</v>
      </c>
      <c r="E98">
        <v>1</v>
      </c>
    </row>
    <row r="99" spans="1:5" x14ac:dyDescent="0.35">
      <c r="A99">
        <v>5.28</v>
      </c>
      <c r="B99">
        <v>1</v>
      </c>
      <c r="D99">
        <v>8.73</v>
      </c>
      <c r="E99">
        <v>1</v>
      </c>
    </row>
    <row r="100" spans="1:5" x14ac:dyDescent="0.35">
      <c r="A100">
        <v>5.32</v>
      </c>
      <c r="B100">
        <v>1</v>
      </c>
      <c r="D100">
        <v>8.7799999999999994</v>
      </c>
      <c r="E100">
        <v>1</v>
      </c>
    </row>
    <row r="101" spans="1:5" x14ac:dyDescent="0.35">
      <c r="A101">
        <v>5.34</v>
      </c>
      <c r="B101">
        <v>1</v>
      </c>
      <c r="D101">
        <v>8.94</v>
      </c>
      <c r="E101">
        <v>1</v>
      </c>
    </row>
    <row r="102" spans="1:5" x14ac:dyDescent="0.35">
      <c r="A102">
        <v>5.41</v>
      </c>
      <c r="B102">
        <v>1</v>
      </c>
      <c r="D102">
        <v>8.94</v>
      </c>
      <c r="E102">
        <v>1</v>
      </c>
    </row>
    <row r="103" spans="1:5" x14ac:dyDescent="0.35">
      <c r="A103">
        <v>5.51</v>
      </c>
      <c r="B103">
        <v>1</v>
      </c>
      <c r="D103">
        <v>9</v>
      </c>
      <c r="E103">
        <v>1</v>
      </c>
    </row>
    <row r="104" spans="1:5" x14ac:dyDescent="0.35">
      <c r="A104">
        <v>5.55</v>
      </c>
      <c r="B104">
        <v>1</v>
      </c>
      <c r="D104">
        <v>9.16</v>
      </c>
      <c r="E104">
        <v>1</v>
      </c>
    </row>
    <row r="105" spans="1:5" x14ac:dyDescent="0.35">
      <c r="A105">
        <v>5.62</v>
      </c>
      <c r="B105">
        <v>1</v>
      </c>
      <c r="D105">
        <v>9.18</v>
      </c>
      <c r="E105">
        <v>1</v>
      </c>
    </row>
    <row r="106" spans="1:5" x14ac:dyDescent="0.35">
      <c r="A106">
        <v>5.74</v>
      </c>
      <c r="B106">
        <v>1</v>
      </c>
      <c r="D106">
        <v>9.43</v>
      </c>
      <c r="E106">
        <v>1</v>
      </c>
    </row>
    <row r="107" spans="1:5" x14ac:dyDescent="0.35">
      <c r="A107">
        <v>5.84</v>
      </c>
      <c r="B107">
        <v>1</v>
      </c>
      <c r="D107">
        <v>9.52</v>
      </c>
      <c r="E107">
        <v>1</v>
      </c>
    </row>
    <row r="108" spans="1:5" x14ac:dyDescent="0.35">
      <c r="A108">
        <v>5.84</v>
      </c>
      <c r="B108">
        <v>1</v>
      </c>
      <c r="D108">
        <v>9.6</v>
      </c>
      <c r="E108">
        <v>1</v>
      </c>
    </row>
    <row r="109" spans="1:5" x14ac:dyDescent="0.35">
      <c r="A109">
        <v>5.88</v>
      </c>
      <c r="B109">
        <v>1</v>
      </c>
      <c r="D109">
        <v>9.6999999999999993</v>
      </c>
      <c r="E109">
        <v>1</v>
      </c>
    </row>
    <row r="110" spans="1:5" x14ac:dyDescent="0.35">
      <c r="A110">
        <v>5.92</v>
      </c>
      <c r="B110">
        <v>1</v>
      </c>
      <c r="D110">
        <v>9.6999999999999993</v>
      </c>
      <c r="E110">
        <v>1</v>
      </c>
    </row>
    <row r="111" spans="1:5" x14ac:dyDescent="0.35">
      <c r="A111">
        <v>5.98</v>
      </c>
      <c r="B111">
        <v>1</v>
      </c>
      <c r="D111">
        <v>9.7899999999999991</v>
      </c>
      <c r="E111">
        <v>1</v>
      </c>
    </row>
    <row r="112" spans="1:5" x14ac:dyDescent="0.35">
      <c r="A112">
        <v>6.05</v>
      </c>
      <c r="B112">
        <v>1</v>
      </c>
      <c r="D112">
        <v>10.210000000000001</v>
      </c>
      <c r="E112">
        <v>1</v>
      </c>
    </row>
    <row r="113" spans="1:5" x14ac:dyDescent="0.35">
      <c r="A113">
        <v>6.05</v>
      </c>
      <c r="B113">
        <v>1</v>
      </c>
      <c r="D113">
        <v>10.24</v>
      </c>
      <c r="E113">
        <v>1</v>
      </c>
    </row>
    <row r="114" spans="1:5" x14ac:dyDescent="0.35">
      <c r="A114">
        <v>6.06</v>
      </c>
      <c r="B114">
        <v>1</v>
      </c>
      <c r="D114">
        <v>10.25</v>
      </c>
      <c r="E114">
        <v>1</v>
      </c>
    </row>
    <row r="115" spans="1:5" x14ac:dyDescent="0.35">
      <c r="A115">
        <v>6.17</v>
      </c>
      <c r="B115">
        <v>1</v>
      </c>
      <c r="D115">
        <v>10.41</v>
      </c>
      <c r="E115">
        <v>1</v>
      </c>
    </row>
    <row r="116" spans="1:5" x14ac:dyDescent="0.35">
      <c r="A116">
        <v>6.17</v>
      </c>
      <c r="B116">
        <v>1</v>
      </c>
      <c r="D116">
        <v>10.46</v>
      </c>
      <c r="E116">
        <v>1</v>
      </c>
    </row>
    <row r="117" spans="1:5" x14ac:dyDescent="0.35">
      <c r="A117">
        <v>6.2</v>
      </c>
      <c r="B117">
        <v>1</v>
      </c>
      <c r="D117">
        <v>11.21</v>
      </c>
      <c r="E117">
        <v>1</v>
      </c>
    </row>
    <row r="118" spans="1:5" x14ac:dyDescent="0.35">
      <c r="A118">
        <v>6.22</v>
      </c>
      <c r="B118">
        <v>1</v>
      </c>
      <c r="D118">
        <v>11.42</v>
      </c>
      <c r="E118">
        <v>1</v>
      </c>
    </row>
    <row r="119" spans="1:5" x14ac:dyDescent="0.35">
      <c r="A119">
        <v>6.24</v>
      </c>
      <c r="B119">
        <v>1</v>
      </c>
      <c r="D119">
        <v>11.8</v>
      </c>
      <c r="E119">
        <v>1</v>
      </c>
    </row>
    <row r="120" spans="1:5" x14ac:dyDescent="0.35">
      <c r="A120">
        <v>6.3</v>
      </c>
      <c r="B120">
        <v>1</v>
      </c>
      <c r="D120">
        <v>11.89</v>
      </c>
      <c r="E120">
        <v>1</v>
      </c>
    </row>
    <row r="121" spans="1:5" x14ac:dyDescent="0.35">
      <c r="A121">
        <v>6.32</v>
      </c>
      <c r="B121">
        <v>1</v>
      </c>
      <c r="D121">
        <v>11.93</v>
      </c>
      <c r="E121">
        <v>1</v>
      </c>
    </row>
    <row r="122" spans="1:5" x14ac:dyDescent="0.35">
      <c r="A122">
        <v>6.34</v>
      </c>
      <c r="B122">
        <v>1</v>
      </c>
      <c r="D122">
        <v>12.07</v>
      </c>
      <c r="E122">
        <v>1</v>
      </c>
    </row>
    <row r="123" spans="1:5" x14ac:dyDescent="0.35">
      <c r="A123">
        <v>6.38</v>
      </c>
      <c r="B123">
        <v>1</v>
      </c>
      <c r="D123">
        <v>12.15</v>
      </c>
      <c r="E123">
        <v>1</v>
      </c>
    </row>
    <row r="124" spans="1:5" x14ac:dyDescent="0.35">
      <c r="A124">
        <v>6.43</v>
      </c>
      <c r="B124">
        <v>1</v>
      </c>
      <c r="D124">
        <v>12.21</v>
      </c>
      <c r="E124">
        <v>1</v>
      </c>
    </row>
    <row r="125" spans="1:5" x14ac:dyDescent="0.35">
      <c r="A125">
        <v>6.43</v>
      </c>
      <c r="B125">
        <v>1</v>
      </c>
      <c r="D125">
        <v>12.72</v>
      </c>
      <c r="E125">
        <v>1</v>
      </c>
    </row>
    <row r="126" spans="1:5" x14ac:dyDescent="0.35">
      <c r="A126">
        <v>6.59</v>
      </c>
      <c r="B126">
        <v>1</v>
      </c>
      <c r="D126">
        <v>12.75</v>
      </c>
      <c r="E126">
        <v>1</v>
      </c>
    </row>
    <row r="127" spans="1:5" x14ac:dyDescent="0.35">
      <c r="A127">
        <v>6.8</v>
      </c>
      <c r="B127">
        <v>1</v>
      </c>
      <c r="D127">
        <v>12.87</v>
      </c>
      <c r="E127">
        <v>1</v>
      </c>
    </row>
    <row r="128" spans="1:5" x14ac:dyDescent="0.35">
      <c r="A128">
        <v>6.81</v>
      </c>
      <c r="B128">
        <v>1</v>
      </c>
      <c r="D128">
        <v>13.01</v>
      </c>
      <c r="E128">
        <v>1</v>
      </c>
    </row>
    <row r="129" spans="1:5" x14ac:dyDescent="0.35">
      <c r="A129">
        <v>7</v>
      </c>
      <c r="B129">
        <v>1</v>
      </c>
      <c r="D129">
        <v>13.02</v>
      </c>
      <c r="E129">
        <v>1</v>
      </c>
    </row>
    <row r="130" spans="1:5" x14ac:dyDescent="0.35">
      <c r="A130">
        <v>7.1</v>
      </c>
      <c r="B130">
        <v>1</v>
      </c>
      <c r="D130">
        <v>13.14</v>
      </c>
      <c r="E130">
        <v>1</v>
      </c>
    </row>
    <row r="131" spans="1:5" x14ac:dyDescent="0.35">
      <c r="A131">
        <v>7.2</v>
      </c>
      <c r="B131">
        <v>1</v>
      </c>
      <c r="D131">
        <v>13.37</v>
      </c>
      <c r="E131">
        <v>1</v>
      </c>
    </row>
    <row r="132" spans="1:5" x14ac:dyDescent="0.35">
      <c r="A132">
        <v>7.24</v>
      </c>
      <c r="B132">
        <v>1</v>
      </c>
      <c r="D132">
        <v>13.47</v>
      </c>
      <c r="E132">
        <v>1</v>
      </c>
    </row>
    <row r="133" spans="1:5" x14ac:dyDescent="0.35">
      <c r="A133">
        <v>7.32</v>
      </c>
      <c r="B133">
        <v>1</v>
      </c>
      <c r="D133">
        <v>13.53</v>
      </c>
      <c r="E133">
        <v>1</v>
      </c>
    </row>
    <row r="134" spans="1:5" x14ac:dyDescent="0.35">
      <c r="A134">
        <v>7.41</v>
      </c>
      <c r="B134">
        <v>1</v>
      </c>
      <c r="D134">
        <v>13.63</v>
      </c>
      <c r="E134">
        <v>1</v>
      </c>
    </row>
    <row r="135" spans="1:5" x14ac:dyDescent="0.35">
      <c r="A135">
        <v>7.43</v>
      </c>
      <c r="B135">
        <v>1</v>
      </c>
      <c r="D135">
        <v>14.02</v>
      </c>
      <c r="E135">
        <v>1</v>
      </c>
    </row>
    <row r="136" spans="1:5" x14ac:dyDescent="0.35">
      <c r="A136">
        <v>7.45</v>
      </c>
      <c r="B136">
        <v>1</v>
      </c>
      <c r="D136">
        <v>14.07</v>
      </c>
      <c r="E136">
        <v>1</v>
      </c>
    </row>
    <row r="137" spans="1:5" x14ac:dyDescent="0.35">
      <c r="A137">
        <v>7.5</v>
      </c>
      <c r="B137">
        <v>1</v>
      </c>
      <c r="D137">
        <v>14.48</v>
      </c>
      <c r="E137">
        <v>1</v>
      </c>
    </row>
    <row r="138" spans="1:5" x14ac:dyDescent="0.35">
      <c r="A138">
        <v>7.53</v>
      </c>
      <c r="B138">
        <v>1</v>
      </c>
      <c r="D138">
        <v>14.84</v>
      </c>
      <c r="E138">
        <v>1</v>
      </c>
    </row>
    <row r="139" spans="1:5" x14ac:dyDescent="0.35">
      <c r="A139">
        <v>7.55</v>
      </c>
      <c r="B139">
        <v>1</v>
      </c>
      <c r="D139">
        <v>14.87</v>
      </c>
      <c r="E139">
        <v>1</v>
      </c>
    </row>
    <row r="140" spans="1:5" x14ac:dyDescent="0.35">
      <c r="A140">
        <v>7.71</v>
      </c>
      <c r="B140">
        <v>1</v>
      </c>
      <c r="D140">
        <v>15.26</v>
      </c>
      <c r="E140">
        <v>1</v>
      </c>
    </row>
    <row r="141" spans="1:5" x14ac:dyDescent="0.35">
      <c r="A141">
        <v>7.72</v>
      </c>
      <c r="B141">
        <v>1</v>
      </c>
      <c r="D141">
        <v>15.35</v>
      </c>
      <c r="E141">
        <v>1</v>
      </c>
    </row>
    <row r="142" spans="1:5" x14ac:dyDescent="0.35">
      <c r="A142">
        <v>7.74</v>
      </c>
      <c r="B142">
        <v>1</v>
      </c>
      <c r="D142">
        <v>15.43</v>
      </c>
      <c r="E142">
        <v>1</v>
      </c>
    </row>
    <row r="143" spans="1:5" x14ac:dyDescent="0.35">
      <c r="A143">
        <v>7.91</v>
      </c>
      <c r="B143">
        <v>1</v>
      </c>
      <c r="D143">
        <v>15.48</v>
      </c>
      <c r="E143">
        <v>1</v>
      </c>
    </row>
    <row r="144" spans="1:5" x14ac:dyDescent="0.35">
      <c r="A144">
        <v>7.93</v>
      </c>
      <c r="B144">
        <v>1</v>
      </c>
      <c r="D144">
        <v>15.5</v>
      </c>
      <c r="E144">
        <v>1</v>
      </c>
    </row>
    <row r="145" spans="1:5" x14ac:dyDescent="0.35">
      <c r="A145">
        <v>7.95</v>
      </c>
      <c r="B145">
        <v>1</v>
      </c>
      <c r="D145">
        <v>15.5</v>
      </c>
      <c r="E145">
        <v>1</v>
      </c>
    </row>
    <row r="146" spans="1:5" x14ac:dyDescent="0.35">
      <c r="A146">
        <v>7.97</v>
      </c>
      <c r="B146">
        <v>1</v>
      </c>
      <c r="D146">
        <v>15.56</v>
      </c>
      <c r="E146">
        <v>1</v>
      </c>
    </row>
    <row r="147" spans="1:5" x14ac:dyDescent="0.35">
      <c r="A147">
        <v>8.0500000000000007</v>
      </c>
      <c r="B147">
        <v>1</v>
      </c>
      <c r="D147">
        <v>15.57</v>
      </c>
      <c r="E147">
        <v>1</v>
      </c>
    </row>
    <row r="148" spans="1:5" x14ac:dyDescent="0.35">
      <c r="A148">
        <v>8.0500000000000007</v>
      </c>
      <c r="B148">
        <v>1</v>
      </c>
      <c r="D148">
        <v>15.75</v>
      </c>
      <c r="E148">
        <v>1</v>
      </c>
    </row>
    <row r="149" spans="1:5" x14ac:dyDescent="0.35">
      <c r="A149">
        <v>8.1</v>
      </c>
      <c r="B149">
        <v>1</v>
      </c>
      <c r="D149">
        <v>15.81</v>
      </c>
      <c r="E149">
        <v>1</v>
      </c>
    </row>
    <row r="150" spans="1:5" x14ac:dyDescent="0.35">
      <c r="A150">
        <v>8.17</v>
      </c>
      <c r="B150">
        <v>1</v>
      </c>
      <c r="D150">
        <v>15.86</v>
      </c>
      <c r="E150">
        <v>1</v>
      </c>
    </row>
    <row r="151" spans="1:5" x14ac:dyDescent="0.35">
      <c r="A151">
        <v>8.19</v>
      </c>
      <c r="B151">
        <v>1</v>
      </c>
      <c r="D151">
        <v>16.07</v>
      </c>
      <c r="E151">
        <v>1</v>
      </c>
    </row>
    <row r="152" spans="1:5" x14ac:dyDescent="0.35">
      <c r="A152">
        <v>8.2200000000000006</v>
      </c>
      <c r="B152">
        <v>1</v>
      </c>
      <c r="D152">
        <v>16.170000000000002</v>
      </c>
      <c r="E152">
        <v>1</v>
      </c>
    </row>
    <row r="153" spans="1:5" x14ac:dyDescent="0.35">
      <c r="A153">
        <v>8.2899999999999991</v>
      </c>
      <c r="B153">
        <v>1</v>
      </c>
      <c r="D153">
        <v>16.23</v>
      </c>
      <c r="E153">
        <v>1</v>
      </c>
    </row>
    <row r="154" spans="1:5" x14ac:dyDescent="0.35">
      <c r="A154">
        <v>8.31</v>
      </c>
      <c r="B154">
        <v>1</v>
      </c>
      <c r="D154">
        <v>16.3</v>
      </c>
      <c r="E154">
        <v>1</v>
      </c>
    </row>
    <row r="155" spans="1:5" x14ac:dyDescent="0.35">
      <c r="A155">
        <v>8.3699999999999992</v>
      </c>
      <c r="B155">
        <v>1</v>
      </c>
      <c r="D155">
        <v>16.329999999999998</v>
      </c>
      <c r="E155">
        <v>1</v>
      </c>
    </row>
    <row r="156" spans="1:5" x14ac:dyDescent="0.35">
      <c r="A156">
        <v>8.56</v>
      </c>
      <c r="B156">
        <v>1</v>
      </c>
      <c r="D156">
        <v>16.39</v>
      </c>
      <c r="E156">
        <v>1</v>
      </c>
    </row>
    <row r="157" spans="1:5" x14ac:dyDescent="0.35">
      <c r="A157">
        <v>8.6</v>
      </c>
      <c r="B157">
        <v>1</v>
      </c>
      <c r="D157">
        <v>16.82</v>
      </c>
      <c r="E157">
        <v>1</v>
      </c>
    </row>
    <row r="158" spans="1:5" x14ac:dyDescent="0.35">
      <c r="A158">
        <v>8.6300000000000008</v>
      </c>
      <c r="B158">
        <v>1</v>
      </c>
      <c r="D158">
        <v>17.04</v>
      </c>
      <c r="E158">
        <v>1</v>
      </c>
    </row>
    <row r="159" spans="1:5" x14ac:dyDescent="0.35">
      <c r="A159">
        <v>8.7100000000000009</v>
      </c>
      <c r="B159">
        <v>1</v>
      </c>
      <c r="D159">
        <v>17.07</v>
      </c>
      <c r="E159">
        <v>1</v>
      </c>
    </row>
    <row r="160" spans="1:5" x14ac:dyDescent="0.35">
      <c r="A160">
        <v>8.73</v>
      </c>
      <c r="B160">
        <v>1</v>
      </c>
      <c r="D160">
        <v>17.5</v>
      </c>
      <c r="E160">
        <v>1</v>
      </c>
    </row>
    <row r="161" spans="1:5" x14ac:dyDescent="0.35">
      <c r="A161">
        <v>8.7799999999999994</v>
      </c>
      <c r="B161">
        <v>1</v>
      </c>
      <c r="D161">
        <v>17.55</v>
      </c>
      <c r="E161">
        <v>1</v>
      </c>
    </row>
    <row r="162" spans="1:5" x14ac:dyDescent="0.35">
      <c r="A162">
        <v>8.86</v>
      </c>
      <c r="B162">
        <v>1</v>
      </c>
      <c r="D162">
        <v>17.73</v>
      </c>
      <c r="E162">
        <v>1</v>
      </c>
    </row>
    <row r="163" spans="1:5" x14ac:dyDescent="0.35">
      <c r="A163">
        <v>8.8800000000000008</v>
      </c>
      <c r="B163">
        <v>1</v>
      </c>
      <c r="D163">
        <v>17.91</v>
      </c>
      <c r="E163">
        <v>1</v>
      </c>
    </row>
    <row r="164" spans="1:5" x14ac:dyDescent="0.35">
      <c r="A164">
        <v>8.92</v>
      </c>
      <c r="B164">
        <v>1</v>
      </c>
      <c r="D164">
        <v>17.98</v>
      </c>
      <c r="E164">
        <v>1</v>
      </c>
    </row>
    <row r="165" spans="1:5" x14ac:dyDescent="0.35">
      <c r="A165">
        <v>8.92</v>
      </c>
      <c r="B165">
        <v>1</v>
      </c>
      <c r="D165">
        <v>18.05</v>
      </c>
      <c r="E165">
        <v>1</v>
      </c>
    </row>
    <row r="166" spans="1:5" x14ac:dyDescent="0.35">
      <c r="A166">
        <v>9.06</v>
      </c>
      <c r="B166">
        <v>1</v>
      </c>
      <c r="D166">
        <v>18.07</v>
      </c>
      <c r="E166">
        <v>1</v>
      </c>
    </row>
    <row r="167" spans="1:5" x14ac:dyDescent="0.35">
      <c r="A167">
        <v>9.24</v>
      </c>
      <c r="B167">
        <v>1</v>
      </c>
      <c r="D167">
        <v>18.12</v>
      </c>
      <c r="E167">
        <v>1</v>
      </c>
    </row>
    <row r="168" spans="1:5" x14ac:dyDescent="0.35">
      <c r="A168">
        <v>9.25</v>
      </c>
      <c r="B168">
        <v>1</v>
      </c>
      <c r="D168">
        <v>18.170000000000002</v>
      </c>
      <c r="E168">
        <v>1</v>
      </c>
    </row>
    <row r="169" spans="1:5" x14ac:dyDescent="0.35">
      <c r="A169">
        <v>9.32</v>
      </c>
      <c r="B169">
        <v>1</v>
      </c>
      <c r="D169">
        <v>18.32</v>
      </c>
      <c r="E169">
        <v>1</v>
      </c>
    </row>
    <row r="170" spans="1:5" x14ac:dyDescent="0.35">
      <c r="A170">
        <v>9.35</v>
      </c>
      <c r="B170">
        <v>1</v>
      </c>
      <c r="D170">
        <v>18.34</v>
      </c>
      <c r="E170">
        <v>1</v>
      </c>
    </row>
    <row r="171" spans="1:5" x14ac:dyDescent="0.35">
      <c r="A171">
        <v>9.3699999999999992</v>
      </c>
      <c r="B171">
        <v>1</v>
      </c>
      <c r="D171">
        <v>18.48</v>
      </c>
      <c r="E171">
        <v>1</v>
      </c>
    </row>
    <row r="172" spans="1:5" x14ac:dyDescent="0.35">
      <c r="A172">
        <v>9.4</v>
      </c>
      <c r="B172">
        <v>1</v>
      </c>
      <c r="D172">
        <v>18.489999999999998</v>
      </c>
      <c r="E172">
        <v>1</v>
      </c>
    </row>
    <row r="173" spans="1:5" x14ac:dyDescent="0.35">
      <c r="A173">
        <v>9.4499999999999993</v>
      </c>
      <c r="B173">
        <v>1</v>
      </c>
      <c r="D173">
        <v>18.489999999999998</v>
      </c>
      <c r="E173">
        <v>1</v>
      </c>
    </row>
    <row r="174" spans="1:5" x14ac:dyDescent="0.35">
      <c r="A174">
        <v>9.56</v>
      </c>
      <c r="B174">
        <v>1</v>
      </c>
      <c r="D174">
        <v>18.72</v>
      </c>
      <c r="E174">
        <v>1</v>
      </c>
    </row>
    <row r="175" spans="1:5" x14ac:dyDescent="0.35">
      <c r="A175">
        <v>9.6</v>
      </c>
      <c r="B175">
        <v>1</v>
      </c>
      <c r="D175">
        <v>18.88</v>
      </c>
      <c r="E175">
        <v>1</v>
      </c>
    </row>
    <row r="176" spans="1:5" x14ac:dyDescent="0.35">
      <c r="A176">
        <v>9.61</v>
      </c>
      <c r="B176">
        <v>1</v>
      </c>
      <c r="D176">
        <v>19.350000000000001</v>
      </c>
      <c r="E176">
        <v>1</v>
      </c>
    </row>
    <row r="177" spans="1:5" x14ac:dyDescent="0.35">
      <c r="A177">
        <v>9.6199999999999992</v>
      </c>
      <c r="B177">
        <v>1</v>
      </c>
      <c r="D177">
        <v>19.38</v>
      </c>
      <c r="E177">
        <v>1</v>
      </c>
    </row>
    <row r="178" spans="1:5" x14ac:dyDescent="0.35">
      <c r="A178">
        <v>9.74</v>
      </c>
      <c r="B178">
        <v>1</v>
      </c>
      <c r="D178">
        <v>19.45</v>
      </c>
      <c r="E178">
        <v>1</v>
      </c>
    </row>
    <row r="179" spans="1:5" x14ac:dyDescent="0.35">
      <c r="A179">
        <v>9.81</v>
      </c>
      <c r="B179">
        <v>1</v>
      </c>
      <c r="D179">
        <v>19.579999999999998</v>
      </c>
      <c r="E179">
        <v>1</v>
      </c>
    </row>
    <row r="180" spans="1:5" x14ac:dyDescent="0.35">
      <c r="A180">
        <v>9.83</v>
      </c>
      <c r="B180">
        <v>1</v>
      </c>
      <c r="D180">
        <v>19.600000000000001</v>
      </c>
      <c r="E180">
        <v>1</v>
      </c>
    </row>
    <row r="181" spans="1:5" x14ac:dyDescent="0.35">
      <c r="A181">
        <v>9.83</v>
      </c>
      <c r="B181">
        <v>1</v>
      </c>
      <c r="D181">
        <v>20.18</v>
      </c>
      <c r="E181">
        <v>1</v>
      </c>
    </row>
    <row r="182" spans="1:5" x14ac:dyDescent="0.35">
      <c r="A182">
        <v>10</v>
      </c>
      <c r="B182">
        <v>1</v>
      </c>
      <c r="D182">
        <v>20.309999999999999</v>
      </c>
      <c r="E182">
        <v>1</v>
      </c>
    </row>
    <row r="183" spans="1:5" x14ac:dyDescent="0.35">
      <c r="A183">
        <v>10.06</v>
      </c>
      <c r="B183">
        <v>1</v>
      </c>
      <c r="D183">
        <v>20.48</v>
      </c>
      <c r="E183">
        <v>1</v>
      </c>
    </row>
    <row r="184" spans="1:5" x14ac:dyDescent="0.35">
      <c r="A184">
        <v>10.06</v>
      </c>
      <c r="B184">
        <v>1</v>
      </c>
      <c r="D184">
        <v>20.67</v>
      </c>
      <c r="E184">
        <v>1</v>
      </c>
    </row>
    <row r="185" spans="1:5" x14ac:dyDescent="0.35">
      <c r="A185">
        <v>10.11</v>
      </c>
      <c r="B185">
        <v>1</v>
      </c>
      <c r="D185">
        <v>20.73</v>
      </c>
      <c r="E185">
        <v>1</v>
      </c>
    </row>
    <row r="186" spans="1:5" x14ac:dyDescent="0.35">
      <c r="A186">
        <v>10.220000000000001</v>
      </c>
      <c r="B186">
        <v>1</v>
      </c>
      <c r="D186">
        <v>20.86</v>
      </c>
      <c r="E186">
        <v>1</v>
      </c>
    </row>
    <row r="187" spans="1:5" x14ac:dyDescent="0.35">
      <c r="A187">
        <v>10.27</v>
      </c>
      <c r="B187">
        <v>1</v>
      </c>
      <c r="D187">
        <v>20.93</v>
      </c>
      <c r="E187">
        <v>1</v>
      </c>
    </row>
    <row r="188" spans="1:5" x14ac:dyDescent="0.35">
      <c r="A188">
        <v>10.27</v>
      </c>
      <c r="B188">
        <v>1</v>
      </c>
      <c r="D188">
        <v>20.98</v>
      </c>
      <c r="E188">
        <v>1</v>
      </c>
    </row>
    <row r="189" spans="1:5" x14ac:dyDescent="0.35">
      <c r="A189">
        <v>10.28</v>
      </c>
      <c r="B189">
        <v>1</v>
      </c>
      <c r="D189">
        <v>21.24</v>
      </c>
      <c r="E189">
        <v>1</v>
      </c>
    </row>
    <row r="190" spans="1:5" x14ac:dyDescent="0.35">
      <c r="A190">
        <v>10.33</v>
      </c>
      <c r="B190">
        <v>1</v>
      </c>
      <c r="D190">
        <v>21.44</v>
      </c>
      <c r="E190">
        <v>1</v>
      </c>
    </row>
    <row r="191" spans="1:5" x14ac:dyDescent="0.35">
      <c r="A191">
        <v>10.35</v>
      </c>
      <c r="B191">
        <v>1</v>
      </c>
      <c r="D191">
        <v>21.54</v>
      </c>
      <c r="E191">
        <v>1</v>
      </c>
    </row>
    <row r="192" spans="1:5" x14ac:dyDescent="0.35">
      <c r="A192">
        <v>10.41</v>
      </c>
      <c r="B192">
        <v>1</v>
      </c>
      <c r="D192">
        <v>21.54</v>
      </c>
      <c r="E192">
        <v>1</v>
      </c>
    </row>
    <row r="193" spans="1:5" x14ac:dyDescent="0.35">
      <c r="A193">
        <v>10.52</v>
      </c>
      <c r="B193">
        <v>1</v>
      </c>
      <c r="D193">
        <v>21.72</v>
      </c>
      <c r="E193">
        <v>1</v>
      </c>
    </row>
    <row r="194" spans="1:5" x14ac:dyDescent="0.35">
      <c r="A194">
        <v>10.54</v>
      </c>
      <c r="B194">
        <v>1</v>
      </c>
      <c r="D194">
        <v>21.76</v>
      </c>
      <c r="E194">
        <v>1</v>
      </c>
    </row>
    <row r="195" spans="1:5" x14ac:dyDescent="0.35">
      <c r="A195">
        <v>10.63</v>
      </c>
      <c r="B195">
        <v>1</v>
      </c>
      <c r="D195">
        <v>21.86</v>
      </c>
      <c r="E195">
        <v>1</v>
      </c>
    </row>
    <row r="196" spans="1:5" x14ac:dyDescent="0.35">
      <c r="A196">
        <v>10.65</v>
      </c>
      <c r="B196">
        <v>1</v>
      </c>
      <c r="D196">
        <v>22.03</v>
      </c>
      <c r="E196">
        <v>1</v>
      </c>
    </row>
    <row r="197" spans="1:5" x14ac:dyDescent="0.35">
      <c r="A197">
        <v>10.72</v>
      </c>
      <c r="B197">
        <v>1</v>
      </c>
      <c r="D197">
        <v>22.05</v>
      </c>
      <c r="E197">
        <v>1</v>
      </c>
    </row>
    <row r="198" spans="1:5" x14ac:dyDescent="0.35">
      <c r="A198">
        <v>10.75</v>
      </c>
      <c r="B198">
        <v>1</v>
      </c>
      <c r="D198">
        <v>22.05</v>
      </c>
      <c r="E198">
        <v>1</v>
      </c>
    </row>
    <row r="199" spans="1:5" x14ac:dyDescent="0.35">
      <c r="A199">
        <v>10.75</v>
      </c>
      <c r="B199">
        <v>1</v>
      </c>
      <c r="D199">
        <v>22.07</v>
      </c>
      <c r="E199">
        <v>1</v>
      </c>
    </row>
    <row r="200" spans="1:5" x14ac:dyDescent="0.35">
      <c r="A200">
        <v>10.89</v>
      </c>
      <c r="B200">
        <v>1</v>
      </c>
      <c r="D200">
        <v>22.13</v>
      </c>
      <c r="E200">
        <v>1</v>
      </c>
    </row>
    <row r="201" spans="1:5" x14ac:dyDescent="0.35">
      <c r="A201">
        <v>11.11</v>
      </c>
      <c r="B201">
        <v>1</v>
      </c>
      <c r="D201">
        <v>22.18</v>
      </c>
      <c r="E201">
        <v>1</v>
      </c>
    </row>
    <row r="202" spans="1:5" x14ac:dyDescent="0.35">
      <c r="A202">
        <v>11.26</v>
      </c>
      <c r="B202">
        <v>1</v>
      </c>
      <c r="D202">
        <v>22.85</v>
      </c>
      <c r="E202">
        <v>1</v>
      </c>
    </row>
    <row r="203" spans="1:5" x14ac:dyDescent="0.35">
      <c r="A203">
        <v>11.3</v>
      </c>
      <c r="B203">
        <v>1</v>
      </c>
      <c r="D203">
        <v>22.92</v>
      </c>
      <c r="E203">
        <v>1</v>
      </c>
    </row>
    <row r="204" spans="1:5" x14ac:dyDescent="0.35">
      <c r="A204">
        <v>11.38</v>
      </c>
      <c r="B204">
        <v>1</v>
      </c>
      <c r="D204">
        <v>22.97</v>
      </c>
      <c r="E204">
        <v>1</v>
      </c>
    </row>
    <row r="205" spans="1:5" x14ac:dyDescent="0.35">
      <c r="A205">
        <v>11.46</v>
      </c>
      <c r="B205">
        <v>1</v>
      </c>
      <c r="D205">
        <v>23.08</v>
      </c>
      <c r="E205">
        <v>1</v>
      </c>
    </row>
    <row r="206" spans="1:5" x14ac:dyDescent="0.35">
      <c r="A206">
        <v>11.6</v>
      </c>
      <c r="B206">
        <v>1</v>
      </c>
      <c r="D206">
        <v>23.12</v>
      </c>
      <c r="E206">
        <v>1</v>
      </c>
    </row>
    <row r="207" spans="1:5" x14ac:dyDescent="0.35">
      <c r="A207">
        <v>11.61</v>
      </c>
      <c r="B207">
        <v>1</v>
      </c>
      <c r="D207">
        <v>23.16</v>
      </c>
      <c r="E207">
        <v>1</v>
      </c>
    </row>
    <row r="208" spans="1:5" x14ac:dyDescent="0.35">
      <c r="A208">
        <v>11.63</v>
      </c>
      <c r="B208">
        <v>1</v>
      </c>
      <c r="D208">
        <v>23.46</v>
      </c>
      <c r="E208">
        <v>1</v>
      </c>
    </row>
    <row r="209" spans="1:5" x14ac:dyDescent="0.35">
      <c r="A209">
        <v>11.64</v>
      </c>
      <c r="B209">
        <v>1</v>
      </c>
      <c r="D209">
        <v>23.88</v>
      </c>
      <c r="E209">
        <v>1</v>
      </c>
    </row>
    <row r="210" spans="1:5" x14ac:dyDescent="0.35">
      <c r="A210">
        <v>11.65</v>
      </c>
      <c r="B210">
        <v>1</v>
      </c>
      <c r="D210">
        <v>24</v>
      </c>
      <c r="E210">
        <v>0</v>
      </c>
    </row>
    <row r="211" spans="1:5" x14ac:dyDescent="0.35">
      <c r="A211">
        <v>11.89</v>
      </c>
      <c r="B211">
        <v>1</v>
      </c>
      <c r="D211">
        <v>24</v>
      </c>
      <c r="E211">
        <v>0</v>
      </c>
    </row>
    <row r="212" spans="1:5" x14ac:dyDescent="0.35">
      <c r="A212">
        <v>11.94</v>
      </c>
      <c r="B212">
        <v>1</v>
      </c>
      <c r="D212">
        <v>24</v>
      </c>
      <c r="E212">
        <v>0</v>
      </c>
    </row>
    <row r="213" spans="1:5" x14ac:dyDescent="0.35">
      <c r="A213">
        <v>12.01</v>
      </c>
      <c r="B213">
        <v>1</v>
      </c>
      <c r="D213">
        <v>24</v>
      </c>
      <c r="E213">
        <v>0</v>
      </c>
    </row>
    <row r="214" spans="1:5" x14ac:dyDescent="0.35">
      <c r="A214">
        <v>12.07</v>
      </c>
      <c r="B214">
        <v>1</v>
      </c>
      <c r="D214">
        <v>24</v>
      </c>
      <c r="E214">
        <v>0</v>
      </c>
    </row>
    <row r="215" spans="1:5" x14ac:dyDescent="0.35">
      <c r="A215">
        <v>12.08</v>
      </c>
      <c r="B215">
        <v>1</v>
      </c>
      <c r="D215">
        <v>24</v>
      </c>
      <c r="E215">
        <v>0</v>
      </c>
    </row>
    <row r="216" spans="1:5" x14ac:dyDescent="0.35">
      <c r="A216">
        <v>12.12</v>
      </c>
      <c r="B216">
        <v>1</v>
      </c>
      <c r="D216">
        <v>24</v>
      </c>
      <c r="E216">
        <v>0</v>
      </c>
    </row>
    <row r="217" spans="1:5" x14ac:dyDescent="0.35">
      <c r="A217">
        <v>12.25</v>
      </c>
      <c r="B217">
        <v>1</v>
      </c>
      <c r="D217">
        <v>24</v>
      </c>
      <c r="E217">
        <v>0</v>
      </c>
    </row>
    <row r="218" spans="1:5" x14ac:dyDescent="0.35">
      <c r="A218">
        <v>12.28</v>
      </c>
      <c r="B218">
        <v>1</v>
      </c>
      <c r="D218">
        <v>24</v>
      </c>
      <c r="E218">
        <v>0</v>
      </c>
    </row>
    <row r="219" spans="1:5" x14ac:dyDescent="0.35">
      <c r="A219">
        <v>12.34</v>
      </c>
      <c r="B219">
        <v>1</v>
      </c>
      <c r="D219">
        <v>24</v>
      </c>
      <c r="E219">
        <v>0</v>
      </c>
    </row>
    <row r="220" spans="1:5" x14ac:dyDescent="0.35">
      <c r="A220">
        <v>12.35</v>
      </c>
      <c r="B220">
        <v>1</v>
      </c>
      <c r="D220">
        <v>24</v>
      </c>
      <c r="E220">
        <v>0</v>
      </c>
    </row>
    <row r="221" spans="1:5" x14ac:dyDescent="0.35">
      <c r="A221">
        <v>12.4</v>
      </c>
      <c r="B221">
        <v>1</v>
      </c>
      <c r="D221">
        <v>24</v>
      </c>
      <c r="E221">
        <v>0</v>
      </c>
    </row>
    <row r="222" spans="1:5" x14ac:dyDescent="0.35">
      <c r="A222">
        <v>12.5</v>
      </c>
      <c r="B222">
        <v>1</v>
      </c>
      <c r="D222">
        <v>24</v>
      </c>
      <c r="E222">
        <v>0</v>
      </c>
    </row>
    <row r="223" spans="1:5" x14ac:dyDescent="0.35">
      <c r="A223">
        <v>12.55</v>
      </c>
      <c r="B223">
        <v>1</v>
      </c>
      <c r="D223">
        <v>24</v>
      </c>
      <c r="E223">
        <v>0</v>
      </c>
    </row>
    <row r="224" spans="1:5" x14ac:dyDescent="0.35">
      <c r="A224">
        <v>12.58</v>
      </c>
      <c r="B224">
        <v>1</v>
      </c>
      <c r="D224">
        <v>24</v>
      </c>
      <c r="E224">
        <v>0</v>
      </c>
    </row>
    <row r="225" spans="1:5" x14ac:dyDescent="0.35">
      <c r="A225">
        <v>12.59</v>
      </c>
      <c r="B225">
        <v>1</v>
      </c>
      <c r="D225">
        <v>24</v>
      </c>
      <c r="E225">
        <v>0</v>
      </c>
    </row>
    <row r="226" spans="1:5" x14ac:dyDescent="0.35">
      <c r="A226">
        <v>12.62</v>
      </c>
      <c r="B226">
        <v>1</v>
      </c>
      <c r="D226">
        <v>24</v>
      </c>
      <c r="E226">
        <v>0</v>
      </c>
    </row>
    <row r="227" spans="1:5" x14ac:dyDescent="0.35">
      <c r="A227">
        <v>12.68</v>
      </c>
      <c r="B227">
        <v>1</v>
      </c>
      <c r="D227">
        <v>24</v>
      </c>
      <c r="E227">
        <v>0</v>
      </c>
    </row>
    <row r="228" spans="1:5" x14ac:dyDescent="0.35">
      <c r="A228">
        <v>12.69</v>
      </c>
      <c r="B228">
        <v>1</v>
      </c>
      <c r="D228">
        <v>24</v>
      </c>
      <c r="E228">
        <v>0</v>
      </c>
    </row>
    <row r="229" spans="1:5" x14ac:dyDescent="0.35">
      <c r="A229">
        <v>12.7</v>
      </c>
      <c r="B229">
        <v>1</v>
      </c>
      <c r="D229">
        <v>24</v>
      </c>
      <c r="E229">
        <v>0</v>
      </c>
    </row>
    <row r="230" spans="1:5" x14ac:dyDescent="0.35">
      <c r="A230">
        <v>12.78</v>
      </c>
      <c r="B230">
        <v>1</v>
      </c>
      <c r="D230">
        <v>24</v>
      </c>
      <c r="E230">
        <v>0</v>
      </c>
    </row>
    <row r="231" spans="1:5" x14ac:dyDescent="0.35">
      <c r="A231">
        <v>12.84</v>
      </c>
      <c r="B231">
        <v>1</v>
      </c>
      <c r="D231">
        <v>24</v>
      </c>
      <c r="E231">
        <v>0</v>
      </c>
    </row>
    <row r="232" spans="1:5" x14ac:dyDescent="0.35">
      <c r="A232">
        <v>12.89</v>
      </c>
      <c r="B232">
        <v>1</v>
      </c>
      <c r="D232">
        <v>24</v>
      </c>
      <c r="E232">
        <v>0</v>
      </c>
    </row>
    <row r="233" spans="1:5" x14ac:dyDescent="0.35">
      <c r="A233">
        <v>13</v>
      </c>
      <c r="B233">
        <v>1</v>
      </c>
      <c r="D233">
        <v>24</v>
      </c>
      <c r="E233">
        <v>0</v>
      </c>
    </row>
    <row r="234" spans="1:5" x14ac:dyDescent="0.35">
      <c r="A234">
        <v>13.18</v>
      </c>
      <c r="B234">
        <v>1</v>
      </c>
      <c r="D234">
        <v>24</v>
      </c>
      <c r="E234">
        <v>0</v>
      </c>
    </row>
    <row r="235" spans="1:5" x14ac:dyDescent="0.35">
      <c r="A235">
        <v>13.2</v>
      </c>
      <c r="B235">
        <v>1</v>
      </c>
      <c r="D235">
        <v>24</v>
      </c>
      <c r="E235">
        <v>0</v>
      </c>
    </row>
    <row r="236" spans="1:5" x14ac:dyDescent="0.35">
      <c r="A236">
        <v>13.27</v>
      </c>
      <c r="B236">
        <v>1</v>
      </c>
      <c r="D236">
        <v>24</v>
      </c>
      <c r="E236">
        <v>0</v>
      </c>
    </row>
    <row r="237" spans="1:5" x14ac:dyDescent="0.35">
      <c r="A237">
        <v>13.32</v>
      </c>
      <c r="B237">
        <v>1</v>
      </c>
      <c r="D237">
        <v>24</v>
      </c>
      <c r="E237">
        <v>0</v>
      </c>
    </row>
    <row r="238" spans="1:5" x14ac:dyDescent="0.35">
      <c r="A238">
        <v>13.39</v>
      </c>
      <c r="B238">
        <v>1</v>
      </c>
      <c r="D238">
        <v>24</v>
      </c>
      <c r="E238">
        <v>0</v>
      </c>
    </row>
    <row r="239" spans="1:5" x14ac:dyDescent="0.35">
      <c r="A239">
        <v>13.43</v>
      </c>
      <c r="B239">
        <v>1</v>
      </c>
      <c r="D239">
        <v>24</v>
      </c>
      <c r="E239">
        <v>0</v>
      </c>
    </row>
    <row r="240" spans="1:5" x14ac:dyDescent="0.35">
      <c r="A240">
        <v>13.69</v>
      </c>
      <c r="B240">
        <v>1</v>
      </c>
      <c r="D240">
        <v>24</v>
      </c>
      <c r="E240">
        <v>0</v>
      </c>
    </row>
    <row r="241" spans="1:5" x14ac:dyDescent="0.35">
      <c r="A241">
        <v>13.71</v>
      </c>
      <c r="B241">
        <v>1</v>
      </c>
      <c r="D241">
        <v>24</v>
      </c>
      <c r="E241">
        <v>0</v>
      </c>
    </row>
    <row r="242" spans="1:5" x14ac:dyDescent="0.35">
      <c r="A242">
        <v>13.8</v>
      </c>
      <c r="B242">
        <v>1</v>
      </c>
      <c r="D242">
        <v>24</v>
      </c>
      <c r="E242">
        <v>0</v>
      </c>
    </row>
    <row r="243" spans="1:5" x14ac:dyDescent="0.35">
      <c r="A243">
        <v>13.93</v>
      </c>
      <c r="B243">
        <v>1</v>
      </c>
      <c r="D243">
        <v>24</v>
      </c>
      <c r="E243">
        <v>0</v>
      </c>
    </row>
    <row r="244" spans="1:5" x14ac:dyDescent="0.35">
      <c r="A244">
        <v>13.98</v>
      </c>
      <c r="B244">
        <v>1</v>
      </c>
      <c r="D244">
        <v>24</v>
      </c>
      <c r="E244">
        <v>0</v>
      </c>
    </row>
    <row r="245" spans="1:5" x14ac:dyDescent="0.35">
      <c r="A245">
        <v>14.17</v>
      </c>
      <c r="B245">
        <v>1</v>
      </c>
      <c r="D245">
        <v>24</v>
      </c>
      <c r="E245">
        <v>0</v>
      </c>
    </row>
    <row r="246" spans="1:5" x14ac:dyDescent="0.35">
      <c r="A246">
        <v>14.24</v>
      </c>
      <c r="B246">
        <v>1</v>
      </c>
      <c r="D246">
        <v>24</v>
      </c>
      <c r="E246">
        <v>0</v>
      </c>
    </row>
    <row r="247" spans="1:5" x14ac:dyDescent="0.35">
      <c r="A247">
        <v>14.3</v>
      </c>
      <c r="B247">
        <v>1</v>
      </c>
      <c r="D247">
        <v>24</v>
      </c>
      <c r="E247">
        <v>0</v>
      </c>
    </row>
    <row r="248" spans="1:5" x14ac:dyDescent="0.35">
      <c r="A248">
        <v>14.4</v>
      </c>
      <c r="B248">
        <v>1</v>
      </c>
      <c r="D248">
        <v>24</v>
      </c>
      <c r="E248">
        <v>0</v>
      </c>
    </row>
    <row r="249" spans="1:5" x14ac:dyDescent="0.35">
      <c r="A249">
        <v>14.43</v>
      </c>
      <c r="B249">
        <v>1</v>
      </c>
      <c r="D249">
        <v>24</v>
      </c>
      <c r="E249">
        <v>0</v>
      </c>
    </row>
    <row r="250" spans="1:5" x14ac:dyDescent="0.35">
      <c r="A250">
        <v>14.54</v>
      </c>
      <c r="B250">
        <v>1</v>
      </c>
      <c r="D250">
        <v>24</v>
      </c>
      <c r="E250">
        <v>0</v>
      </c>
    </row>
    <row r="251" spans="1:5" x14ac:dyDescent="0.35">
      <c r="A251">
        <v>14.64</v>
      </c>
      <c r="B251">
        <v>1</v>
      </c>
      <c r="D251">
        <v>24</v>
      </c>
      <c r="E251">
        <v>0</v>
      </c>
    </row>
    <row r="252" spans="1:5" x14ac:dyDescent="0.35">
      <c r="A252">
        <v>14.99</v>
      </c>
      <c r="B252">
        <v>1</v>
      </c>
      <c r="D252">
        <v>24</v>
      </c>
      <c r="E252">
        <v>0</v>
      </c>
    </row>
    <row r="253" spans="1:5" x14ac:dyDescent="0.35">
      <c r="A253">
        <v>14.99</v>
      </c>
      <c r="B253">
        <v>1</v>
      </c>
      <c r="D253">
        <v>24</v>
      </c>
      <c r="E253">
        <v>0</v>
      </c>
    </row>
    <row r="254" spans="1:5" x14ac:dyDescent="0.35">
      <c r="A254">
        <v>14.99</v>
      </c>
      <c r="B254">
        <v>1</v>
      </c>
      <c r="D254">
        <v>24</v>
      </c>
      <c r="E254">
        <v>0</v>
      </c>
    </row>
    <row r="255" spans="1:5" x14ac:dyDescent="0.35">
      <c r="A255">
        <v>15.08</v>
      </c>
      <c r="B255">
        <v>1</v>
      </c>
      <c r="D255">
        <v>24</v>
      </c>
      <c r="E255">
        <v>0</v>
      </c>
    </row>
    <row r="256" spans="1:5" x14ac:dyDescent="0.35">
      <c r="A256">
        <v>15.12</v>
      </c>
      <c r="B256">
        <v>1</v>
      </c>
      <c r="D256">
        <v>24</v>
      </c>
      <c r="E256">
        <v>0</v>
      </c>
    </row>
    <row r="257" spans="1:5" x14ac:dyDescent="0.35">
      <c r="A257">
        <v>15.17</v>
      </c>
      <c r="B257">
        <v>1</v>
      </c>
      <c r="D257">
        <v>24</v>
      </c>
      <c r="E257">
        <v>0</v>
      </c>
    </row>
    <row r="258" spans="1:5" x14ac:dyDescent="0.35">
      <c r="A258">
        <v>15.45</v>
      </c>
      <c r="B258">
        <v>1</v>
      </c>
      <c r="D258">
        <v>24</v>
      </c>
      <c r="E258">
        <v>0</v>
      </c>
    </row>
    <row r="259" spans="1:5" x14ac:dyDescent="0.35">
      <c r="A259">
        <v>15.56</v>
      </c>
      <c r="B259">
        <v>1</v>
      </c>
      <c r="D259">
        <v>24</v>
      </c>
      <c r="E259">
        <v>0</v>
      </c>
    </row>
    <row r="260" spans="1:5" x14ac:dyDescent="0.35">
      <c r="A260">
        <v>15.87</v>
      </c>
      <c r="B260">
        <v>1</v>
      </c>
      <c r="D260">
        <v>24</v>
      </c>
      <c r="E260">
        <v>0</v>
      </c>
    </row>
    <row r="261" spans="1:5" x14ac:dyDescent="0.35">
      <c r="A261">
        <v>15.93</v>
      </c>
      <c r="B261">
        <v>1</v>
      </c>
      <c r="D261">
        <v>24</v>
      </c>
      <c r="E261">
        <v>0</v>
      </c>
    </row>
    <row r="262" spans="1:5" x14ac:dyDescent="0.35">
      <c r="A262">
        <v>15.94</v>
      </c>
      <c r="B262">
        <v>1</v>
      </c>
      <c r="D262">
        <v>24</v>
      </c>
      <c r="E262">
        <v>0</v>
      </c>
    </row>
    <row r="263" spans="1:5" x14ac:dyDescent="0.35">
      <c r="A263">
        <v>15.95</v>
      </c>
      <c r="B263">
        <v>1</v>
      </c>
      <c r="D263">
        <v>24</v>
      </c>
      <c r="E263">
        <v>0</v>
      </c>
    </row>
    <row r="264" spans="1:5" x14ac:dyDescent="0.35">
      <c r="A264">
        <v>16.28</v>
      </c>
      <c r="B264">
        <v>1</v>
      </c>
      <c r="D264">
        <v>24</v>
      </c>
      <c r="E264">
        <v>0</v>
      </c>
    </row>
    <row r="265" spans="1:5" x14ac:dyDescent="0.35">
      <c r="A265">
        <v>16.329999999999998</v>
      </c>
      <c r="B265">
        <v>1</v>
      </c>
      <c r="D265">
        <v>24</v>
      </c>
      <c r="E265">
        <v>0</v>
      </c>
    </row>
    <row r="266" spans="1:5" x14ac:dyDescent="0.35">
      <c r="A266">
        <v>16.45</v>
      </c>
      <c r="B266">
        <v>1</v>
      </c>
      <c r="D266">
        <v>24</v>
      </c>
      <c r="E266">
        <v>0</v>
      </c>
    </row>
    <row r="267" spans="1:5" x14ac:dyDescent="0.35">
      <c r="A267">
        <v>16.72</v>
      </c>
      <c r="B267">
        <v>1</v>
      </c>
      <c r="D267">
        <v>24</v>
      </c>
      <c r="E267">
        <v>0</v>
      </c>
    </row>
    <row r="268" spans="1:5" x14ac:dyDescent="0.35">
      <c r="A268">
        <v>16.75</v>
      </c>
      <c r="B268">
        <v>1</v>
      </c>
      <c r="D268">
        <v>24</v>
      </c>
      <c r="E268">
        <v>0</v>
      </c>
    </row>
    <row r="269" spans="1:5" x14ac:dyDescent="0.35">
      <c r="A269">
        <v>16.78</v>
      </c>
      <c r="B269">
        <v>1</v>
      </c>
      <c r="D269">
        <v>24</v>
      </c>
      <c r="E269">
        <v>0</v>
      </c>
    </row>
    <row r="270" spans="1:5" x14ac:dyDescent="0.35">
      <c r="A270">
        <v>16.850000000000001</v>
      </c>
      <c r="B270">
        <v>1</v>
      </c>
      <c r="D270">
        <v>24</v>
      </c>
      <c r="E270">
        <v>0</v>
      </c>
    </row>
    <row r="271" spans="1:5" x14ac:dyDescent="0.35">
      <c r="A271">
        <v>16.95</v>
      </c>
      <c r="B271">
        <v>1</v>
      </c>
      <c r="D271">
        <v>24</v>
      </c>
      <c r="E271">
        <v>0</v>
      </c>
    </row>
    <row r="272" spans="1:5" x14ac:dyDescent="0.35">
      <c r="A272">
        <v>17.34</v>
      </c>
      <c r="B272">
        <v>1</v>
      </c>
      <c r="D272">
        <v>24</v>
      </c>
      <c r="E272">
        <v>0</v>
      </c>
    </row>
    <row r="273" spans="1:5" x14ac:dyDescent="0.35">
      <c r="A273">
        <v>17.350000000000001</v>
      </c>
      <c r="B273">
        <v>1</v>
      </c>
      <c r="D273">
        <v>24</v>
      </c>
      <c r="E273">
        <v>0</v>
      </c>
    </row>
    <row r="274" spans="1:5" x14ac:dyDescent="0.35">
      <c r="A274">
        <v>17.45</v>
      </c>
      <c r="B274">
        <v>1</v>
      </c>
      <c r="D274">
        <v>24</v>
      </c>
      <c r="E274">
        <v>0</v>
      </c>
    </row>
    <row r="275" spans="1:5" x14ac:dyDescent="0.35">
      <c r="A275">
        <v>17.73</v>
      </c>
      <c r="B275">
        <v>1</v>
      </c>
      <c r="D275">
        <v>24</v>
      </c>
      <c r="E275">
        <v>0</v>
      </c>
    </row>
    <row r="276" spans="1:5" x14ac:dyDescent="0.35">
      <c r="A276">
        <v>17.75</v>
      </c>
      <c r="B276">
        <v>1</v>
      </c>
      <c r="D276">
        <v>24</v>
      </c>
      <c r="E276">
        <v>0</v>
      </c>
    </row>
    <row r="277" spans="1:5" x14ac:dyDescent="0.35">
      <c r="A277">
        <v>17.88</v>
      </c>
      <c r="B277">
        <v>1</v>
      </c>
      <c r="D277">
        <v>24</v>
      </c>
      <c r="E277">
        <v>0</v>
      </c>
    </row>
    <row r="278" spans="1:5" x14ac:dyDescent="0.35">
      <c r="A278">
        <v>17.89</v>
      </c>
      <c r="B278">
        <v>1</v>
      </c>
      <c r="D278">
        <v>24</v>
      </c>
      <c r="E278">
        <v>0</v>
      </c>
    </row>
    <row r="279" spans="1:5" x14ac:dyDescent="0.35">
      <c r="A279">
        <v>17.899999999999999</v>
      </c>
      <c r="B279">
        <v>1</v>
      </c>
      <c r="D279">
        <v>24</v>
      </c>
      <c r="E279">
        <v>0</v>
      </c>
    </row>
    <row r="280" spans="1:5" x14ac:dyDescent="0.35">
      <c r="A280">
        <v>18.010000000000002</v>
      </c>
      <c r="B280">
        <v>1</v>
      </c>
      <c r="D280">
        <v>24</v>
      </c>
      <c r="E280">
        <v>0</v>
      </c>
    </row>
    <row r="281" spans="1:5" x14ac:dyDescent="0.35">
      <c r="A281">
        <v>18.14</v>
      </c>
      <c r="B281">
        <v>1</v>
      </c>
      <c r="D281">
        <v>24</v>
      </c>
      <c r="E281">
        <v>0</v>
      </c>
    </row>
    <row r="282" spans="1:5" x14ac:dyDescent="0.35">
      <c r="A282">
        <v>18.32</v>
      </c>
      <c r="B282">
        <v>1</v>
      </c>
      <c r="D282">
        <v>24</v>
      </c>
      <c r="E282">
        <v>0</v>
      </c>
    </row>
    <row r="283" spans="1:5" x14ac:dyDescent="0.35">
      <c r="A283">
        <v>18.34</v>
      </c>
      <c r="B283">
        <v>1</v>
      </c>
      <c r="D283">
        <v>24</v>
      </c>
      <c r="E283">
        <v>0</v>
      </c>
    </row>
    <row r="284" spans="1:5" x14ac:dyDescent="0.35">
      <c r="A284">
        <v>18.38</v>
      </c>
      <c r="B284">
        <v>1</v>
      </c>
      <c r="D284">
        <v>24</v>
      </c>
      <c r="E284">
        <v>0</v>
      </c>
    </row>
    <row r="285" spans="1:5" x14ac:dyDescent="0.35">
      <c r="A285">
        <v>18.420000000000002</v>
      </c>
      <c r="B285">
        <v>1</v>
      </c>
      <c r="D285">
        <v>24</v>
      </c>
      <c r="E285">
        <v>0</v>
      </c>
    </row>
    <row r="286" spans="1:5" x14ac:dyDescent="0.35">
      <c r="A286">
        <v>18.48</v>
      </c>
      <c r="B286">
        <v>1</v>
      </c>
      <c r="D286">
        <v>24</v>
      </c>
      <c r="E286">
        <v>0</v>
      </c>
    </row>
    <row r="287" spans="1:5" x14ac:dyDescent="0.35">
      <c r="A287">
        <v>18.559999999999999</v>
      </c>
      <c r="B287">
        <v>1</v>
      </c>
      <c r="D287">
        <v>24</v>
      </c>
      <c r="E287">
        <v>0</v>
      </c>
    </row>
    <row r="288" spans="1:5" x14ac:dyDescent="0.35">
      <c r="A288">
        <v>18.600000000000001</v>
      </c>
      <c r="B288">
        <v>1</v>
      </c>
      <c r="D288">
        <v>24</v>
      </c>
      <c r="E288">
        <v>0</v>
      </c>
    </row>
    <row r="289" spans="1:5" x14ac:dyDescent="0.35">
      <c r="A289">
        <v>18.75</v>
      </c>
      <c r="B289">
        <v>1</v>
      </c>
      <c r="D289">
        <v>24</v>
      </c>
      <c r="E289">
        <v>0</v>
      </c>
    </row>
    <row r="290" spans="1:5" x14ac:dyDescent="0.35">
      <c r="A290">
        <v>18.88</v>
      </c>
      <c r="B290">
        <v>1</v>
      </c>
      <c r="D290">
        <v>24</v>
      </c>
      <c r="E290">
        <v>0</v>
      </c>
    </row>
    <row r="291" spans="1:5" x14ac:dyDescent="0.35">
      <c r="A291">
        <v>19</v>
      </c>
      <c r="B291">
        <v>1</v>
      </c>
      <c r="D291">
        <v>24</v>
      </c>
      <c r="E291">
        <v>0</v>
      </c>
    </row>
    <row r="292" spans="1:5" x14ac:dyDescent="0.35">
      <c r="A292">
        <v>19.010000000000002</v>
      </c>
      <c r="B292">
        <v>1</v>
      </c>
      <c r="D292">
        <v>24</v>
      </c>
      <c r="E292">
        <v>0</v>
      </c>
    </row>
    <row r="293" spans="1:5" x14ac:dyDescent="0.35">
      <c r="A293">
        <v>19.059999999999999</v>
      </c>
      <c r="B293">
        <v>1</v>
      </c>
      <c r="D293">
        <v>24</v>
      </c>
      <c r="E293">
        <v>0</v>
      </c>
    </row>
    <row r="294" spans="1:5" x14ac:dyDescent="0.35">
      <c r="A294">
        <v>19.190000000000001</v>
      </c>
      <c r="B294">
        <v>1</v>
      </c>
      <c r="D294">
        <v>24</v>
      </c>
      <c r="E294">
        <v>0</v>
      </c>
    </row>
    <row r="295" spans="1:5" x14ac:dyDescent="0.35">
      <c r="A295">
        <v>19.239999999999998</v>
      </c>
      <c r="B295">
        <v>1</v>
      </c>
      <c r="D295">
        <v>24</v>
      </c>
      <c r="E295">
        <v>0</v>
      </c>
    </row>
    <row r="296" spans="1:5" x14ac:dyDescent="0.35">
      <c r="A296">
        <v>19.41</v>
      </c>
      <c r="B296">
        <v>1</v>
      </c>
      <c r="D296">
        <v>24</v>
      </c>
      <c r="E296">
        <v>0</v>
      </c>
    </row>
    <row r="297" spans="1:5" x14ac:dyDescent="0.35">
      <c r="A297">
        <v>19.43</v>
      </c>
      <c r="B297">
        <v>1</v>
      </c>
      <c r="D297">
        <v>24</v>
      </c>
      <c r="E297">
        <v>0</v>
      </c>
    </row>
    <row r="298" spans="1:5" x14ac:dyDescent="0.35">
      <c r="A298">
        <v>19.5</v>
      </c>
      <c r="B298">
        <v>1</v>
      </c>
      <c r="D298">
        <v>24</v>
      </c>
      <c r="E298">
        <v>0</v>
      </c>
    </row>
    <row r="299" spans="1:5" x14ac:dyDescent="0.35">
      <c r="A299">
        <v>19.510000000000002</v>
      </c>
      <c r="B299">
        <v>1</v>
      </c>
      <c r="D299">
        <v>24</v>
      </c>
      <c r="E299">
        <v>0</v>
      </c>
    </row>
    <row r="300" spans="1:5" x14ac:dyDescent="0.35">
      <c r="A300">
        <v>19.75</v>
      </c>
      <c r="B300">
        <v>1</v>
      </c>
      <c r="D300">
        <v>24</v>
      </c>
      <c r="E300">
        <v>0</v>
      </c>
    </row>
    <row r="301" spans="1:5" x14ac:dyDescent="0.35">
      <c r="A301">
        <v>19.87</v>
      </c>
      <c r="B301">
        <v>1</v>
      </c>
      <c r="D301">
        <v>24</v>
      </c>
      <c r="E301">
        <v>0</v>
      </c>
    </row>
    <row r="302" spans="1:5" x14ac:dyDescent="0.35">
      <c r="A302">
        <v>19.95</v>
      </c>
      <c r="B302">
        <v>1</v>
      </c>
      <c r="D302">
        <v>24</v>
      </c>
      <c r="E302">
        <v>0</v>
      </c>
    </row>
    <row r="303" spans="1:5" x14ac:dyDescent="0.35">
      <c r="A303">
        <v>19.98</v>
      </c>
      <c r="B303">
        <v>1</v>
      </c>
      <c r="D303">
        <v>24</v>
      </c>
      <c r="E303">
        <v>0</v>
      </c>
    </row>
    <row r="304" spans="1:5" x14ac:dyDescent="0.35">
      <c r="A304">
        <v>20.16</v>
      </c>
      <c r="B304">
        <v>1</v>
      </c>
      <c r="D304">
        <v>24</v>
      </c>
      <c r="E304">
        <v>0</v>
      </c>
    </row>
    <row r="305" spans="1:5" x14ac:dyDescent="0.35">
      <c r="A305">
        <v>20.239999999999998</v>
      </c>
      <c r="B305">
        <v>1</v>
      </c>
      <c r="D305">
        <v>24</v>
      </c>
      <c r="E305">
        <v>0</v>
      </c>
    </row>
    <row r="306" spans="1:5" x14ac:dyDescent="0.35">
      <c r="A306">
        <v>20.56</v>
      </c>
      <c r="B306">
        <v>1</v>
      </c>
      <c r="D306">
        <v>24</v>
      </c>
      <c r="E306">
        <v>0</v>
      </c>
    </row>
    <row r="307" spans="1:5" x14ac:dyDescent="0.35">
      <c r="A307">
        <v>20.63</v>
      </c>
      <c r="B307">
        <v>1</v>
      </c>
      <c r="D307">
        <v>24</v>
      </c>
      <c r="E307">
        <v>0</v>
      </c>
    </row>
    <row r="308" spans="1:5" x14ac:dyDescent="0.35">
      <c r="A308">
        <v>20.75</v>
      </c>
      <c r="B308">
        <v>1</v>
      </c>
      <c r="D308">
        <v>24</v>
      </c>
      <c r="E308">
        <v>0</v>
      </c>
    </row>
    <row r="309" spans="1:5" x14ac:dyDescent="0.35">
      <c r="A309">
        <v>20.8</v>
      </c>
      <c r="B309">
        <v>1</v>
      </c>
      <c r="D309">
        <v>24</v>
      </c>
      <c r="E309">
        <v>0</v>
      </c>
    </row>
    <row r="310" spans="1:5" x14ac:dyDescent="0.35">
      <c r="A310">
        <v>20.99</v>
      </c>
      <c r="B310">
        <v>1</v>
      </c>
      <c r="D310">
        <v>24</v>
      </c>
      <c r="E310">
        <v>0</v>
      </c>
    </row>
    <row r="311" spans="1:5" x14ac:dyDescent="0.35">
      <c r="A311">
        <v>21.12</v>
      </c>
      <c r="B311">
        <v>1</v>
      </c>
      <c r="D311">
        <v>24</v>
      </c>
      <c r="E311">
        <v>0</v>
      </c>
    </row>
    <row r="312" spans="1:5" x14ac:dyDescent="0.35">
      <c r="A312">
        <v>21.12</v>
      </c>
      <c r="B312">
        <v>1</v>
      </c>
      <c r="D312">
        <v>24</v>
      </c>
      <c r="E312">
        <v>0</v>
      </c>
    </row>
    <row r="313" spans="1:5" x14ac:dyDescent="0.35">
      <c r="A313">
        <v>21.38</v>
      </c>
      <c r="B313">
        <v>1</v>
      </c>
      <c r="D313">
        <v>24</v>
      </c>
      <c r="E313">
        <v>0</v>
      </c>
    </row>
    <row r="314" spans="1:5" x14ac:dyDescent="0.35">
      <c r="A314">
        <v>21.59</v>
      </c>
      <c r="B314">
        <v>1</v>
      </c>
      <c r="D314">
        <v>24</v>
      </c>
      <c r="E314">
        <v>0</v>
      </c>
    </row>
    <row r="315" spans="1:5" x14ac:dyDescent="0.35">
      <c r="A315">
        <v>21.64</v>
      </c>
      <c r="B315">
        <v>1</v>
      </c>
      <c r="D315">
        <v>24</v>
      </c>
      <c r="E315">
        <v>0</v>
      </c>
    </row>
    <row r="316" spans="1:5" x14ac:dyDescent="0.35">
      <c r="A316">
        <v>21.65</v>
      </c>
      <c r="B316">
        <v>1</v>
      </c>
      <c r="D316">
        <v>24</v>
      </c>
      <c r="E316">
        <v>0</v>
      </c>
    </row>
    <row r="317" spans="1:5" x14ac:dyDescent="0.35">
      <c r="A317">
        <v>21.68</v>
      </c>
      <c r="B317">
        <v>1</v>
      </c>
      <c r="D317">
        <v>24</v>
      </c>
      <c r="E317">
        <v>0</v>
      </c>
    </row>
    <row r="318" spans="1:5" x14ac:dyDescent="0.35">
      <c r="A318">
        <v>21.7</v>
      </c>
      <c r="B318">
        <v>1</v>
      </c>
      <c r="D318">
        <v>24</v>
      </c>
      <c r="E318">
        <v>0</v>
      </c>
    </row>
    <row r="319" spans="1:5" x14ac:dyDescent="0.35">
      <c r="A319">
        <v>21.98</v>
      </c>
      <c r="B319">
        <v>1</v>
      </c>
      <c r="D319">
        <v>24</v>
      </c>
      <c r="E319">
        <v>0</v>
      </c>
    </row>
    <row r="320" spans="1:5" x14ac:dyDescent="0.35">
      <c r="A320">
        <v>22.36</v>
      </c>
      <c r="B320">
        <v>1</v>
      </c>
      <c r="D320">
        <v>24</v>
      </c>
      <c r="E320">
        <v>0</v>
      </c>
    </row>
    <row r="321" spans="1:5" x14ac:dyDescent="0.35">
      <c r="A321">
        <v>22.42</v>
      </c>
      <c r="B321">
        <v>1</v>
      </c>
      <c r="D321">
        <v>24</v>
      </c>
      <c r="E321">
        <v>0</v>
      </c>
    </row>
    <row r="322" spans="1:5" x14ac:dyDescent="0.35">
      <c r="A322">
        <v>22.44</v>
      </c>
      <c r="B322">
        <v>1</v>
      </c>
      <c r="D322">
        <v>24</v>
      </c>
      <c r="E322">
        <v>0</v>
      </c>
    </row>
    <row r="323" spans="1:5" x14ac:dyDescent="0.35">
      <c r="A323">
        <v>22.5</v>
      </c>
      <c r="B323">
        <v>1</v>
      </c>
      <c r="D323">
        <v>24</v>
      </c>
      <c r="E323">
        <v>0</v>
      </c>
    </row>
    <row r="324" spans="1:5" x14ac:dyDescent="0.35">
      <c r="A324">
        <v>22.56</v>
      </c>
      <c r="B324">
        <v>1</v>
      </c>
      <c r="D324">
        <v>24</v>
      </c>
      <c r="E324">
        <v>0</v>
      </c>
    </row>
    <row r="325" spans="1:5" x14ac:dyDescent="0.35">
      <c r="A325">
        <v>22.79</v>
      </c>
      <c r="B325">
        <v>1</v>
      </c>
      <c r="D325">
        <v>24</v>
      </c>
      <c r="E325">
        <v>0</v>
      </c>
    </row>
    <row r="326" spans="1:5" x14ac:dyDescent="0.35">
      <c r="A326">
        <v>22.86</v>
      </c>
      <c r="B326">
        <v>1</v>
      </c>
      <c r="D326">
        <v>24</v>
      </c>
      <c r="E326">
        <v>0</v>
      </c>
    </row>
    <row r="327" spans="1:5" x14ac:dyDescent="0.35">
      <c r="A327">
        <v>23</v>
      </c>
      <c r="B327">
        <v>1</v>
      </c>
      <c r="D327">
        <v>24</v>
      </c>
      <c r="E327">
        <v>0</v>
      </c>
    </row>
    <row r="328" spans="1:5" x14ac:dyDescent="0.35">
      <c r="A328">
        <v>23.01</v>
      </c>
      <c r="B328">
        <v>1</v>
      </c>
      <c r="D328">
        <v>24</v>
      </c>
      <c r="E328">
        <v>0</v>
      </c>
    </row>
    <row r="329" spans="1:5" x14ac:dyDescent="0.35">
      <c r="A329">
        <v>23.02</v>
      </c>
      <c r="B329">
        <v>1</v>
      </c>
      <c r="D329">
        <v>24</v>
      </c>
      <c r="E329">
        <v>0</v>
      </c>
    </row>
    <row r="330" spans="1:5" x14ac:dyDescent="0.35">
      <c r="A330">
        <v>23.1</v>
      </c>
      <c r="B330">
        <v>1</v>
      </c>
      <c r="D330">
        <v>24</v>
      </c>
      <c r="E330">
        <v>0</v>
      </c>
    </row>
    <row r="331" spans="1:5" x14ac:dyDescent="0.35">
      <c r="A331">
        <v>23.73</v>
      </c>
      <c r="B331">
        <v>1</v>
      </c>
      <c r="D331">
        <v>24</v>
      </c>
      <c r="E331">
        <v>0</v>
      </c>
    </row>
    <row r="332" spans="1:5" x14ac:dyDescent="0.35">
      <c r="A332">
        <v>23.9</v>
      </c>
      <c r="B332">
        <v>1</v>
      </c>
      <c r="D332">
        <v>24</v>
      </c>
      <c r="E332">
        <v>0</v>
      </c>
    </row>
    <row r="333" spans="1:5" x14ac:dyDescent="0.35">
      <c r="A333">
        <v>24</v>
      </c>
      <c r="B333">
        <v>0</v>
      </c>
      <c r="D333">
        <v>24</v>
      </c>
      <c r="E333">
        <v>0</v>
      </c>
    </row>
    <row r="334" spans="1:5" x14ac:dyDescent="0.35">
      <c r="A334">
        <v>24</v>
      </c>
      <c r="B334">
        <v>0</v>
      </c>
      <c r="D334">
        <v>24</v>
      </c>
      <c r="E334">
        <v>0</v>
      </c>
    </row>
    <row r="335" spans="1:5" x14ac:dyDescent="0.35">
      <c r="A335">
        <v>24</v>
      </c>
      <c r="B335">
        <v>0</v>
      </c>
      <c r="D335">
        <v>24</v>
      </c>
      <c r="E335">
        <v>0</v>
      </c>
    </row>
    <row r="336" spans="1:5" x14ac:dyDescent="0.35">
      <c r="A336">
        <v>24</v>
      </c>
      <c r="B336">
        <v>0</v>
      </c>
      <c r="D336">
        <v>24</v>
      </c>
      <c r="E336">
        <v>0</v>
      </c>
    </row>
    <row r="337" spans="1:5" x14ac:dyDescent="0.35">
      <c r="A337">
        <v>24</v>
      </c>
      <c r="B337">
        <v>0</v>
      </c>
      <c r="D337">
        <v>24</v>
      </c>
      <c r="E337">
        <v>0</v>
      </c>
    </row>
    <row r="338" spans="1:5" x14ac:dyDescent="0.35">
      <c r="A338">
        <v>24</v>
      </c>
      <c r="B338">
        <v>0</v>
      </c>
      <c r="D338">
        <v>24</v>
      </c>
      <c r="E338">
        <v>0</v>
      </c>
    </row>
    <row r="339" spans="1:5" x14ac:dyDescent="0.35">
      <c r="A339">
        <v>24</v>
      </c>
      <c r="B339">
        <v>0</v>
      </c>
      <c r="D339">
        <v>24</v>
      </c>
      <c r="E339">
        <v>0</v>
      </c>
    </row>
    <row r="340" spans="1:5" x14ac:dyDescent="0.35">
      <c r="A340">
        <v>24</v>
      </c>
      <c r="B340">
        <v>0</v>
      </c>
      <c r="D340">
        <v>24</v>
      </c>
      <c r="E340">
        <v>0</v>
      </c>
    </row>
    <row r="341" spans="1:5" x14ac:dyDescent="0.35">
      <c r="A341">
        <v>24</v>
      </c>
      <c r="B341">
        <v>0</v>
      </c>
      <c r="D341">
        <v>24</v>
      </c>
      <c r="E341">
        <v>0</v>
      </c>
    </row>
    <row r="342" spans="1:5" x14ac:dyDescent="0.35">
      <c r="A342">
        <v>24</v>
      </c>
      <c r="B342">
        <v>0</v>
      </c>
      <c r="D342">
        <v>24</v>
      </c>
      <c r="E342">
        <v>0</v>
      </c>
    </row>
    <row r="343" spans="1:5" x14ac:dyDescent="0.35">
      <c r="A343">
        <v>24</v>
      </c>
      <c r="B343">
        <v>0</v>
      </c>
      <c r="D343">
        <v>24</v>
      </c>
      <c r="E343">
        <v>0</v>
      </c>
    </row>
    <row r="344" spans="1:5" x14ac:dyDescent="0.35">
      <c r="A344">
        <v>24</v>
      </c>
      <c r="B344">
        <v>0</v>
      </c>
      <c r="D344">
        <v>24</v>
      </c>
      <c r="E344">
        <v>0</v>
      </c>
    </row>
    <row r="345" spans="1:5" x14ac:dyDescent="0.35">
      <c r="A345">
        <v>24</v>
      </c>
      <c r="B345">
        <v>0</v>
      </c>
      <c r="D345">
        <v>24</v>
      </c>
      <c r="E345">
        <v>0</v>
      </c>
    </row>
    <row r="346" spans="1:5" x14ac:dyDescent="0.35">
      <c r="A346">
        <v>24</v>
      </c>
      <c r="B346">
        <v>0</v>
      </c>
      <c r="D346">
        <v>24</v>
      </c>
      <c r="E346">
        <v>0</v>
      </c>
    </row>
    <row r="347" spans="1:5" x14ac:dyDescent="0.35">
      <c r="A347">
        <v>24</v>
      </c>
      <c r="B347">
        <v>0</v>
      </c>
      <c r="D347">
        <v>24</v>
      </c>
      <c r="E347">
        <v>0</v>
      </c>
    </row>
    <row r="348" spans="1:5" x14ac:dyDescent="0.35">
      <c r="A348">
        <v>24</v>
      </c>
      <c r="B348">
        <v>0</v>
      </c>
      <c r="D348">
        <v>24</v>
      </c>
      <c r="E348">
        <v>0</v>
      </c>
    </row>
    <row r="349" spans="1:5" x14ac:dyDescent="0.35">
      <c r="A349">
        <v>24</v>
      </c>
      <c r="B349">
        <v>0</v>
      </c>
      <c r="D349">
        <v>24</v>
      </c>
      <c r="E349">
        <v>0</v>
      </c>
    </row>
    <row r="350" spans="1:5" x14ac:dyDescent="0.35">
      <c r="A350">
        <v>24</v>
      </c>
      <c r="B350">
        <v>0</v>
      </c>
      <c r="D350">
        <v>24</v>
      </c>
      <c r="E350">
        <v>0</v>
      </c>
    </row>
    <row r="351" spans="1:5" x14ac:dyDescent="0.35">
      <c r="A351">
        <v>24</v>
      </c>
      <c r="B351">
        <v>0</v>
      </c>
      <c r="D351">
        <v>24</v>
      </c>
      <c r="E351">
        <v>0</v>
      </c>
    </row>
    <row r="352" spans="1:5" x14ac:dyDescent="0.35">
      <c r="A352">
        <v>24</v>
      </c>
      <c r="B352">
        <v>0</v>
      </c>
      <c r="D352">
        <v>24</v>
      </c>
      <c r="E352">
        <v>0</v>
      </c>
    </row>
    <row r="353" spans="1:5" x14ac:dyDescent="0.35">
      <c r="A353">
        <v>24</v>
      </c>
      <c r="B353">
        <v>0</v>
      </c>
      <c r="D353">
        <v>24</v>
      </c>
      <c r="E353">
        <v>0</v>
      </c>
    </row>
    <row r="354" spans="1:5" x14ac:dyDescent="0.35">
      <c r="A354">
        <v>24</v>
      </c>
      <c r="B354">
        <v>0</v>
      </c>
      <c r="D354">
        <v>24</v>
      </c>
      <c r="E354">
        <v>0</v>
      </c>
    </row>
    <row r="355" spans="1:5" x14ac:dyDescent="0.35">
      <c r="A355">
        <v>24</v>
      </c>
      <c r="B355">
        <v>0</v>
      </c>
      <c r="D355">
        <v>24</v>
      </c>
      <c r="E355">
        <v>0</v>
      </c>
    </row>
    <row r="356" spans="1:5" x14ac:dyDescent="0.35">
      <c r="A356">
        <v>24</v>
      </c>
      <c r="B356">
        <v>0</v>
      </c>
      <c r="D356">
        <v>24</v>
      </c>
      <c r="E356">
        <v>0</v>
      </c>
    </row>
    <row r="357" spans="1:5" x14ac:dyDescent="0.35">
      <c r="A357">
        <v>24</v>
      </c>
      <c r="B357">
        <v>0</v>
      </c>
      <c r="D357">
        <v>24</v>
      </c>
      <c r="E357">
        <v>0</v>
      </c>
    </row>
    <row r="358" spans="1:5" x14ac:dyDescent="0.35">
      <c r="A358">
        <v>24</v>
      </c>
      <c r="B358">
        <v>0</v>
      </c>
      <c r="D358">
        <v>24</v>
      </c>
      <c r="E358">
        <v>0</v>
      </c>
    </row>
    <row r="359" spans="1:5" x14ac:dyDescent="0.35">
      <c r="A359">
        <v>24</v>
      </c>
      <c r="B359">
        <v>0</v>
      </c>
      <c r="D359">
        <v>24</v>
      </c>
      <c r="E359">
        <v>0</v>
      </c>
    </row>
    <row r="360" spans="1:5" x14ac:dyDescent="0.35">
      <c r="A360">
        <v>24</v>
      </c>
      <c r="B360">
        <v>0</v>
      </c>
      <c r="D360">
        <v>24</v>
      </c>
      <c r="E360">
        <v>0</v>
      </c>
    </row>
    <row r="361" spans="1:5" x14ac:dyDescent="0.35">
      <c r="A361">
        <v>24</v>
      </c>
      <c r="B361">
        <v>0</v>
      </c>
      <c r="D361">
        <v>24</v>
      </c>
      <c r="E361">
        <v>0</v>
      </c>
    </row>
    <row r="362" spans="1:5" x14ac:dyDescent="0.35">
      <c r="A362">
        <v>24</v>
      </c>
      <c r="B362">
        <v>0</v>
      </c>
      <c r="D362">
        <v>24</v>
      </c>
      <c r="E362">
        <v>0</v>
      </c>
    </row>
    <row r="363" spans="1:5" x14ac:dyDescent="0.35">
      <c r="A363">
        <v>24</v>
      </c>
      <c r="B363">
        <v>0</v>
      </c>
      <c r="D363">
        <v>24</v>
      </c>
      <c r="E363">
        <v>0</v>
      </c>
    </row>
    <row r="364" spans="1:5" x14ac:dyDescent="0.35">
      <c r="A364">
        <v>24</v>
      </c>
      <c r="B364">
        <v>0</v>
      </c>
      <c r="D364">
        <v>24</v>
      </c>
      <c r="E364">
        <v>0</v>
      </c>
    </row>
    <row r="365" spans="1:5" x14ac:dyDescent="0.35">
      <c r="A365">
        <v>24</v>
      </c>
      <c r="B365">
        <v>0</v>
      </c>
      <c r="D365">
        <v>24</v>
      </c>
      <c r="E365">
        <v>0</v>
      </c>
    </row>
    <row r="366" spans="1:5" x14ac:dyDescent="0.35">
      <c r="A366">
        <v>24</v>
      </c>
      <c r="B366">
        <v>0</v>
      </c>
      <c r="D366">
        <v>24</v>
      </c>
      <c r="E366">
        <v>0</v>
      </c>
    </row>
    <row r="367" spans="1:5" x14ac:dyDescent="0.35">
      <c r="A367">
        <v>24</v>
      </c>
      <c r="B367">
        <v>0</v>
      </c>
      <c r="D367">
        <v>24</v>
      </c>
      <c r="E367">
        <v>0</v>
      </c>
    </row>
    <row r="368" spans="1:5" x14ac:dyDescent="0.35">
      <c r="A368">
        <v>24</v>
      </c>
      <c r="B368">
        <v>0</v>
      </c>
      <c r="D368">
        <v>24</v>
      </c>
      <c r="E368">
        <v>0</v>
      </c>
    </row>
    <row r="369" spans="1:5" x14ac:dyDescent="0.35">
      <c r="A369">
        <v>24</v>
      </c>
      <c r="B369">
        <v>0</v>
      </c>
      <c r="D369">
        <v>24</v>
      </c>
      <c r="E369">
        <v>0</v>
      </c>
    </row>
    <row r="370" spans="1:5" x14ac:dyDescent="0.35">
      <c r="A370">
        <v>24</v>
      </c>
      <c r="B370">
        <v>0</v>
      </c>
      <c r="D370">
        <v>24</v>
      </c>
      <c r="E370">
        <v>0</v>
      </c>
    </row>
    <row r="371" spans="1:5" x14ac:dyDescent="0.35">
      <c r="A371">
        <v>24</v>
      </c>
      <c r="B371">
        <v>0</v>
      </c>
      <c r="D371">
        <v>24</v>
      </c>
      <c r="E371">
        <v>0</v>
      </c>
    </row>
    <row r="372" spans="1:5" x14ac:dyDescent="0.35">
      <c r="A372">
        <v>24</v>
      </c>
      <c r="B372">
        <v>0</v>
      </c>
      <c r="D372">
        <v>24</v>
      </c>
      <c r="E372">
        <v>0</v>
      </c>
    </row>
    <row r="373" spans="1:5" x14ac:dyDescent="0.35">
      <c r="A373">
        <v>24</v>
      </c>
      <c r="B373">
        <v>0</v>
      </c>
      <c r="D373">
        <v>24</v>
      </c>
      <c r="E373">
        <v>0</v>
      </c>
    </row>
    <row r="374" spans="1:5" x14ac:dyDescent="0.35">
      <c r="A374">
        <v>24</v>
      </c>
      <c r="B374">
        <v>0</v>
      </c>
      <c r="D374">
        <v>24</v>
      </c>
      <c r="E374">
        <v>0</v>
      </c>
    </row>
    <row r="375" spans="1:5" x14ac:dyDescent="0.35">
      <c r="A375">
        <v>24</v>
      </c>
      <c r="B375">
        <v>0</v>
      </c>
      <c r="D375">
        <v>24</v>
      </c>
      <c r="E375">
        <v>0</v>
      </c>
    </row>
    <row r="376" spans="1:5" x14ac:dyDescent="0.35">
      <c r="A376">
        <v>24</v>
      </c>
      <c r="B376">
        <v>0</v>
      </c>
      <c r="D376">
        <v>24</v>
      </c>
      <c r="E376">
        <v>0</v>
      </c>
    </row>
    <row r="377" spans="1:5" x14ac:dyDescent="0.35">
      <c r="A377">
        <v>24</v>
      </c>
      <c r="B377">
        <v>0</v>
      </c>
      <c r="D377">
        <v>24</v>
      </c>
      <c r="E377">
        <v>0</v>
      </c>
    </row>
    <row r="378" spans="1:5" x14ac:dyDescent="0.35">
      <c r="A378">
        <v>24</v>
      </c>
      <c r="B378">
        <v>0</v>
      </c>
      <c r="D378">
        <v>24</v>
      </c>
      <c r="E378">
        <v>0</v>
      </c>
    </row>
    <row r="379" spans="1:5" x14ac:dyDescent="0.35">
      <c r="A379">
        <v>24</v>
      </c>
      <c r="B379">
        <v>0</v>
      </c>
      <c r="D379">
        <v>24</v>
      </c>
      <c r="E379">
        <v>0</v>
      </c>
    </row>
    <row r="380" spans="1:5" x14ac:dyDescent="0.35">
      <c r="A380">
        <v>24</v>
      </c>
      <c r="B380">
        <v>0</v>
      </c>
      <c r="D380">
        <v>24</v>
      </c>
      <c r="E380">
        <v>0</v>
      </c>
    </row>
    <row r="381" spans="1:5" x14ac:dyDescent="0.35">
      <c r="A381">
        <v>24</v>
      </c>
      <c r="B381">
        <v>0</v>
      </c>
      <c r="D381">
        <v>24</v>
      </c>
      <c r="E381">
        <v>0</v>
      </c>
    </row>
    <row r="382" spans="1:5" x14ac:dyDescent="0.35">
      <c r="A382">
        <v>24</v>
      </c>
      <c r="B382">
        <v>0</v>
      </c>
      <c r="D382">
        <v>24</v>
      </c>
      <c r="E382">
        <v>0</v>
      </c>
    </row>
    <row r="383" spans="1:5" x14ac:dyDescent="0.35">
      <c r="A383">
        <v>24</v>
      </c>
      <c r="B383">
        <v>0</v>
      </c>
      <c r="D383">
        <v>24</v>
      </c>
      <c r="E383">
        <v>0</v>
      </c>
    </row>
    <row r="384" spans="1:5" x14ac:dyDescent="0.35">
      <c r="A384">
        <v>24</v>
      </c>
      <c r="B384">
        <v>0</v>
      </c>
      <c r="D384">
        <v>24</v>
      </c>
      <c r="E384">
        <v>0</v>
      </c>
    </row>
    <row r="385" spans="1:5" x14ac:dyDescent="0.35">
      <c r="A385">
        <v>24</v>
      </c>
      <c r="B385">
        <v>0</v>
      </c>
      <c r="D385">
        <v>24</v>
      </c>
      <c r="E385">
        <v>0</v>
      </c>
    </row>
    <row r="386" spans="1:5" x14ac:dyDescent="0.35">
      <c r="A386">
        <v>24</v>
      </c>
      <c r="B386">
        <v>0</v>
      </c>
      <c r="D386">
        <v>24</v>
      </c>
      <c r="E386">
        <v>0</v>
      </c>
    </row>
    <row r="387" spans="1:5" x14ac:dyDescent="0.35">
      <c r="A387">
        <v>24</v>
      </c>
      <c r="B387">
        <v>0</v>
      </c>
      <c r="D387">
        <v>24</v>
      </c>
      <c r="E387">
        <v>0</v>
      </c>
    </row>
    <row r="388" spans="1:5" x14ac:dyDescent="0.35">
      <c r="A388">
        <v>24</v>
      </c>
      <c r="B388">
        <v>0</v>
      </c>
      <c r="D388">
        <v>24</v>
      </c>
      <c r="E388">
        <v>0</v>
      </c>
    </row>
    <row r="389" spans="1:5" x14ac:dyDescent="0.35">
      <c r="A389">
        <v>24</v>
      </c>
      <c r="B389">
        <v>0</v>
      </c>
      <c r="D389">
        <v>24</v>
      </c>
      <c r="E389">
        <v>0</v>
      </c>
    </row>
    <row r="390" spans="1:5" x14ac:dyDescent="0.35">
      <c r="A390">
        <v>24</v>
      </c>
      <c r="B390">
        <v>0</v>
      </c>
      <c r="D390">
        <v>24</v>
      </c>
      <c r="E390">
        <v>0</v>
      </c>
    </row>
    <row r="391" spans="1:5" x14ac:dyDescent="0.35">
      <c r="A391">
        <v>24</v>
      </c>
      <c r="B391">
        <v>0</v>
      </c>
      <c r="D391">
        <v>24</v>
      </c>
      <c r="E391">
        <v>0</v>
      </c>
    </row>
    <row r="392" spans="1:5" x14ac:dyDescent="0.35">
      <c r="A392">
        <v>24</v>
      </c>
      <c r="B392">
        <v>0</v>
      </c>
      <c r="D392">
        <v>24</v>
      </c>
      <c r="E392">
        <v>0</v>
      </c>
    </row>
    <row r="393" spans="1:5" x14ac:dyDescent="0.35">
      <c r="A393">
        <v>24</v>
      </c>
      <c r="B393">
        <v>0</v>
      </c>
      <c r="D393">
        <v>24</v>
      </c>
      <c r="E393">
        <v>0</v>
      </c>
    </row>
    <row r="394" spans="1:5" x14ac:dyDescent="0.35">
      <c r="A394">
        <v>24</v>
      </c>
      <c r="B394">
        <v>0</v>
      </c>
      <c r="D394">
        <v>24</v>
      </c>
      <c r="E394">
        <v>0</v>
      </c>
    </row>
    <row r="395" spans="1:5" x14ac:dyDescent="0.35">
      <c r="A395">
        <v>24</v>
      </c>
      <c r="B395">
        <v>0</v>
      </c>
      <c r="D395">
        <v>24</v>
      </c>
      <c r="E395">
        <v>0</v>
      </c>
    </row>
    <row r="396" spans="1:5" x14ac:dyDescent="0.35">
      <c r="A396">
        <v>24</v>
      </c>
      <c r="B396">
        <v>0</v>
      </c>
      <c r="D396">
        <v>24</v>
      </c>
      <c r="E396">
        <v>0</v>
      </c>
    </row>
    <row r="397" spans="1:5" x14ac:dyDescent="0.35">
      <c r="A397">
        <v>24</v>
      </c>
      <c r="B397">
        <v>0</v>
      </c>
      <c r="D397">
        <v>24</v>
      </c>
      <c r="E397">
        <v>0</v>
      </c>
    </row>
    <row r="398" spans="1:5" x14ac:dyDescent="0.35">
      <c r="A398">
        <v>24</v>
      </c>
      <c r="B398">
        <v>0</v>
      </c>
      <c r="D398">
        <v>24</v>
      </c>
      <c r="E398">
        <v>0</v>
      </c>
    </row>
    <row r="399" spans="1:5" x14ac:dyDescent="0.35">
      <c r="A399">
        <v>24</v>
      </c>
      <c r="B399">
        <v>0</v>
      </c>
      <c r="D399">
        <v>24</v>
      </c>
      <c r="E399">
        <v>0</v>
      </c>
    </row>
    <row r="400" spans="1:5" x14ac:dyDescent="0.35">
      <c r="A400">
        <v>24</v>
      </c>
      <c r="B400">
        <v>0</v>
      </c>
      <c r="D400">
        <v>24</v>
      </c>
      <c r="E400">
        <v>0</v>
      </c>
    </row>
    <row r="401" spans="1:5" x14ac:dyDescent="0.35">
      <c r="A401">
        <v>24</v>
      </c>
      <c r="B401">
        <v>0</v>
      </c>
      <c r="D401">
        <v>24</v>
      </c>
      <c r="E401">
        <v>0</v>
      </c>
    </row>
    <row r="402" spans="1:5" x14ac:dyDescent="0.35">
      <c r="A402">
        <v>24</v>
      </c>
      <c r="B402">
        <v>0</v>
      </c>
      <c r="D402">
        <v>24</v>
      </c>
      <c r="E402">
        <v>0</v>
      </c>
    </row>
    <row r="403" spans="1:5" x14ac:dyDescent="0.35">
      <c r="A403">
        <v>24</v>
      </c>
      <c r="B403">
        <v>0</v>
      </c>
      <c r="D403">
        <v>24</v>
      </c>
      <c r="E403">
        <v>0</v>
      </c>
    </row>
    <row r="404" spans="1:5" x14ac:dyDescent="0.35">
      <c r="A404">
        <v>24</v>
      </c>
      <c r="B404">
        <v>0</v>
      </c>
      <c r="D404">
        <v>24</v>
      </c>
      <c r="E404">
        <v>0</v>
      </c>
    </row>
    <row r="405" spans="1:5" x14ac:dyDescent="0.35">
      <c r="A405">
        <v>24</v>
      </c>
      <c r="B405">
        <v>0</v>
      </c>
      <c r="D405">
        <v>24</v>
      </c>
      <c r="E405">
        <v>0</v>
      </c>
    </row>
    <row r="406" spans="1:5" x14ac:dyDescent="0.35">
      <c r="A406">
        <v>24</v>
      </c>
      <c r="B406">
        <v>0</v>
      </c>
      <c r="D406">
        <v>24</v>
      </c>
      <c r="E406">
        <v>0</v>
      </c>
    </row>
    <row r="407" spans="1:5" x14ac:dyDescent="0.35">
      <c r="A407">
        <v>24</v>
      </c>
      <c r="B407">
        <v>0</v>
      </c>
      <c r="D407">
        <v>24</v>
      </c>
      <c r="E407">
        <v>0</v>
      </c>
    </row>
    <row r="408" spans="1:5" x14ac:dyDescent="0.35">
      <c r="A408">
        <v>24</v>
      </c>
      <c r="B408">
        <v>0</v>
      </c>
      <c r="D408">
        <v>24</v>
      </c>
      <c r="E408">
        <v>0</v>
      </c>
    </row>
    <row r="409" spans="1:5" x14ac:dyDescent="0.35">
      <c r="A409">
        <v>24</v>
      </c>
      <c r="B409">
        <v>0</v>
      </c>
      <c r="D409">
        <v>24</v>
      </c>
      <c r="E409">
        <v>0</v>
      </c>
    </row>
    <row r="410" spans="1:5" x14ac:dyDescent="0.35">
      <c r="A410">
        <v>24</v>
      </c>
      <c r="B410">
        <v>0</v>
      </c>
      <c r="D410">
        <v>24</v>
      </c>
      <c r="E410">
        <v>0</v>
      </c>
    </row>
    <row r="411" spans="1:5" x14ac:dyDescent="0.35">
      <c r="A411">
        <v>24</v>
      </c>
      <c r="B411">
        <v>0</v>
      </c>
      <c r="D411">
        <v>24</v>
      </c>
      <c r="E411">
        <v>0</v>
      </c>
    </row>
    <row r="412" spans="1:5" x14ac:dyDescent="0.35">
      <c r="A412">
        <v>24</v>
      </c>
      <c r="B412">
        <v>0</v>
      </c>
      <c r="D412">
        <v>24</v>
      </c>
      <c r="E412">
        <v>0</v>
      </c>
    </row>
    <row r="413" spans="1:5" x14ac:dyDescent="0.35">
      <c r="A413">
        <v>24</v>
      </c>
      <c r="B413">
        <v>0</v>
      </c>
      <c r="D413">
        <v>24</v>
      </c>
      <c r="E413">
        <v>0</v>
      </c>
    </row>
    <row r="414" spans="1:5" x14ac:dyDescent="0.35">
      <c r="A414">
        <v>24</v>
      </c>
      <c r="B414">
        <v>0</v>
      </c>
      <c r="D414">
        <v>24</v>
      </c>
      <c r="E414">
        <v>0</v>
      </c>
    </row>
    <row r="415" spans="1:5" x14ac:dyDescent="0.35">
      <c r="A415">
        <v>24</v>
      </c>
      <c r="B415">
        <v>0</v>
      </c>
      <c r="D415">
        <v>24</v>
      </c>
      <c r="E415">
        <v>0</v>
      </c>
    </row>
    <row r="416" spans="1:5" x14ac:dyDescent="0.35">
      <c r="A416">
        <v>24</v>
      </c>
      <c r="B416">
        <v>0</v>
      </c>
      <c r="D416">
        <v>24</v>
      </c>
      <c r="E416">
        <v>0</v>
      </c>
    </row>
    <row r="417" spans="1:5" x14ac:dyDescent="0.35">
      <c r="A417">
        <v>24</v>
      </c>
      <c r="B417">
        <v>0</v>
      </c>
      <c r="D417">
        <v>24</v>
      </c>
      <c r="E417">
        <v>0</v>
      </c>
    </row>
    <row r="418" spans="1:5" x14ac:dyDescent="0.35">
      <c r="A418">
        <v>24</v>
      </c>
      <c r="B418">
        <v>0</v>
      </c>
      <c r="D418">
        <v>24</v>
      </c>
      <c r="E418">
        <v>0</v>
      </c>
    </row>
    <row r="419" spans="1:5" x14ac:dyDescent="0.35">
      <c r="A419">
        <v>24</v>
      </c>
      <c r="B419">
        <v>0</v>
      </c>
      <c r="D419">
        <v>24</v>
      </c>
      <c r="E419">
        <v>0</v>
      </c>
    </row>
    <row r="420" spans="1:5" x14ac:dyDescent="0.35">
      <c r="A420">
        <v>24</v>
      </c>
      <c r="B420">
        <v>0</v>
      </c>
      <c r="D420">
        <v>24</v>
      </c>
      <c r="E420">
        <v>0</v>
      </c>
    </row>
    <row r="421" spans="1:5" x14ac:dyDescent="0.35">
      <c r="A421">
        <v>24</v>
      </c>
      <c r="B421">
        <v>0</v>
      </c>
      <c r="D421">
        <v>24</v>
      </c>
      <c r="E421">
        <v>0</v>
      </c>
    </row>
    <row r="422" spans="1:5" x14ac:dyDescent="0.35">
      <c r="A422">
        <v>24</v>
      </c>
      <c r="B422">
        <v>0</v>
      </c>
      <c r="D422">
        <v>24</v>
      </c>
      <c r="E422">
        <v>0</v>
      </c>
    </row>
    <row r="423" spans="1:5" x14ac:dyDescent="0.35">
      <c r="A423">
        <v>24</v>
      </c>
      <c r="B423">
        <v>0</v>
      </c>
      <c r="D423">
        <v>24</v>
      </c>
      <c r="E423">
        <v>0</v>
      </c>
    </row>
    <row r="424" spans="1:5" x14ac:dyDescent="0.35">
      <c r="A424">
        <v>24</v>
      </c>
      <c r="B424">
        <v>0</v>
      </c>
      <c r="D424">
        <v>24</v>
      </c>
      <c r="E424">
        <v>0</v>
      </c>
    </row>
    <row r="425" spans="1:5" x14ac:dyDescent="0.35">
      <c r="A425">
        <v>24</v>
      </c>
      <c r="B425">
        <v>0</v>
      </c>
      <c r="D425">
        <v>24</v>
      </c>
      <c r="E425">
        <v>0</v>
      </c>
    </row>
    <row r="426" spans="1:5" x14ac:dyDescent="0.35">
      <c r="A426">
        <v>24</v>
      </c>
      <c r="B426">
        <v>0</v>
      </c>
      <c r="D426">
        <v>24</v>
      </c>
      <c r="E426">
        <v>0</v>
      </c>
    </row>
    <row r="427" spans="1:5" x14ac:dyDescent="0.35">
      <c r="A427">
        <v>24</v>
      </c>
      <c r="B427">
        <v>0</v>
      </c>
      <c r="D427">
        <v>24</v>
      </c>
      <c r="E427">
        <v>0</v>
      </c>
    </row>
    <row r="428" spans="1:5" x14ac:dyDescent="0.35">
      <c r="A428">
        <v>24</v>
      </c>
      <c r="B428">
        <v>0</v>
      </c>
      <c r="D428">
        <v>24</v>
      </c>
      <c r="E428">
        <v>0</v>
      </c>
    </row>
    <row r="429" spans="1:5" x14ac:dyDescent="0.35">
      <c r="A429">
        <v>24</v>
      </c>
      <c r="B429">
        <v>0</v>
      </c>
      <c r="D429">
        <v>24</v>
      </c>
      <c r="E429">
        <v>0</v>
      </c>
    </row>
    <row r="430" spans="1:5" x14ac:dyDescent="0.35">
      <c r="A430">
        <v>24</v>
      </c>
      <c r="B430">
        <v>0</v>
      </c>
      <c r="D430">
        <v>24</v>
      </c>
      <c r="E430">
        <v>0</v>
      </c>
    </row>
    <row r="431" spans="1:5" x14ac:dyDescent="0.35">
      <c r="A431">
        <v>24</v>
      </c>
      <c r="B431">
        <v>0</v>
      </c>
      <c r="D431">
        <v>24</v>
      </c>
      <c r="E431">
        <v>0</v>
      </c>
    </row>
    <row r="432" spans="1:5" x14ac:dyDescent="0.35">
      <c r="A432">
        <v>24</v>
      </c>
      <c r="B432">
        <v>0</v>
      </c>
      <c r="D432">
        <v>24</v>
      </c>
      <c r="E432">
        <v>0</v>
      </c>
    </row>
    <row r="433" spans="1:5" x14ac:dyDescent="0.35">
      <c r="A433">
        <v>24</v>
      </c>
      <c r="B433">
        <v>0</v>
      </c>
      <c r="D433">
        <v>24</v>
      </c>
      <c r="E433">
        <v>0</v>
      </c>
    </row>
    <row r="434" spans="1:5" x14ac:dyDescent="0.35">
      <c r="A434">
        <v>24</v>
      </c>
      <c r="B434">
        <v>0</v>
      </c>
      <c r="D434">
        <v>24</v>
      </c>
      <c r="E434">
        <v>0</v>
      </c>
    </row>
    <row r="435" spans="1:5" x14ac:dyDescent="0.35">
      <c r="A435">
        <v>24</v>
      </c>
      <c r="B435">
        <v>0</v>
      </c>
      <c r="D435">
        <v>24</v>
      </c>
      <c r="E435">
        <v>0</v>
      </c>
    </row>
    <row r="436" spans="1:5" x14ac:dyDescent="0.35">
      <c r="A436">
        <v>24</v>
      </c>
      <c r="B436">
        <v>0</v>
      </c>
      <c r="D436">
        <v>24</v>
      </c>
      <c r="E436">
        <v>0</v>
      </c>
    </row>
    <row r="437" spans="1:5" x14ac:dyDescent="0.35">
      <c r="A437">
        <v>24</v>
      </c>
      <c r="B437">
        <v>0</v>
      </c>
      <c r="D437">
        <v>24</v>
      </c>
      <c r="E437">
        <v>0</v>
      </c>
    </row>
    <row r="438" spans="1:5" x14ac:dyDescent="0.35">
      <c r="A438">
        <v>24</v>
      </c>
      <c r="B438">
        <v>0</v>
      </c>
      <c r="D438">
        <v>24</v>
      </c>
      <c r="E438">
        <v>0</v>
      </c>
    </row>
    <row r="439" spans="1:5" x14ac:dyDescent="0.35">
      <c r="A439">
        <v>24</v>
      </c>
      <c r="B439">
        <v>0</v>
      </c>
      <c r="D439">
        <v>24</v>
      </c>
      <c r="E439">
        <v>0</v>
      </c>
    </row>
    <row r="440" spans="1:5" x14ac:dyDescent="0.35">
      <c r="A440">
        <v>24</v>
      </c>
      <c r="B440">
        <v>0</v>
      </c>
      <c r="D440">
        <v>24</v>
      </c>
      <c r="E440">
        <v>0</v>
      </c>
    </row>
    <row r="441" spans="1:5" x14ac:dyDescent="0.35">
      <c r="A441">
        <v>24</v>
      </c>
      <c r="B441">
        <v>0</v>
      </c>
      <c r="D441">
        <v>24</v>
      </c>
      <c r="E441">
        <v>0</v>
      </c>
    </row>
    <row r="442" spans="1:5" x14ac:dyDescent="0.35">
      <c r="A442">
        <v>24</v>
      </c>
      <c r="B442">
        <v>0</v>
      </c>
      <c r="D442">
        <v>24</v>
      </c>
      <c r="E442">
        <v>0</v>
      </c>
    </row>
    <row r="443" spans="1:5" x14ac:dyDescent="0.35">
      <c r="A443">
        <v>24</v>
      </c>
      <c r="B443">
        <v>0</v>
      </c>
      <c r="D443">
        <v>24</v>
      </c>
      <c r="E443">
        <v>0</v>
      </c>
    </row>
    <row r="444" spans="1:5" x14ac:dyDescent="0.35">
      <c r="A444">
        <v>24</v>
      </c>
      <c r="B444">
        <v>0</v>
      </c>
      <c r="D444">
        <v>24</v>
      </c>
      <c r="E444">
        <v>0</v>
      </c>
    </row>
    <row r="445" spans="1:5" x14ac:dyDescent="0.35">
      <c r="A445">
        <v>24</v>
      </c>
      <c r="B445">
        <v>0</v>
      </c>
      <c r="D445">
        <v>24</v>
      </c>
      <c r="E445">
        <v>0</v>
      </c>
    </row>
    <row r="446" spans="1:5" x14ac:dyDescent="0.35">
      <c r="A446">
        <v>24</v>
      </c>
      <c r="B446">
        <v>0</v>
      </c>
      <c r="D446">
        <v>24</v>
      </c>
      <c r="E446">
        <v>0</v>
      </c>
    </row>
    <row r="447" spans="1:5" x14ac:dyDescent="0.35">
      <c r="A447">
        <v>24</v>
      </c>
      <c r="B447">
        <v>0</v>
      </c>
      <c r="D447">
        <v>24</v>
      </c>
      <c r="E447">
        <v>0</v>
      </c>
    </row>
    <row r="448" spans="1:5" x14ac:dyDescent="0.35">
      <c r="A448">
        <v>24</v>
      </c>
      <c r="B448">
        <v>0</v>
      </c>
      <c r="D448">
        <v>24</v>
      </c>
      <c r="E448">
        <v>0</v>
      </c>
    </row>
    <row r="449" spans="1:5" x14ac:dyDescent="0.35">
      <c r="A449">
        <v>24</v>
      </c>
      <c r="B449">
        <v>0</v>
      </c>
      <c r="D449">
        <v>24</v>
      </c>
      <c r="E449">
        <v>0</v>
      </c>
    </row>
    <row r="450" spans="1:5" x14ac:dyDescent="0.35">
      <c r="A450">
        <v>24</v>
      </c>
      <c r="B450">
        <v>0</v>
      </c>
      <c r="D450">
        <v>24</v>
      </c>
      <c r="E450">
        <v>0</v>
      </c>
    </row>
    <row r="451" spans="1:5" x14ac:dyDescent="0.35">
      <c r="A451">
        <v>24</v>
      </c>
      <c r="B451">
        <v>0</v>
      </c>
      <c r="D451">
        <v>24</v>
      </c>
      <c r="E451">
        <v>0</v>
      </c>
    </row>
    <row r="452" spans="1:5" x14ac:dyDescent="0.35">
      <c r="A452">
        <v>24</v>
      </c>
      <c r="B452">
        <v>0</v>
      </c>
      <c r="D452">
        <v>24</v>
      </c>
      <c r="E452">
        <v>0</v>
      </c>
    </row>
    <row r="453" spans="1:5" x14ac:dyDescent="0.35">
      <c r="A453">
        <v>24</v>
      </c>
      <c r="B453">
        <v>0</v>
      </c>
      <c r="D453">
        <v>24</v>
      </c>
      <c r="E453">
        <v>0</v>
      </c>
    </row>
    <row r="454" spans="1:5" x14ac:dyDescent="0.35">
      <c r="A454">
        <v>24</v>
      </c>
      <c r="B454">
        <v>0</v>
      </c>
      <c r="D454">
        <v>24</v>
      </c>
      <c r="E454">
        <v>0</v>
      </c>
    </row>
    <row r="455" spans="1:5" x14ac:dyDescent="0.35">
      <c r="A455">
        <v>24</v>
      </c>
      <c r="B455">
        <v>0</v>
      </c>
      <c r="D455">
        <v>24</v>
      </c>
      <c r="E455">
        <v>0</v>
      </c>
    </row>
    <row r="456" spans="1:5" x14ac:dyDescent="0.35">
      <c r="A456">
        <v>24</v>
      </c>
      <c r="B456">
        <v>0</v>
      </c>
      <c r="D456">
        <v>24</v>
      </c>
      <c r="E456">
        <v>0</v>
      </c>
    </row>
    <row r="457" spans="1:5" x14ac:dyDescent="0.35">
      <c r="A457">
        <v>24</v>
      </c>
      <c r="B457">
        <v>0</v>
      </c>
      <c r="D457">
        <v>24</v>
      </c>
      <c r="E457">
        <v>0</v>
      </c>
    </row>
    <row r="458" spans="1:5" x14ac:dyDescent="0.35">
      <c r="A458">
        <v>24</v>
      </c>
      <c r="B458">
        <v>0</v>
      </c>
      <c r="D458">
        <v>24</v>
      </c>
      <c r="E458">
        <v>0</v>
      </c>
    </row>
    <row r="459" spans="1:5" x14ac:dyDescent="0.35">
      <c r="A459">
        <v>24</v>
      </c>
      <c r="B459">
        <v>0</v>
      </c>
      <c r="D459">
        <v>24</v>
      </c>
      <c r="E459">
        <v>0</v>
      </c>
    </row>
    <row r="460" spans="1:5" x14ac:dyDescent="0.35">
      <c r="A460">
        <v>24</v>
      </c>
      <c r="B460">
        <v>0</v>
      </c>
      <c r="D460">
        <v>24</v>
      </c>
      <c r="E460">
        <v>0</v>
      </c>
    </row>
    <row r="461" spans="1:5" x14ac:dyDescent="0.35">
      <c r="A461">
        <v>24</v>
      </c>
      <c r="B461">
        <v>0</v>
      </c>
      <c r="D461">
        <v>24</v>
      </c>
      <c r="E461">
        <v>0</v>
      </c>
    </row>
    <row r="462" spans="1:5" x14ac:dyDescent="0.35">
      <c r="A462">
        <v>24</v>
      </c>
      <c r="B462">
        <v>0</v>
      </c>
      <c r="D462">
        <v>24</v>
      </c>
      <c r="E462">
        <v>0</v>
      </c>
    </row>
    <row r="463" spans="1:5" x14ac:dyDescent="0.35">
      <c r="A463">
        <v>24</v>
      </c>
      <c r="B463">
        <v>0</v>
      </c>
      <c r="D463">
        <v>24</v>
      </c>
      <c r="E463">
        <v>0</v>
      </c>
    </row>
    <row r="464" spans="1:5" x14ac:dyDescent="0.35">
      <c r="A464">
        <v>24</v>
      </c>
      <c r="B464">
        <v>0</v>
      </c>
      <c r="D464">
        <v>24</v>
      </c>
      <c r="E464">
        <v>0</v>
      </c>
    </row>
    <row r="465" spans="1:5" x14ac:dyDescent="0.35">
      <c r="A465">
        <v>24</v>
      </c>
      <c r="B465">
        <v>0</v>
      </c>
      <c r="D465">
        <v>24</v>
      </c>
      <c r="E465">
        <v>0</v>
      </c>
    </row>
    <row r="466" spans="1:5" x14ac:dyDescent="0.35">
      <c r="A466">
        <v>24</v>
      </c>
      <c r="B466">
        <v>0</v>
      </c>
      <c r="D466">
        <v>24</v>
      </c>
      <c r="E466">
        <v>0</v>
      </c>
    </row>
    <row r="467" spans="1:5" x14ac:dyDescent="0.35">
      <c r="A467">
        <v>24</v>
      </c>
      <c r="B467">
        <v>0</v>
      </c>
      <c r="D467">
        <v>24</v>
      </c>
      <c r="E467">
        <v>0</v>
      </c>
    </row>
    <row r="468" spans="1:5" x14ac:dyDescent="0.35">
      <c r="A468">
        <v>24</v>
      </c>
      <c r="B468">
        <v>0</v>
      </c>
      <c r="D468">
        <v>24</v>
      </c>
      <c r="E468">
        <v>0</v>
      </c>
    </row>
    <row r="469" spans="1:5" x14ac:dyDescent="0.35">
      <c r="A469">
        <v>24</v>
      </c>
      <c r="B469">
        <v>0</v>
      </c>
      <c r="D469">
        <v>24</v>
      </c>
      <c r="E469">
        <v>0</v>
      </c>
    </row>
    <row r="470" spans="1:5" x14ac:dyDescent="0.35">
      <c r="A470">
        <v>24</v>
      </c>
      <c r="B470">
        <v>0</v>
      </c>
      <c r="D470">
        <v>24</v>
      </c>
      <c r="E470">
        <v>0</v>
      </c>
    </row>
    <row r="471" spans="1:5" x14ac:dyDescent="0.35">
      <c r="A471">
        <v>24</v>
      </c>
      <c r="B471">
        <v>0</v>
      </c>
      <c r="D471">
        <v>24</v>
      </c>
      <c r="E471">
        <v>0</v>
      </c>
    </row>
    <row r="472" spans="1:5" x14ac:dyDescent="0.35">
      <c r="A472">
        <v>24</v>
      </c>
      <c r="B472">
        <v>0</v>
      </c>
      <c r="D472">
        <v>24</v>
      </c>
      <c r="E472">
        <v>0</v>
      </c>
    </row>
    <row r="473" spans="1:5" x14ac:dyDescent="0.35">
      <c r="A473">
        <v>24</v>
      </c>
      <c r="B473">
        <v>0</v>
      </c>
      <c r="D473">
        <v>24</v>
      </c>
      <c r="E473">
        <v>0</v>
      </c>
    </row>
    <row r="474" spans="1:5" x14ac:dyDescent="0.35">
      <c r="A474">
        <v>24</v>
      </c>
      <c r="B474">
        <v>0</v>
      </c>
      <c r="D474">
        <v>24</v>
      </c>
      <c r="E474">
        <v>0</v>
      </c>
    </row>
    <row r="475" spans="1:5" x14ac:dyDescent="0.35">
      <c r="A475">
        <v>24</v>
      </c>
      <c r="B475">
        <v>0</v>
      </c>
      <c r="D475">
        <v>24</v>
      </c>
      <c r="E475">
        <v>0</v>
      </c>
    </row>
    <row r="476" spans="1:5" x14ac:dyDescent="0.35">
      <c r="A476">
        <v>24</v>
      </c>
      <c r="B476">
        <v>0</v>
      </c>
      <c r="D476">
        <v>24</v>
      </c>
      <c r="E476">
        <v>0</v>
      </c>
    </row>
    <row r="477" spans="1:5" x14ac:dyDescent="0.35">
      <c r="A477">
        <v>24</v>
      </c>
      <c r="B477">
        <v>0</v>
      </c>
      <c r="D477">
        <v>24</v>
      </c>
      <c r="E477">
        <v>0</v>
      </c>
    </row>
    <row r="478" spans="1:5" x14ac:dyDescent="0.35">
      <c r="A478">
        <v>24</v>
      </c>
      <c r="B478">
        <v>0</v>
      </c>
      <c r="D478">
        <v>24</v>
      </c>
      <c r="E478">
        <v>0</v>
      </c>
    </row>
    <row r="479" spans="1:5" x14ac:dyDescent="0.35">
      <c r="A479">
        <v>24</v>
      </c>
      <c r="B479">
        <v>0</v>
      </c>
      <c r="D479">
        <v>24</v>
      </c>
      <c r="E479">
        <v>0</v>
      </c>
    </row>
    <row r="480" spans="1:5" x14ac:dyDescent="0.35">
      <c r="A480">
        <v>24</v>
      </c>
      <c r="B480">
        <v>0</v>
      </c>
      <c r="D480">
        <v>24</v>
      </c>
      <c r="E480">
        <v>0</v>
      </c>
    </row>
    <row r="481" spans="1:5" x14ac:dyDescent="0.35">
      <c r="A481">
        <v>24</v>
      </c>
      <c r="B481">
        <v>0</v>
      </c>
      <c r="D481">
        <v>24</v>
      </c>
      <c r="E481">
        <v>0</v>
      </c>
    </row>
    <row r="482" spans="1:5" x14ac:dyDescent="0.35">
      <c r="A482">
        <v>24</v>
      </c>
      <c r="B482">
        <v>0</v>
      </c>
      <c r="D482">
        <v>24</v>
      </c>
      <c r="E482">
        <v>0</v>
      </c>
    </row>
    <row r="483" spans="1:5" x14ac:dyDescent="0.35">
      <c r="A483">
        <v>24</v>
      </c>
      <c r="B483">
        <v>0</v>
      </c>
      <c r="D483">
        <v>24</v>
      </c>
      <c r="E483">
        <v>0</v>
      </c>
    </row>
    <row r="484" spans="1:5" x14ac:dyDescent="0.35">
      <c r="A484">
        <v>24</v>
      </c>
      <c r="B484">
        <v>0</v>
      </c>
      <c r="D484">
        <v>24</v>
      </c>
      <c r="E484">
        <v>0</v>
      </c>
    </row>
    <row r="485" spans="1:5" x14ac:dyDescent="0.35">
      <c r="A485">
        <v>24</v>
      </c>
      <c r="B485">
        <v>0</v>
      </c>
      <c r="D485">
        <v>24</v>
      </c>
      <c r="E485">
        <v>0</v>
      </c>
    </row>
    <row r="486" spans="1:5" x14ac:dyDescent="0.35">
      <c r="A486">
        <v>24</v>
      </c>
      <c r="B486">
        <v>0</v>
      </c>
      <c r="D486">
        <v>24</v>
      </c>
      <c r="E486">
        <v>0</v>
      </c>
    </row>
    <row r="487" spans="1:5" x14ac:dyDescent="0.35">
      <c r="A487">
        <v>24</v>
      </c>
      <c r="B487">
        <v>0</v>
      </c>
      <c r="D487">
        <v>24</v>
      </c>
      <c r="E487">
        <v>0</v>
      </c>
    </row>
    <row r="488" spans="1:5" x14ac:dyDescent="0.35">
      <c r="A488">
        <v>24</v>
      </c>
      <c r="B488">
        <v>0</v>
      </c>
      <c r="D488">
        <v>24</v>
      </c>
      <c r="E488">
        <v>0</v>
      </c>
    </row>
    <row r="489" spans="1:5" x14ac:dyDescent="0.35">
      <c r="A489">
        <v>24</v>
      </c>
      <c r="B489">
        <v>0</v>
      </c>
      <c r="D489">
        <v>24</v>
      </c>
      <c r="E489">
        <v>0</v>
      </c>
    </row>
    <row r="490" spans="1:5" x14ac:dyDescent="0.35">
      <c r="A490">
        <v>24</v>
      </c>
      <c r="B490">
        <v>0</v>
      </c>
      <c r="D490">
        <v>24</v>
      </c>
      <c r="E490">
        <v>0</v>
      </c>
    </row>
    <row r="491" spans="1:5" x14ac:dyDescent="0.35">
      <c r="A491">
        <v>24</v>
      </c>
      <c r="B491">
        <v>0</v>
      </c>
      <c r="D491">
        <v>24</v>
      </c>
      <c r="E491">
        <v>0</v>
      </c>
    </row>
    <row r="492" spans="1:5" x14ac:dyDescent="0.35">
      <c r="A492">
        <v>24</v>
      </c>
      <c r="B492">
        <v>0</v>
      </c>
      <c r="D492">
        <v>24</v>
      </c>
      <c r="E492">
        <v>0</v>
      </c>
    </row>
    <row r="493" spans="1:5" x14ac:dyDescent="0.35">
      <c r="A493">
        <v>24</v>
      </c>
      <c r="B493">
        <v>0</v>
      </c>
      <c r="D493">
        <v>24</v>
      </c>
      <c r="E493">
        <v>0</v>
      </c>
    </row>
    <row r="494" spans="1:5" x14ac:dyDescent="0.35">
      <c r="A494">
        <v>24</v>
      </c>
      <c r="B494">
        <v>0</v>
      </c>
      <c r="D494">
        <v>24</v>
      </c>
      <c r="E494">
        <v>0</v>
      </c>
    </row>
    <row r="495" spans="1:5" x14ac:dyDescent="0.35">
      <c r="A495">
        <v>24</v>
      </c>
      <c r="B495">
        <v>0</v>
      </c>
      <c r="D495">
        <v>24</v>
      </c>
      <c r="E495">
        <v>0</v>
      </c>
    </row>
    <row r="496" spans="1:5" x14ac:dyDescent="0.35">
      <c r="A496">
        <v>24</v>
      </c>
      <c r="B496">
        <v>0</v>
      </c>
      <c r="D496">
        <v>24</v>
      </c>
      <c r="E496">
        <v>0</v>
      </c>
    </row>
    <row r="497" spans="1:5" x14ac:dyDescent="0.35">
      <c r="A497">
        <v>24</v>
      </c>
      <c r="B497">
        <v>0</v>
      </c>
      <c r="D497">
        <v>24</v>
      </c>
      <c r="E497">
        <v>0</v>
      </c>
    </row>
    <row r="498" spans="1:5" x14ac:dyDescent="0.35">
      <c r="A498">
        <v>24</v>
      </c>
      <c r="B498">
        <v>0</v>
      </c>
      <c r="D498">
        <v>24</v>
      </c>
      <c r="E498">
        <v>0</v>
      </c>
    </row>
    <row r="499" spans="1:5" x14ac:dyDescent="0.35">
      <c r="A499">
        <v>24</v>
      </c>
      <c r="B499">
        <v>0</v>
      </c>
      <c r="D499">
        <v>24</v>
      </c>
      <c r="E499">
        <v>0</v>
      </c>
    </row>
    <row r="500" spans="1:5" x14ac:dyDescent="0.35">
      <c r="A500">
        <v>24</v>
      </c>
      <c r="B500">
        <v>0</v>
      </c>
      <c r="D500">
        <v>24</v>
      </c>
      <c r="E500">
        <v>0</v>
      </c>
    </row>
    <row r="501" spans="1:5" x14ac:dyDescent="0.35">
      <c r="A501">
        <v>24</v>
      </c>
      <c r="B501">
        <v>0</v>
      </c>
      <c r="D501">
        <v>24</v>
      </c>
      <c r="E501">
        <v>0</v>
      </c>
    </row>
    <row r="502" spans="1:5" x14ac:dyDescent="0.35">
      <c r="A502">
        <v>24</v>
      </c>
      <c r="B502">
        <v>0</v>
      </c>
      <c r="D502">
        <v>24</v>
      </c>
      <c r="E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Results</vt:lpstr>
      <vt:lpstr>Engine</vt:lpstr>
      <vt:lpstr>Life Tables</vt:lpstr>
      <vt:lpstr>Inputs</vt:lpstr>
      <vt:lpstr>Survival Parameters</vt:lpstr>
      <vt:lpstr>KM Data</vt:lpstr>
      <vt:lpstr>TTE</vt:lpstr>
      <vt:lpstr>Days_per_Month</vt:lpstr>
      <vt:lpstr>Days_per_Year</vt:lpstr>
      <vt:lpstr>Discount_Rate</vt:lpstr>
      <vt:lpstr>label_curves</vt:lpstr>
      <vt:lpstr>Max_Time_Horizon__in_Years</vt:lpstr>
      <vt:lpstr>Min_Time_Horizon__5_Years___60_Months</vt:lpstr>
      <vt:lpstr>Patient_Baseline_Age</vt:lpstr>
      <vt:lpstr>PD_Cost_Annually</vt:lpstr>
      <vt:lpstr>PD_Utility</vt:lpstr>
      <vt:lpstr>Per_Cent_Female</vt:lpstr>
      <vt:lpstr>PFS_Cost_Annually</vt:lpstr>
      <vt:lpstr>PFS_Utility</vt:lpstr>
      <vt:lpstr>Treatment_Acquisition_Cost__Annually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 von Hein</dc:creator>
  <cp:lastModifiedBy>Mirko von Hein</cp:lastModifiedBy>
  <dcterms:created xsi:type="dcterms:W3CDTF">2025-09-04T15:16:31Z</dcterms:created>
  <dcterms:modified xsi:type="dcterms:W3CDTF">2025-09-21T13:50:13Z</dcterms:modified>
</cp:coreProperties>
</file>