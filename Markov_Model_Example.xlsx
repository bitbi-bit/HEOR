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vateinterimname-my.sharepoint.com/personal/mirko_vonhein_privateinterimname_onmicrosoft_com/Documents/YouTube/research/Markov Model Tutorial/"/>
    </mc:Choice>
  </mc:AlternateContent>
  <xr:revisionPtr revIDLastSave="56" documentId="13_ncr:1_{C66239CD-68D6-4F0E-A4BC-59749E19E3D1}" xr6:coauthVersionLast="47" xr6:coauthVersionMax="47" xr10:uidLastSave="{83FFEFB4-606B-425E-9FF0-3D3A39DBAA3D}"/>
  <bookViews>
    <workbookView xWindow="-17388" yWindow="-1824" windowWidth="17496" windowHeight="30216" activeTab="1" xr2:uid="{5F2CE801-DD69-48AE-9B65-D90173F64941}"/>
  </bookViews>
  <sheets>
    <sheet name="MARKOV" sheetId="1" r:id="rId1"/>
    <sheet name="hel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1" i="1" l="1"/>
  <c r="AA4" i="1"/>
  <c r="W41" i="1"/>
  <c r="Y41" i="1"/>
  <c r="Y4" i="1"/>
  <c r="W4" i="1"/>
  <c r="T4" i="1"/>
  <c r="Q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U4" i="1"/>
  <c r="AT4" i="1"/>
  <c r="AB4" i="1"/>
  <c r="S4" i="1"/>
  <c r="U4" i="1" s="1"/>
  <c r="J12" i="1"/>
  <c r="J14" i="1"/>
  <c r="J13" i="1"/>
  <c r="G2" i="2"/>
  <c r="F2" i="2"/>
  <c r="C2" i="2"/>
  <c r="B2" i="2"/>
  <c r="AV4" i="1"/>
  <c r="AP4" i="1"/>
  <c r="AM4" i="1"/>
  <c r="AL4" i="1"/>
  <c r="AN4" i="1" s="1"/>
  <c r="N5" i="1" a="1"/>
  <c r="O5" i="1" s="1"/>
  <c r="AB5" i="1" s="1"/>
  <c r="H14" i="1"/>
  <c r="I19" i="1" s="1"/>
  <c r="H19" i="1" s="1"/>
  <c r="H13" i="1"/>
  <c r="I18" i="1" s="1"/>
  <c r="H12" i="1"/>
  <c r="H18" i="1" s="1"/>
  <c r="AR4" i="1" l="1"/>
  <c r="G18" i="1"/>
  <c r="AG5" i="1" s="1" a="1"/>
  <c r="AI5" i="1" s="1"/>
  <c r="AC4" i="1"/>
  <c r="T5" i="1"/>
  <c r="P5" i="1"/>
  <c r="N5" i="1"/>
  <c r="AA5" i="1" l="1"/>
  <c r="Q5" i="1"/>
  <c r="W5" i="1"/>
  <c r="F3" i="2"/>
  <c r="AP5" i="1"/>
  <c r="G3" i="2"/>
  <c r="B3" i="2"/>
  <c r="AH5" i="1"/>
  <c r="AG5" i="1"/>
  <c r="C3" i="2" s="1"/>
  <c r="N6" i="1" a="1"/>
  <c r="S5" i="1"/>
  <c r="AG6" i="1" l="1" a="1"/>
  <c r="AL5" i="1"/>
  <c r="AM5" i="1"/>
  <c r="AC5" i="1"/>
  <c r="U5" i="1"/>
  <c r="N6" i="1"/>
  <c r="P6" i="1"/>
  <c r="O6" i="1"/>
  <c r="AB6" i="1" s="1"/>
  <c r="Q6" i="1" l="1"/>
  <c r="AA6" i="1"/>
  <c r="W6" i="1"/>
  <c r="F4" i="2"/>
  <c r="B4" i="2"/>
  <c r="AV5" i="1"/>
  <c r="AN5" i="1"/>
  <c r="AR5" i="1" s="1"/>
  <c r="AG6" i="1"/>
  <c r="C4" i="2" s="1"/>
  <c r="AI6" i="1"/>
  <c r="AH6" i="1"/>
  <c r="Y5" i="1"/>
  <c r="N7" i="1" a="1"/>
  <c r="T6" i="1"/>
  <c r="S6" i="1"/>
  <c r="AP6" i="1" l="1"/>
  <c r="G4" i="2"/>
  <c r="AG7" i="1" a="1"/>
  <c r="AM6" i="1"/>
  <c r="AL6" i="1"/>
  <c r="AV6" i="1"/>
  <c r="AC6" i="1"/>
  <c r="U6" i="1"/>
  <c r="N7" i="1"/>
  <c r="P7" i="1"/>
  <c r="O7" i="1"/>
  <c r="AB7" i="1" s="1"/>
  <c r="B5" i="2" l="1"/>
  <c r="AA7" i="1"/>
  <c r="Q7" i="1"/>
  <c r="W7" i="1"/>
  <c r="F5" i="2"/>
  <c r="AN6" i="1"/>
  <c r="AR6" i="1" s="1"/>
  <c r="AG7" i="1"/>
  <c r="C5" i="2" s="1"/>
  <c r="AI7" i="1"/>
  <c r="AH7" i="1"/>
  <c r="Y6" i="1"/>
  <c r="T7" i="1"/>
  <c r="N8" i="1" a="1"/>
  <c r="S7" i="1"/>
  <c r="AP7" i="1" l="1"/>
  <c r="G5" i="2"/>
  <c r="AM7" i="1"/>
  <c r="AL7" i="1"/>
  <c r="AV7" i="1"/>
  <c r="AG8" i="1" a="1"/>
  <c r="AC7" i="1"/>
  <c r="U7" i="1"/>
  <c r="P8" i="1"/>
  <c r="O8" i="1"/>
  <c r="AB8" i="1" s="1"/>
  <c r="N8" i="1"/>
  <c r="Q8" i="1" l="1"/>
  <c r="AA8" i="1"/>
  <c r="AN7" i="1"/>
  <c r="AR7" i="1"/>
  <c r="B6" i="2"/>
  <c r="W8" i="1"/>
  <c r="F6" i="2"/>
  <c r="AH8" i="1"/>
  <c r="AI8" i="1"/>
  <c r="AG8" i="1"/>
  <c r="C6" i="2" s="1"/>
  <c r="Y7" i="1"/>
  <c r="T8" i="1"/>
  <c r="N9" i="1" a="1"/>
  <c r="S8" i="1"/>
  <c r="U8" i="1" s="1"/>
  <c r="Y8" i="1" s="1"/>
  <c r="AP8" i="1" l="1"/>
  <c r="G6" i="2"/>
  <c r="AM8" i="1"/>
  <c r="AV8" i="1"/>
  <c r="AL8" i="1"/>
  <c r="AN8" i="1" s="1"/>
  <c r="AG9" i="1" a="1"/>
  <c r="AC8" i="1"/>
  <c r="O9" i="1"/>
  <c r="AB9" i="1" s="1"/>
  <c r="P9" i="1"/>
  <c r="N9" i="1"/>
  <c r="Q9" i="1" l="1"/>
  <c r="AA9" i="1"/>
  <c r="AR8" i="1"/>
  <c r="B7" i="2"/>
  <c r="W9" i="1"/>
  <c r="F7" i="2"/>
  <c r="AG9" i="1"/>
  <c r="C7" i="2" s="1"/>
  <c r="AH9" i="1"/>
  <c r="AI9" i="1"/>
  <c r="N10" i="1" a="1"/>
  <c r="S9" i="1"/>
  <c r="T9" i="1"/>
  <c r="AP9" i="1" l="1"/>
  <c r="G7" i="2"/>
  <c r="AM9" i="1"/>
  <c r="AL9" i="1"/>
  <c r="AN9" i="1" s="1"/>
  <c r="AV9" i="1"/>
  <c r="AG10" i="1" a="1"/>
  <c r="AC9" i="1"/>
  <c r="U9" i="1"/>
  <c r="Y9" i="1" s="1"/>
  <c r="N10" i="1"/>
  <c r="O10" i="1"/>
  <c r="AB10" i="1" s="1"/>
  <c r="P10" i="1"/>
  <c r="B8" i="2" l="1"/>
  <c r="Q10" i="1"/>
  <c r="AA10" i="1"/>
  <c r="AR9" i="1"/>
  <c r="W10" i="1"/>
  <c r="F8" i="2"/>
  <c r="AG10" i="1"/>
  <c r="C8" i="2" s="1"/>
  <c r="AH10" i="1"/>
  <c r="AI10" i="1"/>
  <c r="T10" i="1"/>
  <c r="N11" i="1" a="1"/>
  <c r="S10" i="1"/>
  <c r="U10" i="1" s="1"/>
  <c r="Y10" i="1" s="1"/>
  <c r="AP10" i="1" l="1"/>
  <c r="G8" i="2"/>
  <c r="AM10" i="1"/>
  <c r="AL10" i="1"/>
  <c r="AN10" i="1" s="1"/>
  <c r="AV10" i="1"/>
  <c r="AG11" i="1" a="1"/>
  <c r="AC10" i="1"/>
  <c r="N11" i="1"/>
  <c r="P11" i="1"/>
  <c r="O11" i="1"/>
  <c r="AB11" i="1" s="1"/>
  <c r="Q11" i="1" l="1"/>
  <c r="AA11" i="1"/>
  <c r="AR10" i="1"/>
  <c r="W11" i="1"/>
  <c r="F9" i="2"/>
  <c r="B9" i="2"/>
  <c r="AG11" i="1"/>
  <c r="C9" i="2" s="1"/>
  <c r="AH11" i="1"/>
  <c r="AI11" i="1"/>
  <c r="T11" i="1"/>
  <c r="N12" i="1" a="1"/>
  <c r="S11" i="1"/>
  <c r="AP11" i="1" l="1"/>
  <c r="G9" i="2"/>
  <c r="U11" i="1"/>
  <c r="Y11" i="1" s="1"/>
  <c r="AM11" i="1"/>
  <c r="AL11" i="1"/>
  <c r="AV11" i="1"/>
  <c r="AG12" i="1" a="1"/>
  <c r="AC11" i="1"/>
  <c r="O12" i="1"/>
  <c r="AB12" i="1" s="1"/>
  <c r="N12" i="1"/>
  <c r="P12" i="1"/>
  <c r="B10" i="2" l="1"/>
  <c r="Q12" i="1"/>
  <c r="AA12" i="1"/>
  <c r="AN11" i="1"/>
  <c r="AR11" i="1" s="1"/>
  <c r="W12" i="1"/>
  <c r="F10" i="2"/>
  <c r="AG12" i="1"/>
  <c r="C10" i="2" s="1"/>
  <c r="AH12" i="1"/>
  <c r="AI12" i="1"/>
  <c r="S12" i="1"/>
  <c r="N13" i="1" a="1"/>
  <c r="T12" i="1"/>
  <c r="AP12" i="1" l="1"/>
  <c r="G10" i="2"/>
  <c r="AM12" i="1"/>
  <c r="AL12" i="1"/>
  <c r="AV12" i="1"/>
  <c r="AG13" i="1" a="1"/>
  <c r="U12" i="1"/>
  <c r="Y12" i="1" s="1"/>
  <c r="N13" i="1"/>
  <c r="P13" i="1"/>
  <c r="O13" i="1"/>
  <c r="AB13" i="1" s="1"/>
  <c r="AC12" i="1"/>
  <c r="B11" i="2" l="1"/>
  <c r="AA13" i="1"/>
  <c r="Q13" i="1"/>
  <c r="AN12" i="1"/>
  <c r="AR12" i="1" s="1"/>
  <c r="W13" i="1"/>
  <c r="F11" i="2"/>
  <c r="AG13" i="1"/>
  <c r="C11" i="2" s="1"/>
  <c r="AH13" i="1"/>
  <c r="AI13" i="1"/>
  <c r="T13" i="1"/>
  <c r="S13" i="1"/>
  <c r="N14" i="1" a="1"/>
  <c r="AP13" i="1" l="1"/>
  <c r="G11" i="2"/>
  <c r="AC13" i="1"/>
  <c r="U13" i="1"/>
  <c r="Y13" i="1" s="1"/>
  <c r="AM13" i="1"/>
  <c r="AL13" i="1"/>
  <c r="AV13" i="1"/>
  <c r="AG14" i="1" a="1"/>
  <c r="N14" i="1"/>
  <c r="O14" i="1"/>
  <c r="AB14" i="1" s="1"/>
  <c r="P14" i="1"/>
  <c r="B12" i="2" l="1"/>
  <c r="Q14" i="1"/>
  <c r="AA14" i="1"/>
  <c r="AN13" i="1"/>
  <c r="AR13" i="1"/>
  <c r="W14" i="1"/>
  <c r="F12" i="2"/>
  <c r="AI14" i="1"/>
  <c r="AG14" i="1"/>
  <c r="C12" i="2" s="1"/>
  <c r="AH14" i="1"/>
  <c r="T14" i="1"/>
  <c r="S14" i="1"/>
  <c r="U14" i="1" s="1"/>
  <c r="Y14" i="1" s="1"/>
  <c r="N15" i="1" a="1"/>
  <c r="AP14" i="1" l="1"/>
  <c r="G12" i="2"/>
  <c r="AM14" i="1"/>
  <c r="AL14" i="1"/>
  <c r="AN14" i="1" s="1"/>
  <c r="AV14" i="1"/>
  <c r="AG15" i="1" a="1"/>
  <c r="AC14" i="1"/>
  <c r="N15" i="1"/>
  <c r="P15" i="1"/>
  <c r="O15" i="1"/>
  <c r="AB15" i="1" s="1"/>
  <c r="B13" i="2" l="1"/>
  <c r="Q15" i="1"/>
  <c r="AA15" i="1"/>
  <c r="AR14" i="1"/>
  <c r="W15" i="1"/>
  <c r="F13" i="2"/>
  <c r="AH15" i="1"/>
  <c r="AG15" i="1"/>
  <c r="C13" i="2" s="1"/>
  <c r="AI15" i="1"/>
  <c r="T15" i="1"/>
  <c r="S15" i="1"/>
  <c r="N16" i="1" a="1"/>
  <c r="AP15" i="1" l="1"/>
  <c r="G13" i="2"/>
  <c r="AC15" i="1"/>
  <c r="U15" i="1"/>
  <c r="Y15" i="1" s="1"/>
  <c r="AL15" i="1"/>
  <c r="AG16" i="1" a="1"/>
  <c r="AM15" i="1"/>
  <c r="O16" i="1"/>
  <c r="AB16" i="1" s="1"/>
  <c r="N16" i="1"/>
  <c r="P16" i="1"/>
  <c r="B14" i="2" l="1"/>
  <c r="AA16" i="1"/>
  <c r="Q16" i="1"/>
  <c r="W16" i="1"/>
  <c r="F14" i="2"/>
  <c r="AI16" i="1"/>
  <c r="AG16" i="1"/>
  <c r="C14" i="2" s="1"/>
  <c r="AH16" i="1"/>
  <c r="AN15" i="1"/>
  <c r="AR15" i="1" s="1"/>
  <c r="AV15" i="1"/>
  <c r="S16" i="1"/>
  <c r="N17" i="1" a="1"/>
  <c r="T16" i="1"/>
  <c r="AP16" i="1" l="1"/>
  <c r="G14" i="2"/>
  <c r="AM16" i="1"/>
  <c r="AV16" i="1"/>
  <c r="AL16" i="1"/>
  <c r="AN16" i="1" s="1"/>
  <c r="AG17" i="1" a="1"/>
  <c r="O17" i="1"/>
  <c r="AB17" i="1" s="1"/>
  <c r="N17" i="1"/>
  <c r="P17" i="1"/>
  <c r="U16" i="1"/>
  <c r="Y16" i="1" s="1"/>
  <c r="AC16" i="1"/>
  <c r="AA17" i="1" l="1"/>
  <c r="Q17" i="1"/>
  <c r="AR16" i="1"/>
  <c r="W17" i="1"/>
  <c r="F15" i="2"/>
  <c r="B15" i="2"/>
  <c r="AG17" i="1"/>
  <c r="C15" i="2" s="1"/>
  <c r="AH17" i="1"/>
  <c r="AI17" i="1"/>
  <c r="S17" i="1"/>
  <c r="N18" i="1" a="1"/>
  <c r="T17" i="1"/>
  <c r="AP17" i="1" l="1"/>
  <c r="G15" i="2"/>
  <c r="AM17" i="1"/>
  <c r="AL17" i="1"/>
  <c r="AN17" i="1" s="1"/>
  <c r="AV17" i="1"/>
  <c r="AG18" i="1" a="1"/>
  <c r="U17" i="1"/>
  <c r="Y17" i="1" s="1"/>
  <c r="N18" i="1"/>
  <c r="O18" i="1"/>
  <c r="AB18" i="1" s="1"/>
  <c r="P18" i="1"/>
  <c r="AC17" i="1"/>
  <c r="B16" i="2" l="1"/>
  <c r="Q18" i="1"/>
  <c r="AA18" i="1"/>
  <c r="AR17" i="1"/>
  <c r="W18" i="1"/>
  <c r="F16" i="2"/>
  <c r="AG18" i="1"/>
  <c r="C16" i="2" s="1"/>
  <c r="AH18" i="1"/>
  <c r="AI18" i="1"/>
  <c r="T18" i="1"/>
  <c r="S18" i="1"/>
  <c r="N19" i="1" a="1"/>
  <c r="AP18" i="1" l="1"/>
  <c r="G16" i="2"/>
  <c r="AM18" i="1"/>
  <c r="U18" i="1"/>
  <c r="Y18" i="1" s="1"/>
  <c r="AC18" i="1"/>
  <c r="AG19" i="1" a="1"/>
  <c r="AL18" i="1"/>
  <c r="AN18" i="1" s="1"/>
  <c r="N19" i="1"/>
  <c r="O19" i="1"/>
  <c r="AB19" i="1" s="1"/>
  <c r="P19" i="1"/>
  <c r="B17" i="2" l="1"/>
  <c r="Q19" i="1"/>
  <c r="AA19" i="1"/>
  <c r="AR18" i="1"/>
  <c r="W19" i="1"/>
  <c r="F17" i="2"/>
  <c r="AV18" i="1"/>
  <c r="AI19" i="1"/>
  <c r="AG19" i="1"/>
  <c r="C17" i="2" s="1"/>
  <c r="AH19" i="1"/>
  <c r="T19" i="1"/>
  <c r="S19" i="1"/>
  <c r="N20" i="1" a="1"/>
  <c r="U19" i="1" l="1"/>
  <c r="Y19" i="1" s="1"/>
  <c r="AP19" i="1"/>
  <c r="G17" i="2"/>
  <c r="AM19" i="1"/>
  <c r="AL19" i="1"/>
  <c r="AV19" i="1"/>
  <c r="AG20" i="1" a="1"/>
  <c r="AC19" i="1"/>
  <c r="N20" i="1"/>
  <c r="O20" i="1"/>
  <c r="AB20" i="1" s="1"/>
  <c r="P20" i="1"/>
  <c r="B18" i="2" l="1"/>
  <c r="Q20" i="1"/>
  <c r="AA20" i="1"/>
  <c r="AN19" i="1"/>
  <c r="AR19" i="1" s="1"/>
  <c r="W20" i="1"/>
  <c r="F18" i="2"/>
  <c r="AI20" i="1"/>
  <c r="AH20" i="1"/>
  <c r="AG20" i="1"/>
  <c r="C18" i="2" s="1"/>
  <c r="T20" i="1"/>
  <c r="S20" i="1"/>
  <c r="U20" i="1" s="1"/>
  <c r="N21" i="1" a="1"/>
  <c r="Y20" i="1" l="1"/>
  <c r="AP20" i="1"/>
  <c r="G18" i="2"/>
  <c r="AL20" i="1"/>
  <c r="AG21" i="1" a="1"/>
  <c r="AM20" i="1"/>
  <c r="AC20" i="1"/>
  <c r="O21" i="1"/>
  <c r="AB21" i="1" s="1"/>
  <c r="N21" i="1"/>
  <c r="P21" i="1"/>
  <c r="B19" i="2" l="1"/>
  <c r="Q21" i="1"/>
  <c r="AA21" i="1"/>
  <c r="W21" i="1"/>
  <c r="F19" i="2"/>
  <c r="AG21" i="1"/>
  <c r="C19" i="2" s="1"/>
  <c r="AI21" i="1"/>
  <c r="AH21" i="1"/>
  <c r="AV20" i="1"/>
  <c r="AN20" i="1"/>
  <c r="AR20" i="1" s="1"/>
  <c r="N22" i="1" a="1"/>
  <c r="S21" i="1"/>
  <c r="T21" i="1"/>
  <c r="AP21" i="1" l="1"/>
  <c r="G19" i="2"/>
  <c r="AM21" i="1"/>
  <c r="AG22" i="1" a="1"/>
  <c r="AL21" i="1"/>
  <c r="AN21" i="1" s="1"/>
  <c r="AV21" i="1"/>
  <c r="U21" i="1"/>
  <c r="Y21" i="1" s="1"/>
  <c r="AC21" i="1"/>
  <c r="O22" i="1"/>
  <c r="AB22" i="1" s="1"/>
  <c r="N22" i="1"/>
  <c r="P22" i="1"/>
  <c r="B20" i="2" l="1"/>
  <c r="Q22" i="1"/>
  <c r="AA22" i="1"/>
  <c r="AR21" i="1"/>
  <c r="W22" i="1"/>
  <c r="F20" i="2"/>
  <c r="AG22" i="1"/>
  <c r="C20" i="2" s="1"/>
  <c r="AI22" i="1"/>
  <c r="AH22" i="1"/>
  <c r="T22" i="1"/>
  <c r="S22" i="1"/>
  <c r="N23" i="1" a="1"/>
  <c r="AP22" i="1" l="1"/>
  <c r="G20" i="2"/>
  <c r="AC22" i="1"/>
  <c r="AM22" i="1"/>
  <c r="AL22" i="1"/>
  <c r="AN22" i="1" s="1"/>
  <c r="AV22" i="1"/>
  <c r="AG23" i="1" a="1"/>
  <c r="U22" i="1"/>
  <c r="Y22" i="1" s="1"/>
  <c r="P23" i="1"/>
  <c r="N23" i="1"/>
  <c r="O23" i="1"/>
  <c r="AB23" i="1" s="1"/>
  <c r="B21" i="2" l="1"/>
  <c r="Q23" i="1"/>
  <c r="AA23" i="1"/>
  <c r="AR22" i="1"/>
  <c r="W23" i="1"/>
  <c r="F21" i="2"/>
  <c r="AG23" i="1"/>
  <c r="C21" i="2" s="1"/>
  <c r="AH23" i="1"/>
  <c r="AI23" i="1"/>
  <c r="T23" i="1"/>
  <c r="S23" i="1"/>
  <c r="N24" i="1" a="1"/>
  <c r="AP23" i="1" l="1"/>
  <c r="G21" i="2"/>
  <c r="AC23" i="1"/>
  <c r="U23" i="1"/>
  <c r="Y23" i="1" s="1"/>
  <c r="AM23" i="1"/>
  <c r="AV23" i="1"/>
  <c r="AL23" i="1"/>
  <c r="AN23" i="1" s="1"/>
  <c r="AG24" i="1" a="1"/>
  <c r="N24" i="1"/>
  <c r="O24" i="1"/>
  <c r="AB24" i="1" s="1"/>
  <c r="P24" i="1"/>
  <c r="B22" i="2" l="1"/>
  <c r="AA24" i="1"/>
  <c r="Q24" i="1"/>
  <c r="AR23" i="1"/>
  <c r="W24" i="1"/>
  <c r="F22" i="2"/>
  <c r="AG24" i="1"/>
  <c r="C22" i="2" s="1"/>
  <c r="AH24" i="1"/>
  <c r="AI24" i="1"/>
  <c r="T24" i="1"/>
  <c r="S24" i="1"/>
  <c r="N25" i="1" a="1"/>
  <c r="U24" i="1" l="1"/>
  <c r="Y24" i="1" s="1"/>
  <c r="AP24" i="1"/>
  <c r="G22" i="2"/>
  <c r="AC24" i="1"/>
  <c r="AM24" i="1"/>
  <c r="AG25" i="1" a="1"/>
  <c r="AV24" i="1"/>
  <c r="AL24" i="1"/>
  <c r="N25" i="1"/>
  <c r="O25" i="1"/>
  <c r="AB25" i="1" s="1"/>
  <c r="P25" i="1"/>
  <c r="B23" i="2" l="1"/>
  <c r="Q25" i="1"/>
  <c r="AA25" i="1"/>
  <c r="AN24" i="1"/>
  <c r="AR24" i="1" s="1"/>
  <c r="W25" i="1"/>
  <c r="F23" i="2"/>
  <c r="AI25" i="1"/>
  <c r="AG25" i="1"/>
  <c r="C23" i="2" s="1"/>
  <c r="AH25" i="1"/>
  <c r="T25" i="1"/>
  <c r="S25" i="1"/>
  <c r="N26" i="1" a="1"/>
  <c r="AP25" i="1" l="1"/>
  <c r="G23" i="2"/>
  <c r="U25" i="1"/>
  <c r="Y25" i="1" s="1"/>
  <c r="AM25" i="1"/>
  <c r="AL25" i="1"/>
  <c r="AV25" i="1"/>
  <c r="AG26" i="1" a="1"/>
  <c r="O26" i="1"/>
  <c r="AB26" i="1" s="1"/>
  <c r="P26" i="1"/>
  <c r="N26" i="1"/>
  <c r="AC25" i="1"/>
  <c r="AA26" i="1" l="1"/>
  <c r="Q26" i="1"/>
  <c r="AN25" i="1"/>
  <c r="AR25" i="1" s="1"/>
  <c r="B24" i="2"/>
  <c r="W26" i="1"/>
  <c r="F24" i="2"/>
  <c r="AI26" i="1"/>
  <c r="AG26" i="1"/>
  <c r="C24" i="2" s="1"/>
  <c r="AH26" i="1"/>
  <c r="S26" i="1"/>
  <c r="N27" i="1" a="1"/>
  <c r="T26" i="1"/>
  <c r="AP26" i="1" l="1"/>
  <c r="G24" i="2"/>
  <c r="AM26" i="1"/>
  <c r="AG27" i="1" a="1"/>
  <c r="AL26" i="1"/>
  <c r="AN26" i="1" s="1"/>
  <c r="AV26" i="1"/>
  <c r="O27" i="1"/>
  <c r="AB27" i="1" s="1"/>
  <c r="N27" i="1"/>
  <c r="P27" i="1"/>
  <c r="AC26" i="1"/>
  <c r="U26" i="1"/>
  <c r="Y26" i="1" s="1"/>
  <c r="AA27" i="1" l="1"/>
  <c r="Q27" i="1"/>
  <c r="AR26" i="1"/>
  <c r="W27" i="1"/>
  <c r="F25" i="2"/>
  <c r="B25" i="2"/>
  <c r="AG27" i="1"/>
  <c r="C25" i="2" s="1"/>
  <c r="AI27" i="1"/>
  <c r="AH27" i="1"/>
  <c r="N28" i="1" a="1"/>
  <c r="S27" i="1"/>
  <c r="T27" i="1"/>
  <c r="AP27" i="1" l="1"/>
  <c r="G25" i="2"/>
  <c r="AL27" i="1"/>
  <c r="AG28" i="1" a="1"/>
  <c r="AM27" i="1"/>
  <c r="U27" i="1"/>
  <c r="Y27" i="1" s="1"/>
  <c r="AC27" i="1"/>
  <c r="N28" i="1"/>
  <c r="O28" i="1"/>
  <c r="AB28" i="1" s="1"/>
  <c r="P28" i="1"/>
  <c r="B26" i="2" l="1"/>
  <c r="AA28" i="1"/>
  <c r="Q28" i="1"/>
  <c r="W28" i="1"/>
  <c r="F26" i="2"/>
  <c r="AN27" i="1"/>
  <c r="AR27" i="1" s="1"/>
  <c r="AI28" i="1"/>
  <c r="AH28" i="1"/>
  <c r="AG28" i="1"/>
  <c r="C26" i="2" s="1"/>
  <c r="AV27" i="1"/>
  <c r="T28" i="1"/>
  <c r="S28" i="1"/>
  <c r="N29" i="1" a="1"/>
  <c r="AP28" i="1" l="1"/>
  <c r="G26" i="2"/>
  <c r="AL28" i="1"/>
  <c r="AG29" i="1" a="1"/>
  <c r="U28" i="1"/>
  <c r="Y28" i="1" s="1"/>
  <c r="AM28" i="1"/>
  <c r="AC28" i="1"/>
  <c r="N29" i="1"/>
  <c r="O29" i="1"/>
  <c r="AB29" i="1" s="1"/>
  <c r="P29" i="1"/>
  <c r="B27" i="2" l="1"/>
  <c r="AA29" i="1"/>
  <c r="Q29" i="1"/>
  <c r="W29" i="1"/>
  <c r="F27" i="2"/>
  <c r="AG29" i="1"/>
  <c r="C27" i="2" s="1"/>
  <c r="AH29" i="1"/>
  <c r="AI29" i="1"/>
  <c r="AV28" i="1"/>
  <c r="AN28" i="1"/>
  <c r="AR28" i="1" s="1"/>
  <c r="T29" i="1"/>
  <c r="S29" i="1"/>
  <c r="N30" i="1" a="1"/>
  <c r="AC29" i="1" l="1"/>
  <c r="AP29" i="1"/>
  <c r="G27" i="2"/>
  <c r="AM29" i="1"/>
  <c r="AL29" i="1"/>
  <c r="AN29" i="1" s="1"/>
  <c r="AG30" i="1" a="1"/>
  <c r="U29" i="1"/>
  <c r="Y29" i="1" s="1"/>
  <c r="N30" i="1"/>
  <c r="O30" i="1"/>
  <c r="AB30" i="1" s="1"/>
  <c r="P30" i="1"/>
  <c r="B28" i="2" l="1"/>
  <c r="AA30" i="1"/>
  <c r="Q30" i="1"/>
  <c r="AR29" i="1"/>
  <c r="AV29" i="1"/>
  <c r="W30" i="1"/>
  <c r="F28" i="2"/>
  <c r="AH30" i="1"/>
  <c r="AG30" i="1"/>
  <c r="C28" i="2" s="1"/>
  <c r="AI30" i="1"/>
  <c r="T30" i="1"/>
  <c r="N31" i="1" a="1"/>
  <c r="S30" i="1"/>
  <c r="AP30" i="1" l="1"/>
  <c r="G28" i="2"/>
  <c r="AG31" i="1" a="1"/>
  <c r="AL30" i="1"/>
  <c r="AM30" i="1"/>
  <c r="U30" i="1"/>
  <c r="Y30" i="1" s="1"/>
  <c r="AC30" i="1"/>
  <c r="N31" i="1"/>
  <c r="P31" i="1"/>
  <c r="O31" i="1"/>
  <c r="AB31" i="1" s="1"/>
  <c r="B29" i="2" l="1"/>
  <c r="AA31" i="1"/>
  <c r="Q31" i="1"/>
  <c r="W31" i="1"/>
  <c r="F29" i="2"/>
  <c r="AI31" i="1"/>
  <c r="AG31" i="1"/>
  <c r="C29" i="2" s="1"/>
  <c r="AH31" i="1"/>
  <c r="AV30" i="1"/>
  <c r="AN30" i="1"/>
  <c r="AR30" i="1" s="1"/>
  <c r="T31" i="1"/>
  <c r="S31" i="1"/>
  <c r="U31" i="1" s="1"/>
  <c r="N32" i="1" a="1"/>
  <c r="Y31" i="1" l="1"/>
  <c r="AC31" i="1"/>
  <c r="AP31" i="1"/>
  <c r="G29" i="2"/>
  <c r="AM31" i="1"/>
  <c r="AG32" i="1" a="1"/>
  <c r="AL31" i="1"/>
  <c r="AN31" i="1" s="1"/>
  <c r="O32" i="1"/>
  <c r="AB32" i="1" s="1"/>
  <c r="P32" i="1"/>
  <c r="N32" i="1"/>
  <c r="AA32" i="1" l="1"/>
  <c r="Q32" i="1"/>
  <c r="AR31" i="1"/>
  <c r="B30" i="2"/>
  <c r="W32" i="1"/>
  <c r="F30" i="2"/>
  <c r="AH32" i="1"/>
  <c r="AI32" i="1"/>
  <c r="AG32" i="1"/>
  <c r="C30" i="2" s="1"/>
  <c r="AV31" i="1"/>
  <c r="N33" i="1" a="1"/>
  <c r="S32" i="1"/>
  <c r="T32" i="1"/>
  <c r="AP32" i="1" l="1"/>
  <c r="G30" i="2"/>
  <c r="AG33" i="1" a="1"/>
  <c r="AL32" i="1"/>
  <c r="AM32" i="1"/>
  <c r="U32" i="1"/>
  <c r="Y32" i="1" s="1"/>
  <c r="AC32" i="1"/>
  <c r="O33" i="1"/>
  <c r="AB33" i="1" s="1"/>
  <c r="N33" i="1"/>
  <c r="P33" i="1"/>
  <c r="B31" i="2" l="1"/>
  <c r="AA33" i="1"/>
  <c r="Q33" i="1"/>
  <c r="W33" i="1"/>
  <c r="F31" i="2"/>
  <c r="AN32" i="1"/>
  <c r="AR32" i="1" s="1"/>
  <c r="AG33" i="1"/>
  <c r="C31" i="2" s="1"/>
  <c r="AH33" i="1"/>
  <c r="AI33" i="1"/>
  <c r="AV32" i="1"/>
  <c r="S33" i="1"/>
  <c r="N34" i="1" a="1"/>
  <c r="T33" i="1"/>
  <c r="AP33" i="1" l="1"/>
  <c r="G31" i="2"/>
  <c r="AL33" i="1"/>
  <c r="AG34" i="1" a="1"/>
  <c r="AM33" i="1"/>
  <c r="U33" i="1"/>
  <c r="Y33" i="1" s="1"/>
  <c r="P34" i="1"/>
  <c r="N34" i="1"/>
  <c r="O34" i="1"/>
  <c r="AB34" i="1" s="1"/>
  <c r="AC33" i="1"/>
  <c r="AA34" i="1" l="1"/>
  <c r="Q34" i="1"/>
  <c r="AN33" i="1"/>
  <c r="AR33" i="1" s="1"/>
  <c r="B32" i="2"/>
  <c r="W34" i="1"/>
  <c r="F32" i="2"/>
  <c r="AI34" i="1"/>
  <c r="AH34" i="1"/>
  <c r="AG34" i="1"/>
  <c r="C32" i="2" s="1"/>
  <c r="AV33" i="1"/>
  <c r="S34" i="1"/>
  <c r="N35" i="1" a="1"/>
  <c r="T34" i="1"/>
  <c r="AP34" i="1" l="1"/>
  <c r="G32" i="2"/>
  <c r="AG35" i="1" a="1"/>
  <c r="AL34" i="1"/>
  <c r="AM34" i="1"/>
  <c r="N35" i="1"/>
  <c r="P35" i="1"/>
  <c r="O35" i="1"/>
  <c r="AB35" i="1" s="1"/>
  <c r="AC34" i="1"/>
  <c r="U34" i="1"/>
  <c r="Y34" i="1" s="1"/>
  <c r="B33" i="2" l="1"/>
  <c r="AA35" i="1"/>
  <c r="Q35" i="1"/>
  <c r="W35" i="1"/>
  <c r="F33" i="2"/>
  <c r="AV34" i="1"/>
  <c r="AN34" i="1"/>
  <c r="AR34" i="1" s="1"/>
  <c r="AI35" i="1"/>
  <c r="AG35" i="1"/>
  <c r="C33" i="2" s="1"/>
  <c r="AH35" i="1"/>
  <c r="T35" i="1"/>
  <c r="S35" i="1"/>
  <c r="N36" i="1" a="1"/>
  <c r="AP35" i="1" l="1"/>
  <c r="G33" i="2"/>
  <c r="AM35" i="1"/>
  <c r="AL35" i="1"/>
  <c r="AN35" i="1" s="1"/>
  <c r="AV35" i="1"/>
  <c r="AG36" i="1" a="1"/>
  <c r="AC35" i="1"/>
  <c r="U35" i="1"/>
  <c r="Y35" i="1" s="1"/>
  <c r="O36" i="1"/>
  <c r="AB36" i="1" s="1"/>
  <c r="N36" i="1"/>
  <c r="P36" i="1"/>
  <c r="B34" i="2" l="1"/>
  <c r="AA36" i="1"/>
  <c r="Q36" i="1"/>
  <c r="AR35" i="1"/>
  <c r="W36" i="1"/>
  <c r="F34" i="2"/>
  <c r="AH36" i="1"/>
  <c r="AG36" i="1"/>
  <c r="C34" i="2" s="1"/>
  <c r="AI36" i="1"/>
  <c r="N37" i="1" a="1"/>
  <c r="S36" i="1"/>
  <c r="T36" i="1"/>
  <c r="AP36" i="1" l="1"/>
  <c r="G34" i="2"/>
  <c r="AG37" i="1" a="1"/>
  <c r="AL36" i="1"/>
  <c r="AM36" i="1"/>
  <c r="U36" i="1"/>
  <c r="Y36" i="1" s="1"/>
  <c r="AC36" i="1"/>
  <c r="O37" i="1"/>
  <c r="AB37" i="1" s="1"/>
  <c r="N37" i="1"/>
  <c r="P37" i="1"/>
  <c r="B35" i="2" l="1"/>
  <c r="AA37" i="1"/>
  <c r="Q37" i="1"/>
  <c r="W37" i="1"/>
  <c r="F35" i="2"/>
  <c r="AV36" i="1"/>
  <c r="AN36" i="1"/>
  <c r="AR36" i="1" s="1"/>
  <c r="AH37" i="1"/>
  <c r="AI37" i="1"/>
  <c r="AG37" i="1"/>
  <c r="C35" i="2" s="1"/>
  <c r="S37" i="1"/>
  <c r="N38" i="1" a="1"/>
  <c r="T37" i="1"/>
  <c r="AP37" i="1" l="1"/>
  <c r="G35" i="2"/>
  <c r="AG38" i="1" a="1"/>
  <c r="AL37" i="1"/>
  <c r="AM37" i="1"/>
  <c r="N38" i="1"/>
  <c r="O38" i="1"/>
  <c r="AB38" i="1" s="1"/>
  <c r="P38" i="1"/>
  <c r="AC37" i="1"/>
  <c r="U37" i="1"/>
  <c r="Y37" i="1" s="1"/>
  <c r="AA38" i="1" l="1"/>
  <c r="Q38" i="1"/>
  <c r="B36" i="2"/>
  <c r="W38" i="1"/>
  <c r="F36" i="2"/>
  <c r="AV37" i="1"/>
  <c r="AN37" i="1"/>
  <c r="AR37" i="1" s="1"/>
  <c r="AG38" i="1"/>
  <c r="C36" i="2" s="1"/>
  <c r="AI38" i="1"/>
  <c r="AH38" i="1"/>
  <c r="T38" i="1"/>
  <c r="AC38" i="1"/>
  <c r="S38" i="1"/>
  <c r="N39" i="1" a="1"/>
  <c r="AP38" i="1" l="1"/>
  <c r="G36" i="2"/>
  <c r="AG39" i="1" a="1"/>
  <c r="AL38" i="1"/>
  <c r="AM38" i="1"/>
  <c r="U38" i="1"/>
  <c r="Y38" i="1" s="1"/>
  <c r="N39" i="1"/>
  <c r="O39" i="1"/>
  <c r="AB39" i="1" s="1"/>
  <c r="P39" i="1"/>
  <c r="AA39" i="1" l="1"/>
  <c r="Q39" i="1"/>
  <c r="W39" i="1"/>
  <c r="J4" i="2" s="1"/>
  <c r="F37" i="2"/>
  <c r="B37" i="2"/>
  <c r="AV38" i="1"/>
  <c r="AN38" i="1"/>
  <c r="AR38" i="1" s="1"/>
  <c r="AH39" i="1"/>
  <c r="AI39" i="1"/>
  <c r="AG39" i="1"/>
  <c r="C37" i="2" s="1"/>
  <c r="T39" i="1"/>
  <c r="T41" i="1" s="1"/>
  <c r="J3" i="2" s="1"/>
  <c r="AB41" i="1"/>
  <c r="S39" i="1"/>
  <c r="AP39" i="1" l="1"/>
  <c r="AP41" i="1" s="1"/>
  <c r="K4" i="2" s="1"/>
  <c r="G37" i="2"/>
  <c r="AL39" i="1"/>
  <c r="AL41" i="1" s="1"/>
  <c r="K2" i="2" s="1"/>
  <c r="AM39" i="1"/>
  <c r="AM41" i="1" s="1"/>
  <c r="K3" i="2" s="1"/>
  <c r="U39" i="1"/>
  <c r="S41" i="1"/>
  <c r="J2" i="2" s="1"/>
  <c r="AC39" i="1"/>
  <c r="H40" i="1" s="1"/>
  <c r="AA41" i="1"/>
  <c r="AN39" i="1" l="1"/>
  <c r="AR39" i="1" s="1"/>
  <c r="AR41" i="1" s="1"/>
  <c r="G41" i="1" s="1"/>
  <c r="G42" i="1" s="1"/>
  <c r="AV39" i="1"/>
  <c r="AV41" i="1" s="1"/>
  <c r="H41" i="1" s="1"/>
  <c r="H42" i="1" s="1"/>
  <c r="Y39" i="1"/>
  <c r="G40" i="1" s="1"/>
  <c r="U41" i="1"/>
  <c r="I41" i="1" l="1"/>
  <c r="I40" i="1"/>
  <c r="G44" i="1"/>
  <c r="I42" i="1" l="1"/>
</calcChain>
</file>

<file path=xl/sharedStrings.xml><?xml version="1.0" encoding="utf-8"?>
<sst xmlns="http://schemas.openxmlformats.org/spreadsheetml/2006/main" count="116" uniqueCount="59">
  <si>
    <t>Treatment Options</t>
  </si>
  <si>
    <t>Treatment A</t>
  </si>
  <si>
    <t>Treatment B</t>
  </si>
  <si>
    <t>Indication</t>
  </si>
  <si>
    <t>Oncology</t>
  </si>
  <si>
    <t>Treatment Efficacy</t>
  </si>
  <si>
    <t>We know that…</t>
  </si>
  <si>
    <t>Defining Health States</t>
  </si>
  <si>
    <t>Dead</t>
  </si>
  <si>
    <t>Progression-Free Survival (PFS)</t>
  </si>
  <si>
    <t>Progressed Disease (PD)</t>
  </si>
  <si>
    <t>Model Diagram</t>
  </si>
  <si>
    <t>PFS</t>
  </si>
  <si>
    <t>PD</t>
  </si>
  <si>
    <t>State</t>
  </si>
  <si>
    <t>Costs</t>
  </si>
  <si>
    <t>QALYs</t>
  </si>
  <si>
    <t>Cycle</t>
  </si>
  <si>
    <t>State Membership</t>
  </si>
  <si>
    <t>Transition Matrix / Transition Probabilities</t>
  </si>
  <si>
    <t>From</t>
  </si>
  <si>
    <t>To</t>
  </si>
  <si>
    <t>HR</t>
  </si>
  <si>
    <t>Health State Payoffs</t>
  </si>
  <si>
    <t>Treatment Acquisition Cost</t>
  </si>
  <si>
    <t>per cycle cost</t>
  </si>
  <si>
    <t>Total HS</t>
  </si>
  <si>
    <t>Drug Cost</t>
  </si>
  <si>
    <t>Total Cost A</t>
  </si>
  <si>
    <t>Total</t>
  </si>
  <si>
    <t>CHECK</t>
  </si>
  <si>
    <t>Results</t>
  </si>
  <si>
    <t>Total Costs</t>
  </si>
  <si>
    <t>Total QALYs</t>
  </si>
  <si>
    <t>Incremental</t>
  </si>
  <si>
    <t>ICER</t>
  </si>
  <si>
    <t>PFS (A)</t>
  </si>
  <si>
    <t>PFS (B)</t>
  </si>
  <si>
    <t>OS (A)</t>
  </si>
  <si>
    <t>OS (B)</t>
  </si>
  <si>
    <t>Adjust Transition Probailities for Treatment B</t>
  </si>
  <si>
    <t>PFS Cost</t>
  </si>
  <si>
    <t>PD Cost</t>
  </si>
  <si>
    <t>NMB</t>
  </si>
  <si>
    <t>Willgness to Pay</t>
  </si>
  <si>
    <r>
      <t xml:space="preserve">- </t>
    </r>
    <r>
      <rPr>
        <b/>
        <sz val="11"/>
        <color theme="5" tint="-0.249977111117893"/>
        <rFont val="Calibri"/>
        <family val="2"/>
        <scheme val="minor"/>
      </rPr>
      <t>Treatment B</t>
    </r>
    <r>
      <rPr>
        <sz val="11"/>
        <color theme="1"/>
        <rFont val="Calibri"/>
        <family val="2"/>
        <scheme val="minor"/>
      </rPr>
      <t xml:space="preserve"> is associated with a lower risk of death compared to </t>
    </r>
    <r>
      <rPr>
        <b/>
        <sz val="11"/>
        <color rgb="FF00B0F0"/>
        <rFont val="Calibri"/>
        <family val="2"/>
        <scheme val="minor"/>
      </rPr>
      <t>Treatment A</t>
    </r>
    <r>
      <rPr>
        <sz val="11"/>
        <color theme="1"/>
        <rFont val="Calibri"/>
        <family val="2"/>
        <scheme val="minor"/>
      </rPr>
      <t>, with a Hazard Ratio (HR) of 0.75 for OS</t>
    </r>
  </si>
  <si>
    <r>
      <t xml:space="preserve">- </t>
    </r>
    <r>
      <rPr>
        <b/>
        <sz val="11"/>
        <color theme="5" tint="-0.249977111117893"/>
        <rFont val="Calibri"/>
        <family val="2"/>
        <scheme val="minor"/>
      </rPr>
      <t>Treatment B</t>
    </r>
    <r>
      <rPr>
        <sz val="11"/>
        <color theme="1"/>
        <rFont val="Calibri"/>
        <family val="2"/>
        <scheme val="minor"/>
      </rPr>
      <t xml:space="preserve"> also has a lower risk of disease progression compared to </t>
    </r>
    <r>
      <rPr>
        <b/>
        <sz val="11"/>
        <color rgb="FF00B0F0"/>
        <rFont val="Calibri"/>
        <family val="2"/>
        <scheme val="minor"/>
      </rPr>
      <t>Treatment A</t>
    </r>
    <r>
      <rPr>
        <sz val="11"/>
        <color theme="1"/>
        <rFont val="Calibri"/>
        <family val="2"/>
        <scheme val="minor"/>
      </rPr>
      <t>, with a HR of 0.8 for PFS</t>
    </r>
  </si>
  <si>
    <t>Probability B</t>
  </si>
  <si>
    <t>Probability A</t>
  </si>
  <si>
    <t>SIMPLE</t>
  </si>
  <si>
    <t>"By-the-Book"</t>
  </si>
  <si>
    <t>(for comparison)</t>
  </si>
  <si>
    <t>CE Price</t>
  </si>
  <si>
    <t>green</t>
  </si>
  <si>
    <t>yellow</t>
  </si>
  <si>
    <t>red</t>
  </si>
  <si>
    <t>#8FD14F</t>
  </si>
  <si>
    <t>#FAC710</t>
  </si>
  <si>
    <t>#F24726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</si>
</sst>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&quot;£&quot;#,##0.00"/>
    <numFmt numFmtId="166" formatCode="&quot;£&quot;#,##0"/>
    <numFmt numFmtId="167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BEFE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B0F0"/>
      </bottom>
      <diagonal/>
    </border>
    <border>
      <left style="thin">
        <color indexed="64"/>
      </left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rgb="FF00B0F0"/>
      </right>
      <top style="thin">
        <color rgb="FF00B0F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quotePrefix="1" applyAlignment="1">
      <alignment horizontal="left" wrapText="1"/>
    </xf>
    <xf numFmtId="2" fontId="0" fillId="0" borderId="0" xfId="0" quotePrefix="1" applyNumberFormat="1" applyAlignment="1">
      <alignment horizontal="left" wrapText="1"/>
    </xf>
    <xf numFmtId="167" fontId="0" fillId="2" borderId="3" xfId="0" applyNumberFormat="1" applyFill="1" applyBorder="1" applyAlignment="1">
      <alignment horizontal="center"/>
    </xf>
    <xf numFmtId="167" fontId="0" fillId="2" borderId="2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6" fontId="0" fillId="0" borderId="0" xfId="0" applyNumberFormat="1"/>
    <xf numFmtId="0" fontId="0" fillId="0" borderId="4" xfId="0" applyBorder="1"/>
    <xf numFmtId="4" fontId="0" fillId="0" borderId="0" xfId="0" applyNumberFormat="1"/>
    <xf numFmtId="166" fontId="1" fillId="0" borderId="0" xfId="0" applyNumberFormat="1" applyFont="1"/>
    <xf numFmtId="4" fontId="1" fillId="0" borderId="0" xfId="0" applyNumberFormat="1" applyFont="1"/>
    <xf numFmtId="2" fontId="0" fillId="0" borderId="0" xfId="0" applyNumberFormat="1"/>
    <xf numFmtId="0" fontId="4" fillId="0" borderId="0" xfId="0" applyFont="1"/>
    <xf numFmtId="165" fontId="0" fillId="0" borderId="0" xfId="0" applyNumberFormat="1"/>
    <xf numFmtId="0" fontId="1" fillId="3" borderId="0" xfId="0" applyFont="1" applyFill="1"/>
    <xf numFmtId="165" fontId="1" fillId="3" borderId="0" xfId="0" applyNumberFormat="1" applyFont="1" applyFill="1"/>
    <xf numFmtId="166" fontId="0" fillId="4" borderId="3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4" borderId="0" xfId="0" applyFill="1"/>
    <xf numFmtId="0" fontId="6" fillId="0" borderId="0" xfId="0" applyFont="1"/>
    <xf numFmtId="167" fontId="0" fillId="0" borderId="0" xfId="0" applyNumberFormat="1"/>
    <xf numFmtId="0" fontId="5" fillId="0" borderId="4" xfId="0" applyFont="1" applyBorder="1"/>
    <xf numFmtId="0" fontId="6" fillId="0" borderId="4" xfId="0" applyFont="1" applyBorder="1"/>
    <xf numFmtId="167" fontId="0" fillId="2" borderId="0" xfId="0" applyNumberFormat="1" applyFill="1"/>
    <xf numFmtId="0" fontId="0" fillId="0" borderId="5" xfId="0" applyBorder="1" applyAlignment="1">
      <alignment horizontal="center"/>
    </xf>
    <xf numFmtId="167" fontId="0" fillId="2" borderId="7" xfId="0" applyNumberFormat="1" applyFill="1" applyBorder="1" applyAlignment="1">
      <alignment horizontal="center"/>
    </xf>
    <xf numFmtId="167" fontId="0" fillId="2" borderId="8" xfId="0" applyNumberFormat="1" applyFill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7" fontId="0" fillId="5" borderId="9" xfId="0" applyNumberFormat="1" applyFill="1" applyBorder="1" applyAlignment="1">
      <alignment horizontal="center"/>
    </xf>
    <xf numFmtId="167" fontId="0" fillId="5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left" wrapText="1"/>
    </xf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0BEFE"/>
      <color rgb="FFFAC710"/>
      <color rgb="FF8FD14F"/>
      <color rgb="FFE795FD"/>
      <color rgb="FFF247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Health State Occupancy (</a:t>
            </a:r>
            <a:r>
              <a:rPr lang="en-GB" b="1">
                <a:solidFill>
                  <a:srgbClr val="00B0F0"/>
                </a:solidFill>
              </a:rPr>
              <a:t>Treatment A</a:t>
            </a:r>
            <a:r>
              <a:rPr lang="en-GB" b="1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MARKOV!$N$3</c:f>
              <c:strCache>
                <c:ptCount val="1"/>
                <c:pt idx="0">
                  <c:v>PFS</c:v>
                </c:pt>
              </c:strCache>
            </c:strRef>
          </c:tx>
          <c:spPr>
            <a:solidFill>
              <a:srgbClr val="8FD14F"/>
            </a:solidFill>
            <a:ln>
              <a:noFill/>
            </a:ln>
            <a:effectLst/>
          </c:spPr>
          <c:cat>
            <c:strRef>
              <c:f>MARKOV!$L$4:$M$39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MARKOV!$N$4:$N$39</c:f>
              <c:numCache>
                <c:formatCode>0.00</c:formatCode>
                <c:ptCount val="36"/>
                <c:pt idx="0">
                  <c:v>1000</c:v>
                </c:pt>
                <c:pt idx="1">
                  <c:v>940</c:v>
                </c:pt>
                <c:pt idx="2">
                  <c:v>883.59999999999991</c:v>
                </c:pt>
                <c:pt idx="3">
                  <c:v>830.58399999999983</c:v>
                </c:pt>
                <c:pt idx="4">
                  <c:v>780.74895999999978</c:v>
                </c:pt>
                <c:pt idx="5">
                  <c:v>733.9040223999998</c:v>
                </c:pt>
                <c:pt idx="6">
                  <c:v>689.86978105599974</c:v>
                </c:pt>
                <c:pt idx="7">
                  <c:v>648.47759419263969</c:v>
                </c:pt>
                <c:pt idx="8">
                  <c:v>609.56893854108125</c:v>
                </c:pt>
                <c:pt idx="9">
                  <c:v>572.99480222861632</c:v>
                </c:pt>
                <c:pt idx="10">
                  <c:v>538.61511409489935</c:v>
                </c:pt>
                <c:pt idx="11">
                  <c:v>506.29820724920535</c:v>
                </c:pt>
                <c:pt idx="12">
                  <c:v>475.920314814253</c:v>
                </c:pt>
                <c:pt idx="13">
                  <c:v>447.36509592539778</c:v>
                </c:pt>
                <c:pt idx="14">
                  <c:v>420.52319016987389</c:v>
                </c:pt>
                <c:pt idx="15">
                  <c:v>395.29179875968146</c:v>
                </c:pt>
                <c:pt idx="16">
                  <c:v>371.57429083410057</c:v>
                </c:pt>
                <c:pt idx="17">
                  <c:v>349.27983338405448</c:v>
                </c:pt>
                <c:pt idx="18">
                  <c:v>328.32304338101119</c:v>
                </c:pt>
                <c:pt idx="19">
                  <c:v>308.62366077815051</c:v>
                </c:pt>
                <c:pt idx="20">
                  <c:v>290.10624113146145</c:v>
                </c:pt>
                <c:pt idx="21">
                  <c:v>272.69986666357374</c:v>
                </c:pt>
                <c:pt idx="22">
                  <c:v>256.33787466375929</c:v>
                </c:pt>
                <c:pt idx="23">
                  <c:v>240.95760218393372</c:v>
                </c:pt>
                <c:pt idx="24">
                  <c:v>226.50014605289769</c:v>
                </c:pt>
                <c:pt idx="25">
                  <c:v>212.91013728972382</c:v>
                </c:pt>
                <c:pt idx="26">
                  <c:v>200.13552905234039</c:v>
                </c:pt>
                <c:pt idx="27">
                  <c:v>188.12739730919995</c:v>
                </c:pt>
                <c:pt idx="28">
                  <c:v>176.83975347064793</c:v>
                </c:pt>
                <c:pt idx="29">
                  <c:v>166.22936826240905</c:v>
                </c:pt>
                <c:pt idx="30">
                  <c:v>156.25560616666451</c:v>
                </c:pt>
                <c:pt idx="31">
                  <c:v>146.88026979666463</c:v>
                </c:pt>
                <c:pt idx="32">
                  <c:v>138.06745360886475</c:v>
                </c:pt>
                <c:pt idx="33">
                  <c:v>129.78340639233286</c:v>
                </c:pt>
                <c:pt idx="34">
                  <c:v>121.99640200879288</c:v>
                </c:pt>
                <c:pt idx="35">
                  <c:v>114.6766178882653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6-444F-9135-1BD0D5B02D0B}"/>
            </c:ext>
          </c:extLst>
        </c:ser>
        <c:ser>
          <c:idx val="1"/>
          <c:order val="1"/>
          <c:tx>
            <c:strRef>
              <c:f>MARKOV!$O$3</c:f>
              <c:strCache>
                <c:ptCount val="1"/>
                <c:pt idx="0">
                  <c:v>PD</c:v>
                </c:pt>
              </c:strCache>
            </c:strRef>
          </c:tx>
          <c:spPr>
            <a:solidFill>
              <a:srgbClr val="FAC710"/>
            </a:solidFill>
            <a:ln>
              <a:noFill/>
            </a:ln>
            <a:effectLst/>
          </c:spPr>
          <c:cat>
            <c:strRef>
              <c:f>MARKOV!$L$4:$M$39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MARKOV!$O$4:$O$39</c:f>
              <c:numCache>
                <c:formatCode>0.00</c:formatCode>
                <c:ptCount val="36"/>
                <c:pt idx="0">
                  <c:v>0</c:v>
                </c:pt>
                <c:pt idx="1">
                  <c:v>50</c:v>
                </c:pt>
                <c:pt idx="2">
                  <c:v>92</c:v>
                </c:pt>
                <c:pt idx="3">
                  <c:v>126.97999999999999</c:v>
                </c:pt>
                <c:pt idx="4">
                  <c:v>155.81119999999999</c:v>
                </c:pt>
                <c:pt idx="5">
                  <c:v>179.26752799999997</c:v>
                </c:pt>
                <c:pt idx="6">
                  <c:v>198.03597631999997</c:v>
                </c:pt>
                <c:pt idx="7">
                  <c:v>212.72586774079997</c:v>
                </c:pt>
                <c:pt idx="8">
                  <c:v>223.87716067635196</c:v>
                </c:pt>
                <c:pt idx="9">
                  <c:v>231.96789153577083</c:v>
                </c:pt>
                <c:pt idx="10">
                  <c:v>237.42084249362458</c:v>
                </c:pt>
                <c:pt idx="11">
                  <c:v>240.60951394900709</c:v>
                </c:pt>
                <c:pt idx="12">
                  <c:v>241.86347291656665</c:v>
                </c:pt>
                <c:pt idx="13">
                  <c:v>241.47314136562264</c:v>
                </c:pt>
                <c:pt idx="14">
                  <c:v>239.69408202533026</c:v>
                </c:pt>
                <c:pt idx="15">
                  <c:v>236.75083333129092</c:v>
                </c:pt>
                <c:pt idx="16">
                  <c:v>232.84033993614591</c:v>
                </c:pt>
                <c:pt idx="17">
                  <c:v>228.13502048423635</c:v>
                </c:pt>
                <c:pt idx="18">
                  <c:v>222.78551010501545</c:v>
                </c:pt>
                <c:pt idx="19">
                  <c:v>216.92311126356446</c:v>
                </c:pt>
                <c:pt idx="20">
                  <c:v>210.66198317611557</c:v>
                </c:pt>
                <c:pt idx="21">
                  <c:v>204.10109691507708</c:v>
                </c:pt>
                <c:pt idx="22">
                  <c:v>197.32598055674808</c:v>
                </c:pt>
                <c:pt idx="23">
                  <c:v>190.41027623426123</c:v>
                </c:pt>
                <c:pt idx="24">
                  <c:v>183.4171287200318</c:v>
                </c:pt>
                <c:pt idx="25">
                  <c:v>176.4004231506735</c:v>
                </c:pt>
                <c:pt idx="26">
                  <c:v>169.40588770009234</c:v>
                </c:pt>
                <c:pt idx="27">
                  <c:v>162.47207538270013</c:v>
                </c:pt>
                <c:pt idx="28">
                  <c:v>155.63123770989012</c:v>
                </c:pt>
                <c:pt idx="29">
                  <c:v>148.91010161243352</c:v>
                </c:pt>
                <c:pt idx="30">
                  <c:v>142.33055986431063</c:v>
                </c:pt>
                <c:pt idx="31">
                  <c:v>135.91028418621281</c:v>
                </c:pt>
                <c:pt idx="32">
                  <c:v>129.66326925742476</c:v>
                </c:pt>
                <c:pt idx="33">
                  <c:v>123.60031501212552</c:v>
                </c:pt>
                <c:pt idx="34">
                  <c:v>117.72945383052962</c:v>
                </c:pt>
                <c:pt idx="35">
                  <c:v>112.05632854791631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6-444F-9135-1BD0D5B02D0B}"/>
            </c:ext>
          </c:extLst>
        </c:ser>
        <c:ser>
          <c:idx val="2"/>
          <c:order val="2"/>
          <c:tx>
            <c:strRef>
              <c:f>MARKOV!$P$3</c:f>
              <c:strCache>
                <c:ptCount val="1"/>
                <c:pt idx="0">
                  <c:v>Dead</c:v>
                </c:pt>
              </c:strCache>
            </c:strRef>
          </c:tx>
          <c:spPr>
            <a:solidFill>
              <a:srgbClr val="F24726"/>
            </a:solidFill>
            <a:ln>
              <a:noFill/>
            </a:ln>
            <a:effectLst/>
          </c:spPr>
          <c:cat>
            <c:strRef>
              <c:f>MARKOV!$L$4:$M$39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MARKOV!$P$4:$P$39</c:f>
              <c:numCache>
                <c:formatCode>0.00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24.4</c:v>
                </c:pt>
                <c:pt idx="3">
                  <c:v>42.436</c:v>
                </c:pt>
                <c:pt idx="4">
                  <c:v>63.439839999999997</c:v>
                </c:pt>
                <c:pt idx="5">
                  <c:v>86.828449599999999</c:v>
                </c:pt>
                <c:pt idx="6">
                  <c:v>112.094242624</c:v>
                </c:pt>
                <c:pt idx="7">
                  <c:v>138.79653806656</c:v>
                </c:pt>
                <c:pt idx="8">
                  <c:v>166.55390078256639</c:v>
                </c:pt>
                <c:pt idx="9">
                  <c:v>195.03730623561239</c:v>
                </c:pt>
                <c:pt idx="10">
                  <c:v>223.96404341147564</c:v>
                </c:pt>
                <c:pt idx="11">
                  <c:v>253.0922788017871</c:v>
                </c:pt>
                <c:pt idx="12">
                  <c:v>282.21621226917989</c:v>
                </c:pt>
                <c:pt idx="13">
                  <c:v>311.1617627089791</c:v>
                </c:pt>
                <c:pt idx="14">
                  <c:v>339.78272780479534</c:v>
                </c:pt>
                <c:pt idx="15">
                  <c:v>367.95736790902708</c:v>
                </c:pt>
                <c:pt idx="16">
                  <c:v>395.58536922975298</c:v>
                </c:pt>
                <c:pt idx="17">
                  <c:v>422.5851461317086</c:v>
                </c:pt>
                <c:pt idx="18">
                  <c:v>448.89144651397277</c:v>
                </c:pt>
                <c:pt idx="19">
                  <c:v>474.4532279582844</c:v>
                </c:pt>
                <c:pt idx="20">
                  <c:v>499.23177569242233</c:v>
                </c:pt>
                <c:pt idx="21">
                  <c:v>523.19903642134852</c:v>
                </c:pt>
                <c:pt idx="22">
                  <c:v>546.33614477949197</c:v>
                </c:pt>
                <c:pt idx="23">
                  <c:v>568.63212158180443</c:v>
                </c:pt>
                <c:pt idx="24">
                  <c:v>590.08272522706989</c:v>
                </c:pt>
                <c:pt idx="25">
                  <c:v>610.68943955960208</c:v>
                </c:pt>
                <c:pt idx="26">
                  <c:v>630.45858324756671</c:v>
                </c:pt>
                <c:pt idx="27">
                  <c:v>649.4005273080993</c:v>
                </c:pt>
                <c:pt idx="28">
                  <c:v>667.5290088194613</c:v>
                </c:pt>
                <c:pt idx="29">
                  <c:v>684.86053012515674</c:v>
                </c:pt>
                <c:pt idx="30">
                  <c:v>701.41383396902415</c:v>
                </c:pt>
                <c:pt idx="31">
                  <c:v>717.20944601712188</c:v>
                </c:pt>
                <c:pt idx="32">
                  <c:v>732.26927713370981</c:v>
                </c:pt>
                <c:pt idx="33">
                  <c:v>746.61627859554096</c:v>
                </c:pt>
                <c:pt idx="34">
                  <c:v>760.27414416067688</c:v>
                </c:pt>
                <c:pt idx="35">
                  <c:v>773.26705356381774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F6-444F-9135-1BD0D5B02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550032"/>
        <c:axId val="1079549672"/>
      </c:areaChart>
      <c:catAx>
        <c:axId val="107955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49672"/>
        <c:crosses val="autoZero"/>
        <c:auto val="1"/>
        <c:lblAlgn val="ctr"/>
        <c:lblOffset val="100"/>
        <c:noMultiLvlLbl val="0"/>
      </c:catAx>
      <c:valAx>
        <c:axId val="1079549672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5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Health State Occupancy</a:t>
            </a:r>
            <a:r>
              <a:rPr lang="en-GB" b="1" baseline="0"/>
              <a:t> (</a:t>
            </a:r>
            <a:r>
              <a:rPr lang="en-GB" b="1" baseline="0">
                <a:solidFill>
                  <a:schemeClr val="accent2"/>
                </a:solidFill>
              </a:rPr>
              <a:t>Treatment B</a:t>
            </a:r>
            <a:r>
              <a:rPr lang="en-GB" b="1" baseline="0"/>
              <a:t>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MARKOV!$AG$3</c:f>
              <c:strCache>
                <c:ptCount val="1"/>
                <c:pt idx="0">
                  <c:v>PFS</c:v>
                </c:pt>
              </c:strCache>
            </c:strRef>
          </c:tx>
          <c:spPr>
            <a:solidFill>
              <a:srgbClr val="8FD14F"/>
            </a:solidFill>
            <a:ln>
              <a:noFill/>
            </a:ln>
            <a:effectLst/>
          </c:spPr>
          <c:cat>
            <c:strRef>
              <c:f>MARKOV!$AE$4:$AF$39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MARKOV!$AG$4:$AG$39</c:f>
              <c:numCache>
                <c:formatCode>General</c:formatCode>
                <c:ptCount val="36"/>
                <c:pt idx="0">
                  <c:v>1000</c:v>
                </c:pt>
                <c:pt idx="1">
                  <c:v>952.5</c:v>
                </c:pt>
                <c:pt idx="2">
                  <c:v>907.25625000000002</c:v>
                </c:pt>
                <c:pt idx="3">
                  <c:v>864.16157812500001</c:v>
                </c:pt>
                <c:pt idx="4">
                  <c:v>823.11390316406255</c:v>
                </c:pt>
                <c:pt idx="5">
                  <c:v>784.01599276376965</c:v>
                </c:pt>
                <c:pt idx="6">
                  <c:v>746.77523310749064</c:v>
                </c:pt>
                <c:pt idx="7">
                  <c:v>711.30340953488485</c:v>
                </c:pt>
                <c:pt idx="8">
                  <c:v>677.51649758197777</c:v>
                </c:pt>
                <c:pt idx="9">
                  <c:v>645.33446394683381</c:v>
                </c:pt>
                <c:pt idx="10">
                  <c:v>614.68107690935926</c:v>
                </c:pt>
                <c:pt idx="11">
                  <c:v>585.48372575616474</c:v>
                </c:pt>
                <c:pt idx="12">
                  <c:v>557.6732487827469</c:v>
                </c:pt>
                <c:pt idx="13">
                  <c:v>531.18376946556646</c:v>
                </c:pt>
                <c:pt idx="14">
                  <c:v>505.95254041595206</c:v>
                </c:pt>
                <c:pt idx="15">
                  <c:v>481.91979474619433</c:v>
                </c:pt>
                <c:pt idx="16">
                  <c:v>459.02860449575013</c:v>
                </c:pt>
                <c:pt idx="17">
                  <c:v>437.22474578220198</c:v>
                </c:pt>
                <c:pt idx="18">
                  <c:v>416.45657035754738</c:v>
                </c:pt>
                <c:pt idx="19">
                  <c:v>396.67488326556389</c:v>
                </c:pt>
                <c:pt idx="20">
                  <c:v>377.8328263104496</c:v>
                </c:pt>
                <c:pt idx="21">
                  <c:v>359.88576706070324</c:v>
                </c:pt>
                <c:pt idx="22">
                  <c:v>342.79119312531986</c:v>
                </c:pt>
                <c:pt idx="23">
                  <c:v>326.50861145186718</c:v>
                </c:pt>
                <c:pt idx="24">
                  <c:v>310.9994524079035</c:v>
                </c:pt>
                <c:pt idx="25">
                  <c:v>296.22697841852812</c:v>
                </c:pt>
                <c:pt idx="26">
                  <c:v>282.15619694364801</c:v>
                </c:pt>
                <c:pt idx="27">
                  <c:v>268.75377758882473</c:v>
                </c:pt>
                <c:pt idx="28">
                  <c:v>255.98797315335557</c:v>
                </c:pt>
                <c:pt idx="29">
                  <c:v>243.82854442857118</c:v>
                </c:pt>
                <c:pt idx="30">
                  <c:v>232.24668856821404</c:v>
                </c:pt>
                <c:pt idx="31">
                  <c:v>221.21497086122389</c:v>
                </c:pt>
                <c:pt idx="32">
                  <c:v>210.70725974531575</c:v>
                </c:pt>
                <c:pt idx="33">
                  <c:v>200.69866490741325</c:v>
                </c:pt>
                <c:pt idx="34">
                  <c:v>191.16547832431112</c:v>
                </c:pt>
                <c:pt idx="35">
                  <c:v>182.08511810390635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6-4BB0-9B41-B0F43261EBD8}"/>
            </c:ext>
          </c:extLst>
        </c:ser>
        <c:ser>
          <c:idx val="1"/>
          <c:order val="1"/>
          <c:tx>
            <c:strRef>
              <c:f>MARKOV!$AH$3</c:f>
              <c:strCache>
                <c:ptCount val="1"/>
                <c:pt idx="0">
                  <c:v>PD</c:v>
                </c:pt>
              </c:strCache>
            </c:strRef>
          </c:tx>
          <c:spPr>
            <a:solidFill>
              <a:srgbClr val="FAC710"/>
            </a:solidFill>
            <a:ln>
              <a:noFill/>
            </a:ln>
            <a:effectLst/>
          </c:spPr>
          <c:cat>
            <c:strRef>
              <c:f>MARKOV!$AE$4:$AF$39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MARKOV!$AH$4:$AH$39</c:f>
              <c:numCache>
                <c:formatCode>General</c:formatCode>
                <c:ptCount val="36"/>
                <c:pt idx="0">
                  <c:v>0</c:v>
                </c:pt>
                <c:pt idx="1">
                  <c:v>40.000000000000007</c:v>
                </c:pt>
                <c:pt idx="2">
                  <c:v>75.100000000000023</c:v>
                </c:pt>
                <c:pt idx="3">
                  <c:v>105.75775000000004</c:v>
                </c:pt>
                <c:pt idx="4">
                  <c:v>132.39238187500004</c:v>
                </c:pt>
                <c:pt idx="5">
                  <c:v>155.38750936093754</c:v>
                </c:pt>
                <c:pt idx="6">
                  <c:v>175.09408586941802</c:v>
                </c:pt>
                <c:pt idx="7">
                  <c:v>191.83303875351129</c:v>
                </c:pt>
                <c:pt idx="8">
                  <c:v>205.89769722839335</c:v>
                </c:pt>
                <c:pt idx="9">
                  <c:v>217.55602983954296</c:v>
                </c:pt>
                <c:pt idx="10">
                  <c:v>227.05270615945062</c:v>
                </c:pt>
                <c:pt idx="11">
                  <c:v>234.61099627386619</c:v>
                </c:pt>
                <c:pt idx="12">
                  <c:v>240.43452058357283</c:v>
                </c:pt>
                <c:pt idx="13">
                  <c:v>244.70886149111476</c:v>
                </c:pt>
                <c:pt idx="14">
                  <c:v>247.60304765790383</c:v>
                </c:pt>
                <c:pt idx="15">
                  <c:v>249.27092070019916</c:v>
                </c:pt>
                <c:pt idx="16">
                  <c:v>249.85239343753202</c:v>
                </c:pt>
                <c:pt idx="17">
                  <c:v>249.47460810954712</c:v>
                </c:pt>
                <c:pt idx="18">
                  <c:v>248.25300233261919</c:v>
                </c:pt>
                <c:pt idx="19">
                  <c:v>246.29228997197467</c:v>
                </c:pt>
                <c:pt idx="20">
                  <c:v>243.68736355469915</c:v>
                </c:pt>
                <c:pt idx="21">
                  <c:v>240.5241243405147</c:v>
                </c:pt>
                <c:pt idx="22">
                  <c:v>236.88024569740423</c:v>
                </c:pt>
                <c:pt idx="23">
                  <c:v>232.82587499511172</c:v>
                </c:pt>
                <c:pt idx="24">
                  <c:v>228.42427882855304</c:v>
                </c:pt>
                <c:pt idx="25">
                  <c:v>223.7324360127277</c:v>
                </c:pt>
                <c:pt idx="26">
                  <c:v>218.80158244851427</c:v>
                </c:pt>
                <c:pt idx="27">
                  <c:v>213.67771164262163</c:v>
                </c:pt>
                <c:pt idx="28">
                  <c:v>208.40203437297799</c:v>
                </c:pt>
                <c:pt idx="29">
                  <c:v>203.01140072113887</c:v>
                </c:pt>
                <c:pt idx="30">
                  <c:v>197.53868744419631</c:v>
                </c:pt>
                <c:pt idx="31">
                  <c:v>192.01315342861017</c:v>
                </c:pt>
                <c:pt idx="32">
                  <c:v>186.46076575591337</c:v>
                </c:pt>
                <c:pt idx="33">
                  <c:v>180.90449871403251</c:v>
                </c:pt>
                <c:pt idx="34">
                  <c:v>175.36460790677663</c:v>
                </c:pt>
                <c:pt idx="35">
                  <c:v>169.85888144674084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6-4BB0-9B41-B0F43261EBD8}"/>
            </c:ext>
          </c:extLst>
        </c:ser>
        <c:ser>
          <c:idx val="2"/>
          <c:order val="2"/>
          <c:tx>
            <c:strRef>
              <c:f>MARKOV!$AI$3</c:f>
              <c:strCache>
                <c:ptCount val="1"/>
                <c:pt idx="0">
                  <c:v>Dead</c:v>
                </c:pt>
              </c:strCache>
            </c:strRef>
          </c:tx>
          <c:spPr>
            <a:solidFill>
              <a:srgbClr val="F24726"/>
            </a:solidFill>
            <a:ln>
              <a:noFill/>
            </a:ln>
            <a:effectLst/>
          </c:spPr>
          <c:cat>
            <c:strRef>
              <c:f>MARKOV!$AE$4:$AF$39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MARKOV!$AI$4:$AI$39</c:f>
              <c:numCache>
                <c:formatCode>General</c:formatCode>
                <c:ptCount val="36"/>
                <c:pt idx="0">
                  <c:v>0</c:v>
                </c:pt>
                <c:pt idx="1">
                  <c:v>7.5</c:v>
                </c:pt>
                <c:pt idx="2">
                  <c:v>17.643750000000001</c:v>
                </c:pt>
                <c:pt idx="3">
                  <c:v>30.080671875000004</c:v>
                </c:pt>
                <c:pt idx="4">
                  <c:v>44.49371496093751</c:v>
                </c:pt>
                <c:pt idx="5">
                  <c:v>60.596497875292982</c:v>
                </c:pt>
                <c:pt idx="6">
                  <c:v>78.130681023091569</c:v>
                </c:pt>
                <c:pt idx="7">
                  <c:v>96.863551711604103</c:v>
                </c:pt>
                <c:pt idx="8">
                  <c:v>116.58580518962908</c:v>
                </c:pt>
                <c:pt idx="9">
                  <c:v>137.10950621362343</c:v>
                </c:pt>
                <c:pt idx="10">
                  <c:v>158.2662169311904</c:v>
                </c:pt>
                <c:pt idx="11">
                  <c:v>179.9052779699694</c:v>
                </c:pt>
                <c:pt idx="12">
                  <c:v>201.89223063368061</c:v>
                </c:pt>
                <c:pt idx="13">
                  <c:v>224.10736904331918</c:v>
                </c:pt>
                <c:pt idx="14">
                  <c:v>246.44441192614454</c:v>
                </c:pt>
                <c:pt idx="15">
                  <c:v>268.80928455360697</c:v>
                </c:pt>
                <c:pt idx="16">
                  <c:v>291.11900206671839</c:v>
                </c:pt>
                <c:pt idx="17">
                  <c:v>313.30064610825144</c:v>
                </c:pt>
                <c:pt idx="18">
                  <c:v>335.290427309834</c:v>
                </c:pt>
                <c:pt idx="19">
                  <c:v>357.03282676246204</c:v>
                </c:pt>
                <c:pt idx="20">
                  <c:v>378.47981013485185</c:v>
                </c:pt>
                <c:pt idx="21">
                  <c:v>399.59010859878265</c:v>
                </c:pt>
                <c:pt idx="22">
                  <c:v>420.32856117727653</c:v>
                </c:pt>
                <c:pt idx="23">
                  <c:v>440.66551355302175</c:v>
                </c:pt>
                <c:pt idx="24">
                  <c:v>460.57626876354414</c:v>
                </c:pt>
                <c:pt idx="25">
                  <c:v>480.04058556874492</c:v>
                </c:pt>
                <c:pt idx="26">
                  <c:v>499.04222060783843</c:v>
                </c:pt>
                <c:pt idx="27">
                  <c:v>517.56851076855435</c:v>
                </c:pt>
                <c:pt idx="28">
                  <c:v>535.60999247366715</c:v>
                </c:pt>
                <c:pt idx="29">
                  <c:v>553.16005485029063</c:v>
                </c:pt>
                <c:pt idx="30">
                  <c:v>570.21462398759036</c:v>
                </c:pt>
                <c:pt idx="31">
                  <c:v>586.77187571016668</c:v>
                </c:pt>
                <c:pt idx="32">
                  <c:v>602.83197449877161</c:v>
                </c:pt>
                <c:pt idx="33">
                  <c:v>618.39683637855501</c:v>
                </c:pt>
                <c:pt idx="34">
                  <c:v>633.4699137689131</c:v>
                </c:pt>
                <c:pt idx="35">
                  <c:v>648.05600044935363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6-4BB0-9B41-B0F43261E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074488"/>
        <c:axId val="871074848"/>
      </c:areaChart>
      <c:catAx>
        <c:axId val="871074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74848"/>
        <c:crosses val="autoZero"/>
        <c:auto val="1"/>
        <c:lblAlgn val="ctr"/>
        <c:lblOffset val="100"/>
        <c:noMultiLvlLbl val="0"/>
      </c:catAx>
      <c:valAx>
        <c:axId val="871074848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74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PFS Comparison</a:t>
            </a:r>
            <a:r>
              <a:rPr lang="en-GB" b="1" baseline="0"/>
              <a:t> - Treatment A vs. B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help!$B$1</c:f>
              <c:strCache>
                <c:ptCount val="1"/>
                <c:pt idx="0">
                  <c:v>PFS (A)</c:v>
                </c:pt>
              </c:strCache>
            </c:strRef>
          </c:tx>
          <c:spPr>
            <a:ln w="28575" cap="rnd">
              <a:solidFill>
                <a:srgbClr val="F0BEFE"/>
              </a:solidFill>
              <a:round/>
            </a:ln>
            <a:effectLst/>
          </c:spPr>
          <c:marker>
            <c:symbol val="none"/>
          </c:marker>
          <c:cat>
            <c:numRef>
              <c:f>help!$A$2:$A$37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help!$B$2:$B$37</c:f>
              <c:numCache>
                <c:formatCode>0.00</c:formatCode>
                <c:ptCount val="36"/>
                <c:pt idx="0">
                  <c:v>1000</c:v>
                </c:pt>
                <c:pt idx="1">
                  <c:v>940</c:v>
                </c:pt>
                <c:pt idx="2">
                  <c:v>883.59999999999991</c:v>
                </c:pt>
                <c:pt idx="3">
                  <c:v>830.58399999999983</c:v>
                </c:pt>
                <c:pt idx="4">
                  <c:v>780.74895999999978</c:v>
                </c:pt>
                <c:pt idx="5">
                  <c:v>733.9040223999998</c:v>
                </c:pt>
                <c:pt idx="6">
                  <c:v>689.86978105599974</c:v>
                </c:pt>
                <c:pt idx="7">
                  <c:v>648.47759419263969</c:v>
                </c:pt>
                <c:pt idx="8">
                  <c:v>609.56893854108125</c:v>
                </c:pt>
                <c:pt idx="9">
                  <c:v>572.99480222861632</c:v>
                </c:pt>
                <c:pt idx="10">
                  <c:v>538.61511409489935</c:v>
                </c:pt>
                <c:pt idx="11">
                  <c:v>506.29820724920535</c:v>
                </c:pt>
                <c:pt idx="12">
                  <c:v>475.920314814253</c:v>
                </c:pt>
                <c:pt idx="13">
                  <c:v>447.36509592539778</c:v>
                </c:pt>
                <c:pt idx="14">
                  <c:v>420.52319016987389</c:v>
                </c:pt>
                <c:pt idx="15">
                  <c:v>395.29179875968146</c:v>
                </c:pt>
                <c:pt idx="16">
                  <c:v>371.57429083410057</c:v>
                </c:pt>
                <c:pt idx="17">
                  <c:v>349.27983338405448</c:v>
                </c:pt>
                <c:pt idx="18">
                  <c:v>328.32304338101119</c:v>
                </c:pt>
                <c:pt idx="19">
                  <c:v>308.62366077815051</c:v>
                </c:pt>
                <c:pt idx="20">
                  <c:v>290.10624113146145</c:v>
                </c:pt>
                <c:pt idx="21">
                  <c:v>272.69986666357374</c:v>
                </c:pt>
                <c:pt idx="22">
                  <c:v>256.33787466375929</c:v>
                </c:pt>
                <c:pt idx="23">
                  <c:v>240.95760218393372</c:v>
                </c:pt>
                <c:pt idx="24">
                  <c:v>226.50014605289769</c:v>
                </c:pt>
                <c:pt idx="25">
                  <c:v>212.91013728972382</c:v>
                </c:pt>
                <c:pt idx="26">
                  <c:v>200.13552905234039</c:v>
                </c:pt>
                <c:pt idx="27">
                  <c:v>188.12739730919995</c:v>
                </c:pt>
                <c:pt idx="28">
                  <c:v>176.83975347064793</c:v>
                </c:pt>
                <c:pt idx="29">
                  <c:v>166.22936826240905</c:v>
                </c:pt>
                <c:pt idx="30">
                  <c:v>156.25560616666451</c:v>
                </c:pt>
                <c:pt idx="31">
                  <c:v>146.88026979666463</c:v>
                </c:pt>
                <c:pt idx="32">
                  <c:v>138.06745360886475</c:v>
                </c:pt>
                <c:pt idx="33">
                  <c:v>129.78340639233286</c:v>
                </c:pt>
                <c:pt idx="34">
                  <c:v>121.99640200879288</c:v>
                </c:pt>
                <c:pt idx="35">
                  <c:v>114.6766178882653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74-401D-A90F-9976EE7354F3}"/>
            </c:ext>
          </c:extLst>
        </c:ser>
        <c:ser>
          <c:idx val="1"/>
          <c:order val="1"/>
          <c:tx>
            <c:strRef>
              <c:f>help!$C$1</c:f>
              <c:strCache>
                <c:ptCount val="1"/>
                <c:pt idx="0">
                  <c:v>PFS (B)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help!$A$2:$A$37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help!$C$2:$C$37</c:f>
              <c:numCache>
                <c:formatCode>General</c:formatCode>
                <c:ptCount val="36"/>
                <c:pt idx="0">
                  <c:v>1000</c:v>
                </c:pt>
                <c:pt idx="1">
                  <c:v>952.5</c:v>
                </c:pt>
                <c:pt idx="2">
                  <c:v>907.25625000000002</c:v>
                </c:pt>
                <c:pt idx="3">
                  <c:v>864.16157812500001</c:v>
                </c:pt>
                <c:pt idx="4">
                  <c:v>823.11390316406255</c:v>
                </c:pt>
                <c:pt idx="5">
                  <c:v>784.01599276376965</c:v>
                </c:pt>
                <c:pt idx="6">
                  <c:v>746.77523310749064</c:v>
                </c:pt>
                <c:pt idx="7">
                  <c:v>711.30340953488485</c:v>
                </c:pt>
                <c:pt idx="8">
                  <c:v>677.51649758197777</c:v>
                </c:pt>
                <c:pt idx="9">
                  <c:v>645.33446394683381</c:v>
                </c:pt>
                <c:pt idx="10">
                  <c:v>614.68107690935926</c:v>
                </c:pt>
                <c:pt idx="11">
                  <c:v>585.48372575616474</c:v>
                </c:pt>
                <c:pt idx="12">
                  <c:v>557.6732487827469</c:v>
                </c:pt>
                <c:pt idx="13">
                  <c:v>531.18376946556646</c:v>
                </c:pt>
                <c:pt idx="14">
                  <c:v>505.95254041595206</c:v>
                </c:pt>
                <c:pt idx="15">
                  <c:v>481.91979474619433</c:v>
                </c:pt>
                <c:pt idx="16">
                  <c:v>459.02860449575013</c:v>
                </c:pt>
                <c:pt idx="17">
                  <c:v>437.22474578220198</c:v>
                </c:pt>
                <c:pt idx="18">
                  <c:v>416.45657035754738</c:v>
                </c:pt>
                <c:pt idx="19">
                  <c:v>396.67488326556389</c:v>
                </c:pt>
                <c:pt idx="20">
                  <c:v>377.8328263104496</c:v>
                </c:pt>
                <c:pt idx="21">
                  <c:v>359.88576706070324</c:v>
                </c:pt>
                <c:pt idx="22">
                  <c:v>342.79119312531986</c:v>
                </c:pt>
                <c:pt idx="23">
                  <c:v>326.50861145186718</c:v>
                </c:pt>
                <c:pt idx="24">
                  <c:v>310.9994524079035</c:v>
                </c:pt>
                <c:pt idx="25">
                  <c:v>296.22697841852812</c:v>
                </c:pt>
                <c:pt idx="26">
                  <c:v>282.15619694364801</c:v>
                </c:pt>
                <c:pt idx="27">
                  <c:v>268.75377758882473</c:v>
                </c:pt>
                <c:pt idx="28">
                  <c:v>255.98797315335557</c:v>
                </c:pt>
                <c:pt idx="29">
                  <c:v>243.82854442857118</c:v>
                </c:pt>
                <c:pt idx="30">
                  <c:v>232.24668856821404</c:v>
                </c:pt>
                <c:pt idx="31">
                  <c:v>221.21497086122389</c:v>
                </c:pt>
                <c:pt idx="32">
                  <c:v>210.70725974531575</c:v>
                </c:pt>
                <c:pt idx="33">
                  <c:v>200.69866490741325</c:v>
                </c:pt>
                <c:pt idx="34">
                  <c:v>191.16547832431112</c:v>
                </c:pt>
                <c:pt idx="35">
                  <c:v>182.08511810390635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74-401D-A90F-9976EE735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260464"/>
        <c:axId val="883252544"/>
      </c:lineChart>
      <c:catAx>
        <c:axId val="88326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52544"/>
        <c:crosses val="autoZero"/>
        <c:auto val="1"/>
        <c:lblAlgn val="ctr"/>
        <c:lblOffset val="100"/>
        <c:noMultiLvlLbl val="0"/>
      </c:catAx>
      <c:valAx>
        <c:axId val="883252544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6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Overall Survival Comparison</a:t>
            </a:r>
            <a:r>
              <a:rPr lang="en-GB" b="1" baseline="0"/>
              <a:t> - Treatment A vs. B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help!$F$1</c:f>
              <c:strCache>
                <c:ptCount val="1"/>
                <c:pt idx="0">
                  <c:v>OS (A)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help!$F$2:$F$37</c:f>
              <c:numCache>
                <c:formatCode>0.00</c:formatCode>
                <c:ptCount val="36"/>
                <c:pt idx="0">
                  <c:v>1000</c:v>
                </c:pt>
                <c:pt idx="1">
                  <c:v>990</c:v>
                </c:pt>
                <c:pt idx="2">
                  <c:v>975.6</c:v>
                </c:pt>
                <c:pt idx="3">
                  <c:v>957.56399999999996</c:v>
                </c:pt>
                <c:pt idx="4">
                  <c:v>936.56016</c:v>
                </c:pt>
                <c:pt idx="5">
                  <c:v>913.1715504</c:v>
                </c:pt>
                <c:pt idx="6">
                  <c:v>887.905757376</c:v>
                </c:pt>
                <c:pt idx="7">
                  <c:v>861.20346193343994</c:v>
                </c:pt>
                <c:pt idx="8">
                  <c:v>833.44609921743358</c:v>
                </c:pt>
                <c:pt idx="9">
                  <c:v>804.96269376438761</c:v>
                </c:pt>
                <c:pt idx="10">
                  <c:v>776.03595658852441</c:v>
                </c:pt>
                <c:pt idx="11">
                  <c:v>746.90772119821293</c:v>
                </c:pt>
                <c:pt idx="12">
                  <c:v>717.78378773082011</c:v>
                </c:pt>
                <c:pt idx="13">
                  <c:v>688.83823729102096</c:v>
                </c:pt>
                <c:pt idx="14">
                  <c:v>660.21727219520471</c:v>
                </c:pt>
                <c:pt idx="15">
                  <c:v>632.04263209097292</c:v>
                </c:pt>
                <c:pt idx="16">
                  <c:v>604.41463077024696</c:v>
                </c:pt>
                <c:pt idx="17">
                  <c:v>577.4148538682914</c:v>
                </c:pt>
                <c:pt idx="18">
                  <c:v>551.10855348602718</c:v>
                </c:pt>
                <c:pt idx="19">
                  <c:v>525.5467720417156</c:v>
                </c:pt>
                <c:pt idx="20">
                  <c:v>500.76822430757767</c:v>
                </c:pt>
                <c:pt idx="21">
                  <c:v>476.80096357865148</c:v>
                </c:pt>
                <c:pt idx="22">
                  <c:v>453.66385522050803</c:v>
                </c:pt>
                <c:pt idx="23">
                  <c:v>431.36787841819557</c:v>
                </c:pt>
                <c:pt idx="24">
                  <c:v>409.91727477293011</c:v>
                </c:pt>
                <c:pt idx="25">
                  <c:v>389.31056044039792</c:v>
                </c:pt>
                <c:pt idx="26">
                  <c:v>369.54141675243329</c:v>
                </c:pt>
                <c:pt idx="27">
                  <c:v>350.5994726919007</c:v>
                </c:pt>
                <c:pt idx="28">
                  <c:v>332.4709911805387</c:v>
                </c:pt>
                <c:pt idx="29">
                  <c:v>315.13946987484326</c:v>
                </c:pt>
                <c:pt idx="30">
                  <c:v>298.58616603097585</c:v>
                </c:pt>
                <c:pt idx="31">
                  <c:v>282.79055398287812</c:v>
                </c:pt>
                <c:pt idx="32">
                  <c:v>267.73072286629019</c:v>
                </c:pt>
                <c:pt idx="33">
                  <c:v>253.38372140445904</c:v>
                </c:pt>
                <c:pt idx="34">
                  <c:v>239.72585583932312</c:v>
                </c:pt>
                <c:pt idx="35">
                  <c:v>226.73294643618226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A-4AA2-8C65-CC20A009CE4B}"/>
            </c:ext>
          </c:extLst>
        </c:ser>
        <c:ser>
          <c:idx val="2"/>
          <c:order val="2"/>
          <c:tx>
            <c:strRef>
              <c:f>help!$G$1</c:f>
              <c:strCache>
                <c:ptCount val="1"/>
                <c:pt idx="0">
                  <c:v>OS (B)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help!$G$2:$G$37</c:f>
              <c:numCache>
                <c:formatCode>General</c:formatCode>
                <c:ptCount val="36"/>
                <c:pt idx="0">
                  <c:v>1000</c:v>
                </c:pt>
                <c:pt idx="1">
                  <c:v>992.5</c:v>
                </c:pt>
                <c:pt idx="2">
                  <c:v>982.35625000000005</c:v>
                </c:pt>
                <c:pt idx="3">
                  <c:v>969.91932812499999</c:v>
                </c:pt>
                <c:pt idx="4">
                  <c:v>955.5062850390625</c:v>
                </c:pt>
                <c:pt idx="5">
                  <c:v>939.40350212470707</c:v>
                </c:pt>
                <c:pt idx="6">
                  <c:v>921.8693189769084</c:v>
                </c:pt>
                <c:pt idx="7">
                  <c:v>903.13644828839585</c:v>
                </c:pt>
                <c:pt idx="8">
                  <c:v>883.41419481037087</c:v>
                </c:pt>
                <c:pt idx="9">
                  <c:v>862.89049378637651</c:v>
                </c:pt>
                <c:pt idx="10">
                  <c:v>841.73378306880954</c:v>
                </c:pt>
                <c:pt idx="11">
                  <c:v>820.09472203003065</c:v>
                </c:pt>
                <c:pt idx="12">
                  <c:v>798.10776936631942</c:v>
                </c:pt>
                <c:pt idx="13">
                  <c:v>775.89263095668082</c:v>
                </c:pt>
                <c:pt idx="14">
                  <c:v>753.55558807385546</c:v>
                </c:pt>
                <c:pt idx="15">
                  <c:v>731.19071544639303</c:v>
                </c:pt>
                <c:pt idx="16">
                  <c:v>708.88099793328161</c:v>
                </c:pt>
                <c:pt idx="17">
                  <c:v>686.69935389174861</c:v>
                </c:pt>
                <c:pt idx="18">
                  <c:v>664.70957269016594</c:v>
                </c:pt>
                <c:pt idx="19">
                  <c:v>642.96717323753796</c:v>
                </c:pt>
                <c:pt idx="20">
                  <c:v>621.52018986514815</c:v>
                </c:pt>
                <c:pt idx="21">
                  <c:v>600.40989140121735</c:v>
                </c:pt>
                <c:pt idx="22">
                  <c:v>579.67143882272353</c:v>
                </c:pt>
                <c:pt idx="23">
                  <c:v>559.33448644697819</c:v>
                </c:pt>
                <c:pt idx="24">
                  <c:v>539.42373123645586</c:v>
                </c:pt>
                <c:pt idx="25">
                  <c:v>519.95941443125503</c:v>
                </c:pt>
                <c:pt idx="26">
                  <c:v>500.95777939216157</c:v>
                </c:pt>
                <c:pt idx="27">
                  <c:v>482.43148923144565</c:v>
                </c:pt>
                <c:pt idx="28">
                  <c:v>464.39000752633285</c:v>
                </c:pt>
                <c:pt idx="29">
                  <c:v>446.83994514970937</c:v>
                </c:pt>
                <c:pt idx="30">
                  <c:v>429.78537601240964</c:v>
                </c:pt>
                <c:pt idx="31">
                  <c:v>413.22812428983332</c:v>
                </c:pt>
                <c:pt idx="32">
                  <c:v>397.16802550122839</c:v>
                </c:pt>
                <c:pt idx="33">
                  <c:v>381.60316362144499</c:v>
                </c:pt>
                <c:pt idx="34">
                  <c:v>366.5300862310869</c:v>
                </c:pt>
                <c:pt idx="35">
                  <c:v>351.94399955064637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4A-4AA2-8C65-CC20A009C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260464"/>
        <c:axId val="8832525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help!$E$1</c15:sqref>
                        </c15:formulaRef>
                      </c:ext>
                    </c:extLst>
                    <c:strCache>
                      <c:ptCount val="1"/>
                      <c:pt idx="0">
                        <c:v>Cycle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help!$E$2:$E$37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B4A-4AA2-8C65-CC20A009CE4B}"/>
                  </c:ext>
                </c:extLst>
              </c15:ser>
            </c15:filteredLineSeries>
          </c:ext>
        </c:extLst>
      </c:lineChart>
      <c:catAx>
        <c:axId val="88326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52544"/>
        <c:crosses val="autoZero"/>
        <c:auto val="1"/>
        <c:lblAlgn val="ctr"/>
        <c:lblOffset val="100"/>
        <c:noMultiLvlLbl val="0"/>
      </c:catAx>
      <c:valAx>
        <c:axId val="883252544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6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Cost Comparison A vs.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help!$I$2</c:f>
              <c:strCache>
                <c:ptCount val="1"/>
                <c:pt idx="0">
                  <c:v>PFS Cost</c:v>
                </c:pt>
              </c:strCache>
            </c:strRef>
          </c:tx>
          <c:spPr>
            <a:solidFill>
              <a:srgbClr val="8FD1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help!$J$1:$K$1</c:f>
              <c:strCache>
                <c:ptCount val="2"/>
                <c:pt idx="0">
                  <c:v>Treatment A</c:v>
                </c:pt>
                <c:pt idx="1">
                  <c:v>Treatment B</c:v>
                </c:pt>
              </c:strCache>
            </c:strRef>
          </c:cat>
          <c:val>
            <c:numRef>
              <c:f>help!$J$2:$K$2</c:f>
              <c:numCache>
                <c:formatCode>"£"#,##0</c:formatCode>
                <c:ptCount val="2"/>
                <c:pt idx="0">
                  <c:v>1487.0066319750492</c:v>
                </c:pt>
                <c:pt idx="1">
                  <c:v>1740.1345789600623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A-49FA-BCAF-F40758A7BA76}"/>
            </c:ext>
          </c:extLst>
        </c:ser>
        <c:ser>
          <c:idx val="1"/>
          <c:order val="1"/>
          <c:tx>
            <c:strRef>
              <c:f>help!$I$3</c:f>
              <c:strCache>
                <c:ptCount val="1"/>
                <c:pt idx="0">
                  <c:v>PD Cost</c:v>
                </c:pt>
              </c:strCache>
            </c:strRef>
          </c:tx>
          <c:spPr>
            <a:solidFill>
              <a:srgbClr val="FAC7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help!$J$1:$K$1</c:f>
              <c:strCache>
                <c:ptCount val="2"/>
                <c:pt idx="0">
                  <c:v>Treatment A</c:v>
                </c:pt>
                <c:pt idx="1">
                  <c:v>Treatment B</c:v>
                </c:pt>
              </c:strCache>
            </c:strRef>
          </c:cat>
          <c:val>
            <c:numRef>
              <c:f>help!$J$3:$K$3</c:f>
              <c:numCache>
                <c:formatCode>"£"#,##0</c:formatCode>
                <c:ptCount val="2"/>
                <c:pt idx="0">
                  <c:v>12738.375787999741</c:v>
                </c:pt>
                <c:pt idx="1">
                  <c:v>14177.358973910235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A-49FA-BCAF-F40758A7BA76}"/>
            </c:ext>
          </c:extLst>
        </c:ser>
        <c:ser>
          <c:idx val="2"/>
          <c:order val="2"/>
          <c:tx>
            <c:strRef>
              <c:f>help!$I$4</c:f>
              <c:strCache>
                <c:ptCount val="1"/>
                <c:pt idx="0">
                  <c:v>Drug Cost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help!$J$1:$K$1</c:f>
              <c:strCache>
                <c:ptCount val="2"/>
                <c:pt idx="0">
                  <c:v>Treatment A</c:v>
                </c:pt>
                <c:pt idx="1">
                  <c:v>Treatment B</c:v>
                </c:pt>
              </c:strCache>
            </c:strRef>
          </c:cat>
          <c:val>
            <c:numRef>
              <c:f>help!$J$4:$K$4</c:f>
              <c:numCache>
                <c:formatCode>"£"#,##0</c:formatCode>
                <c:ptCount val="2"/>
                <c:pt idx="0">
                  <c:v>5309.8135534375961</c:v>
                </c:pt>
                <c:pt idx="1">
                  <c:v>80034.392877556267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5A-49FA-BCAF-F40758A7B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3347872"/>
        <c:axId val="1233349312"/>
      </c:barChart>
      <c:catAx>
        <c:axId val="123334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49312"/>
        <c:crosses val="autoZero"/>
        <c:auto val="1"/>
        <c:lblAlgn val="ctr"/>
        <c:lblOffset val="100"/>
        <c:noMultiLvlLbl val="0"/>
      </c:catAx>
      <c:valAx>
        <c:axId val="12333493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4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2484</xdr:colOff>
      <xdr:row>49</xdr:row>
      <xdr:rowOff>4643</xdr:rowOff>
    </xdr:from>
    <xdr:to>
      <xdr:col>9</xdr:col>
      <xdr:colOff>383484</xdr:colOff>
      <xdr:row>64</xdr:row>
      <xdr:rowOff>190382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7DDFE6-1C01-0D4B-C92B-222C1992E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49</xdr:row>
      <xdr:rowOff>4645</xdr:rowOff>
    </xdr:from>
    <xdr:to>
      <xdr:col>18</xdr:col>
      <xdr:colOff>304800</xdr:colOff>
      <xdr:row>64</xdr:row>
      <xdr:rowOff>190383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37918A-024C-E3D1-90B8-853DC48A5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66</xdr:row>
      <xdr:rowOff>942</xdr:rowOff>
    </xdr:from>
    <xdr:to>
      <xdr:col>9</xdr:col>
      <xdr:colOff>381000</xdr:colOff>
      <xdr:row>80</xdr:row>
      <xdr:rowOff>77142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0AF6B7-8C61-442A-B38F-14D065E05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65</xdr:row>
      <xdr:rowOff>189141</xdr:rowOff>
    </xdr:from>
    <xdr:to>
      <xdr:col>18</xdr:col>
      <xdr:colOff>304800</xdr:colOff>
      <xdr:row>80</xdr:row>
      <xdr:rowOff>74841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A679D9-D0F3-420D-8042-B8493B280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81</xdr:row>
      <xdr:rowOff>189141</xdr:rowOff>
    </xdr:from>
    <xdr:to>
      <xdr:col>9</xdr:col>
      <xdr:colOff>358588</xdr:colOff>
      <xdr:row>96</xdr:row>
      <xdr:rowOff>74841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4EE976-A03F-4F94-B906-79D9303C4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29</xdr:row>
      <xdr:rowOff>10586</xdr:rowOff>
    </xdr:from>
    <xdr:to>
      <xdr:col>2</xdr:col>
      <xdr:colOff>0</xdr:colOff>
      <xdr:row>40</xdr:row>
      <xdr:rowOff>97289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F85354-D19E-CE02-41DC-8A2280327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833" y="5535086"/>
          <a:ext cx="3947584" cy="216950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E2F9-014F-4096-A020-C72F257F6B7F}">
  <dimension ref="A1:AV62"/>
  <sheetViews>
    <sheetView zoomScale="90" zoomScaleNormal="90" workbookViewId="0">
      <selection activeCell="J36" sqref="J36"/>
    </sheetView>
  </sheetViews>
  <sheetFormatPr defaultRowHeight="14.5" x14ac:dyDescent="0.35"/>
  <cols>
    <col min="2" max="2" width="59.1796875" customWidth="1"/>
    <col min="3" max="3" width="2.1796875" customWidth="1"/>
    <col min="4" max="4" width="10.26953125" customWidth="1"/>
    <col min="5" max="5" width="1.7265625" customWidth="1"/>
    <col min="6" max="10" width="15.7265625" customWidth="1"/>
    <col min="11" max="11" width="9.1796875" customWidth="1"/>
    <col min="17" max="17" width="9.26953125" customWidth="1"/>
    <col min="21" max="21" width="14.26953125" customWidth="1"/>
    <col min="23" max="23" width="10.1796875" bestFit="1" customWidth="1"/>
    <col min="25" max="25" width="11.1796875" bestFit="1" customWidth="1"/>
    <col min="42" max="42" width="12.453125" customWidth="1"/>
    <col min="44" max="44" width="12.453125" customWidth="1"/>
  </cols>
  <sheetData>
    <row r="1" spans="2:48" x14ac:dyDescent="0.35">
      <c r="N1" s="15" t="s">
        <v>1</v>
      </c>
      <c r="AG1" s="29" t="s">
        <v>2</v>
      </c>
    </row>
    <row r="2" spans="2:48" x14ac:dyDescent="0.35">
      <c r="B2" s="1" t="s">
        <v>3</v>
      </c>
      <c r="C2" s="1"/>
      <c r="D2" s="1"/>
      <c r="F2" s="1" t="s">
        <v>19</v>
      </c>
      <c r="L2" s="1" t="s">
        <v>17</v>
      </c>
      <c r="N2" s="1" t="s">
        <v>18</v>
      </c>
      <c r="S2" s="1" t="s">
        <v>15</v>
      </c>
      <c r="AA2" s="1" t="s">
        <v>16</v>
      </c>
      <c r="AE2" t="s">
        <v>17</v>
      </c>
      <c r="AG2" s="1" t="s">
        <v>18</v>
      </c>
      <c r="AL2" s="1" t="s">
        <v>15</v>
      </c>
      <c r="AT2" s="1" t="s">
        <v>16</v>
      </c>
    </row>
    <row r="3" spans="2:48" x14ac:dyDescent="0.35">
      <c r="F3" s="15" t="s">
        <v>1</v>
      </c>
      <c r="N3" s="24" t="s">
        <v>12</v>
      </c>
      <c r="O3" s="24" t="s">
        <v>13</v>
      </c>
      <c r="P3" s="24" t="s">
        <v>8</v>
      </c>
      <c r="Q3" t="s">
        <v>30</v>
      </c>
      <c r="S3" s="24" t="s">
        <v>12</v>
      </c>
      <c r="T3" s="24" t="s">
        <v>13</v>
      </c>
      <c r="U3" s="24" t="s">
        <v>26</v>
      </c>
      <c r="W3" s="24" t="s">
        <v>27</v>
      </c>
      <c r="Y3" s="24" t="s">
        <v>28</v>
      </c>
      <c r="AA3" s="24" t="s">
        <v>12</v>
      </c>
      <c r="AB3" s="24" t="s">
        <v>13</v>
      </c>
      <c r="AC3" s="24" t="s">
        <v>29</v>
      </c>
      <c r="AG3" s="24" t="s">
        <v>12</v>
      </c>
      <c r="AH3" s="24" t="s">
        <v>13</v>
      </c>
      <c r="AI3" s="24" t="s">
        <v>8</v>
      </c>
      <c r="AJ3" t="s">
        <v>30</v>
      </c>
      <c r="AL3" s="24" t="s">
        <v>12</v>
      </c>
      <c r="AM3" s="24" t="s">
        <v>13</v>
      </c>
      <c r="AN3" s="24" t="s">
        <v>26</v>
      </c>
      <c r="AP3" s="24" t="s">
        <v>27</v>
      </c>
      <c r="AR3" s="24" t="s">
        <v>28</v>
      </c>
      <c r="AT3" s="24" t="s">
        <v>12</v>
      </c>
      <c r="AU3" s="24" t="s">
        <v>13</v>
      </c>
      <c r="AV3" s="24" t="s">
        <v>29</v>
      </c>
    </row>
    <row r="4" spans="2:48" x14ac:dyDescent="0.35">
      <c r="B4" t="s">
        <v>4</v>
      </c>
      <c r="G4" s="3" t="s">
        <v>12</v>
      </c>
      <c r="H4" s="4" t="s">
        <v>13</v>
      </c>
      <c r="I4" s="5" t="s">
        <v>8</v>
      </c>
      <c r="L4">
        <v>1</v>
      </c>
      <c r="N4" s="28">
        <v>1000</v>
      </c>
      <c r="O4" s="28">
        <v>0</v>
      </c>
      <c r="P4" s="28">
        <v>0</v>
      </c>
      <c r="Q4" s="28">
        <f>ROUND(SUM(N4:P4),5)</f>
        <v>1000</v>
      </c>
      <c r="S4" s="23">
        <f>N4*$G$25</f>
        <v>100000</v>
      </c>
      <c r="T4" s="23">
        <f>O4*$G$26</f>
        <v>0</v>
      </c>
      <c r="U4" s="23">
        <f>SUM(S4:T4)</f>
        <v>100000</v>
      </c>
      <c r="W4" s="23">
        <f>($N$4-P4)*$H$33</f>
        <v>250000</v>
      </c>
      <c r="Y4" s="23">
        <f>U4+W4</f>
        <v>350000</v>
      </c>
      <c r="AA4">
        <f>N4*$H$25</f>
        <v>850</v>
      </c>
      <c r="AB4">
        <f>O4*$H$26</f>
        <v>0</v>
      </c>
      <c r="AC4">
        <f>SUM(AA4:AB4)</f>
        <v>850</v>
      </c>
      <c r="AE4">
        <v>1</v>
      </c>
      <c r="AG4">
        <v>1000</v>
      </c>
      <c r="AH4">
        <v>0</v>
      </c>
      <c r="AI4">
        <v>0</v>
      </c>
      <c r="AL4" s="23">
        <f>AG4*$G$25</f>
        <v>100000</v>
      </c>
      <c r="AM4" s="23">
        <f>AH4*$G$26</f>
        <v>0</v>
      </c>
      <c r="AN4" s="23">
        <f>SUM(AL4:AM4)</f>
        <v>100000</v>
      </c>
      <c r="AP4" s="23">
        <f>($AG$4-AI4)*$H$35</f>
        <v>3268040.4358003302</v>
      </c>
      <c r="AR4" s="23">
        <f>AN4+AP4</f>
        <v>3368040.4358003302</v>
      </c>
      <c r="AT4">
        <f>AG4*$H$25</f>
        <v>850</v>
      </c>
      <c r="AU4">
        <f>AH4*$H$26</f>
        <v>0</v>
      </c>
      <c r="AV4">
        <f>SUM(AT4:AU4)</f>
        <v>850</v>
      </c>
    </row>
    <row r="5" spans="2:48" x14ac:dyDescent="0.35">
      <c r="F5" s="2" t="s">
        <v>12</v>
      </c>
      <c r="G5" s="6">
        <v>0.94</v>
      </c>
      <c r="H5" s="7">
        <v>0.05</v>
      </c>
      <c r="I5" s="8">
        <v>0.01</v>
      </c>
      <c r="L5">
        <v>2</v>
      </c>
      <c r="N5" s="28">
        <f t="array" ref="N5:P5">MMULT(N4:P4,$G$5:$I$7)</f>
        <v>940</v>
      </c>
      <c r="O5" s="28">
        <v>50</v>
      </c>
      <c r="P5" s="28">
        <v>10</v>
      </c>
      <c r="Q5" s="28">
        <f t="shared" ref="Q5:Q39" si="0">ROUND(SUM(N5:P5),5)</f>
        <v>1000</v>
      </c>
      <c r="S5" s="23">
        <f t="shared" ref="S5:S39" si="1">N5*$G$25</f>
        <v>94000</v>
      </c>
      <c r="T5" s="23">
        <f t="shared" ref="T5:T39" si="2">O5*$G$26</f>
        <v>100000</v>
      </c>
      <c r="U5" s="23">
        <f t="shared" ref="U5:U39" si="3">SUM(S5:T5)</f>
        <v>194000</v>
      </c>
      <c r="W5" s="23">
        <f t="shared" ref="W5:W39" si="4">($N$4-P5)*$H$33</f>
        <v>247500</v>
      </c>
      <c r="Y5" s="23">
        <f t="shared" ref="Y5:Y39" si="5">U5+W5</f>
        <v>441500</v>
      </c>
      <c r="AA5">
        <f t="shared" ref="AA5:AA39" si="6">N5*$H$25</f>
        <v>799</v>
      </c>
      <c r="AB5">
        <f t="shared" ref="AB5:AB39" si="7">O5*$H$26</f>
        <v>27.500000000000004</v>
      </c>
      <c r="AC5">
        <f t="shared" ref="AC5:AC39" si="8">SUM(AA5:AB5)</f>
        <v>826.5</v>
      </c>
      <c r="AE5">
        <v>2</v>
      </c>
      <c r="AG5">
        <f t="array" ref="AG5:AI5">MMULT(AG4:AI4,$G$18:$I$20)</f>
        <v>952.5</v>
      </c>
      <c r="AH5">
        <v>40.000000000000007</v>
      </c>
      <c r="AI5">
        <v>7.5</v>
      </c>
      <c r="AL5" s="23">
        <f t="shared" ref="AL5:AL39" si="9">AG5*$G$25</f>
        <v>95250</v>
      </c>
      <c r="AM5" s="23">
        <f t="shared" ref="AM5:AM39" si="10">AH5*$G$26</f>
        <v>80000.000000000015</v>
      </c>
      <c r="AN5" s="23">
        <f t="shared" ref="AN5:AN39" si="11">SUM(AL5:AM5)</f>
        <v>175250</v>
      </c>
      <c r="AP5" s="23">
        <f t="shared" ref="AP5:AP39" si="12">($AG$4-AI5)*$H$35</f>
        <v>3243530.1325318278</v>
      </c>
      <c r="AR5" s="23">
        <f t="shared" ref="AR5:AR39" si="13">AN5+AP5</f>
        <v>3418780.1325318278</v>
      </c>
      <c r="AT5">
        <f t="shared" ref="AT5:AT39" si="14">AG5*$H$25</f>
        <v>809.625</v>
      </c>
      <c r="AU5">
        <f t="shared" ref="AU5:AU39" si="15">AH5*$H$26</f>
        <v>22.000000000000007</v>
      </c>
      <c r="AV5">
        <f t="shared" ref="AV5:AV39" si="16">SUM(AT5:AU5)</f>
        <v>831.625</v>
      </c>
    </row>
    <row r="6" spans="2:48" x14ac:dyDescent="0.35">
      <c r="B6" s="1" t="s">
        <v>0</v>
      </c>
      <c r="C6" s="1"/>
      <c r="D6" s="1"/>
      <c r="F6" t="s">
        <v>13</v>
      </c>
      <c r="G6" s="9">
        <v>0</v>
      </c>
      <c r="H6" s="10">
        <v>0.9</v>
      </c>
      <c r="I6" s="11">
        <v>0.1</v>
      </c>
      <c r="L6">
        <v>3</v>
      </c>
      <c r="N6" s="28">
        <f t="array" ref="N6:P6">MMULT(N5:P5,$G$5:$I$7)</f>
        <v>883.59999999999991</v>
      </c>
      <c r="O6" s="28">
        <v>92</v>
      </c>
      <c r="P6" s="28">
        <v>24.4</v>
      </c>
      <c r="Q6" s="28">
        <f t="shared" si="0"/>
        <v>1000</v>
      </c>
      <c r="S6" s="23">
        <f t="shared" si="1"/>
        <v>88359.999999999985</v>
      </c>
      <c r="T6" s="23">
        <f t="shared" si="2"/>
        <v>184000</v>
      </c>
      <c r="U6" s="23">
        <f t="shared" si="3"/>
        <v>272360</v>
      </c>
      <c r="W6" s="23">
        <f t="shared" si="4"/>
        <v>243900</v>
      </c>
      <c r="Y6" s="23">
        <f t="shared" si="5"/>
        <v>516260</v>
      </c>
      <c r="AA6">
        <f t="shared" si="6"/>
        <v>751.06</v>
      </c>
      <c r="AB6">
        <f t="shared" si="7"/>
        <v>50.6</v>
      </c>
      <c r="AC6">
        <f t="shared" si="8"/>
        <v>801.66</v>
      </c>
      <c r="AE6">
        <v>3</v>
      </c>
      <c r="AG6">
        <f t="array" ref="AG6:AI6">MMULT(AG5:AI5,$G$18:$I$20)</f>
        <v>907.25625000000002</v>
      </c>
      <c r="AH6">
        <v>75.100000000000023</v>
      </c>
      <c r="AI6">
        <v>17.643750000000001</v>
      </c>
      <c r="AL6" s="23">
        <f t="shared" si="9"/>
        <v>90725.625</v>
      </c>
      <c r="AM6" s="23">
        <f t="shared" si="10"/>
        <v>150200.00000000006</v>
      </c>
      <c r="AN6" s="23">
        <f t="shared" si="11"/>
        <v>240925.62500000006</v>
      </c>
      <c r="AP6" s="23">
        <f t="shared" si="12"/>
        <v>3210379.9473611782</v>
      </c>
      <c r="AR6" s="23">
        <f t="shared" si="13"/>
        <v>3451305.5723611782</v>
      </c>
      <c r="AT6">
        <f t="shared" si="14"/>
        <v>771.16781249999997</v>
      </c>
      <c r="AU6">
        <f t="shared" si="15"/>
        <v>41.305000000000014</v>
      </c>
      <c r="AV6">
        <f t="shared" si="16"/>
        <v>812.47281250000003</v>
      </c>
    </row>
    <row r="7" spans="2:48" x14ac:dyDescent="0.35">
      <c r="F7" s="2" t="s">
        <v>8</v>
      </c>
      <c r="G7" s="6">
        <v>0</v>
      </c>
      <c r="H7" s="7">
        <v>0</v>
      </c>
      <c r="I7" s="8">
        <v>1</v>
      </c>
      <c r="L7">
        <v>4</v>
      </c>
      <c r="N7" s="28">
        <f t="array" ref="N7:P7">MMULT(N6:P6,$G$5:$I$7)</f>
        <v>830.58399999999983</v>
      </c>
      <c r="O7" s="28">
        <v>126.97999999999999</v>
      </c>
      <c r="P7" s="28">
        <v>42.436</v>
      </c>
      <c r="Q7" s="28">
        <f t="shared" si="0"/>
        <v>1000</v>
      </c>
      <c r="S7" s="23">
        <f t="shared" si="1"/>
        <v>83058.39999999998</v>
      </c>
      <c r="T7" s="23">
        <f t="shared" si="2"/>
        <v>253959.99999999997</v>
      </c>
      <c r="U7" s="23">
        <f t="shared" si="3"/>
        <v>337018.39999999997</v>
      </c>
      <c r="W7" s="23">
        <f t="shared" si="4"/>
        <v>239391</v>
      </c>
      <c r="Y7" s="23">
        <f t="shared" si="5"/>
        <v>576409.39999999991</v>
      </c>
      <c r="AA7">
        <f t="shared" si="6"/>
        <v>705.99639999999988</v>
      </c>
      <c r="AB7">
        <f t="shared" si="7"/>
        <v>69.838999999999999</v>
      </c>
      <c r="AC7">
        <f t="shared" si="8"/>
        <v>775.83539999999994</v>
      </c>
      <c r="AE7">
        <v>4</v>
      </c>
      <c r="AG7">
        <f t="array" ref="AG7:AI7">MMULT(AG6:AI6,$G$18:$I$20)</f>
        <v>864.16157812500001</v>
      </c>
      <c r="AH7">
        <v>105.75775000000004</v>
      </c>
      <c r="AI7">
        <v>30.080671875000004</v>
      </c>
      <c r="AL7" s="23">
        <f t="shared" si="9"/>
        <v>86416.157812499994</v>
      </c>
      <c r="AM7" s="23">
        <f t="shared" si="10"/>
        <v>211515.50000000009</v>
      </c>
      <c r="AN7" s="23">
        <f t="shared" si="11"/>
        <v>297931.65781250008</v>
      </c>
      <c r="AP7" s="23">
        <f t="shared" si="12"/>
        <v>3169735.5837767883</v>
      </c>
      <c r="AR7" s="23">
        <f t="shared" si="13"/>
        <v>3467667.2415892882</v>
      </c>
      <c r="AT7">
        <f t="shared" si="14"/>
        <v>734.53734140624999</v>
      </c>
      <c r="AU7">
        <f t="shared" si="15"/>
        <v>58.166762500000026</v>
      </c>
      <c r="AV7">
        <f t="shared" si="16"/>
        <v>792.70410390625</v>
      </c>
    </row>
    <row r="8" spans="2:48" x14ac:dyDescent="0.35">
      <c r="B8" t="s">
        <v>1</v>
      </c>
      <c r="L8">
        <v>5</v>
      </c>
      <c r="N8" s="28">
        <f t="array" ref="N8:P8">MMULT(N7:P7,$G$5:$I$7)</f>
        <v>780.74895999999978</v>
      </c>
      <c r="O8" s="28">
        <v>155.81119999999999</v>
      </c>
      <c r="P8" s="28">
        <v>63.439839999999997</v>
      </c>
      <c r="Q8" s="28">
        <f t="shared" si="0"/>
        <v>1000</v>
      </c>
      <c r="S8" s="23">
        <f t="shared" si="1"/>
        <v>78074.895999999979</v>
      </c>
      <c r="T8" s="23">
        <f t="shared" si="2"/>
        <v>311622.39999999997</v>
      </c>
      <c r="U8" s="23">
        <f t="shared" si="3"/>
        <v>389697.29599999997</v>
      </c>
      <c r="W8" s="23">
        <f t="shared" si="4"/>
        <v>234140.04</v>
      </c>
      <c r="Y8" s="23">
        <f t="shared" si="5"/>
        <v>623837.33600000001</v>
      </c>
      <c r="AA8">
        <f t="shared" si="6"/>
        <v>663.63661599999978</v>
      </c>
      <c r="AB8">
        <f t="shared" si="7"/>
        <v>85.696159999999992</v>
      </c>
      <c r="AC8">
        <f t="shared" si="8"/>
        <v>749.33277599999974</v>
      </c>
      <c r="AE8">
        <v>5</v>
      </c>
      <c r="AG8">
        <f t="array" ref="AG8:AI8">MMULT(AG7:AI7,$G$18:$I$20)</f>
        <v>823.11390316406255</v>
      </c>
      <c r="AH8">
        <v>132.39238187500004</v>
      </c>
      <c r="AI8">
        <v>44.49371496093751</v>
      </c>
      <c r="AL8" s="23">
        <f t="shared" si="9"/>
        <v>82311.39031640625</v>
      </c>
      <c r="AM8" s="23">
        <f t="shared" si="10"/>
        <v>264784.7637500001</v>
      </c>
      <c r="AN8" s="23">
        <f t="shared" si="11"/>
        <v>347096.15406640637</v>
      </c>
      <c r="AP8" s="23">
        <f t="shared" si="12"/>
        <v>3122633.1761690122</v>
      </c>
      <c r="AR8" s="23">
        <f t="shared" si="13"/>
        <v>3469729.3302354184</v>
      </c>
      <c r="AT8">
        <f t="shared" si="14"/>
        <v>699.6468176894532</v>
      </c>
      <c r="AU8">
        <f t="shared" si="15"/>
        <v>72.815810031250024</v>
      </c>
      <c r="AV8">
        <f t="shared" si="16"/>
        <v>772.46262772070327</v>
      </c>
    </row>
    <row r="9" spans="2:48" x14ac:dyDescent="0.35">
      <c r="F9" s="1" t="s">
        <v>40</v>
      </c>
      <c r="L9">
        <v>6</v>
      </c>
      <c r="N9" s="28">
        <f t="array" ref="N9:P9">MMULT(N8:P8,$G$5:$I$7)</f>
        <v>733.9040223999998</v>
      </c>
      <c r="O9" s="28">
        <v>179.26752799999997</v>
      </c>
      <c r="P9" s="28">
        <v>86.828449599999999</v>
      </c>
      <c r="Q9" s="28">
        <f t="shared" si="0"/>
        <v>1000</v>
      </c>
      <c r="S9" s="23">
        <f t="shared" si="1"/>
        <v>73390.402239999981</v>
      </c>
      <c r="T9" s="23">
        <f t="shared" si="2"/>
        <v>358535.05599999992</v>
      </c>
      <c r="U9" s="23">
        <f t="shared" si="3"/>
        <v>431925.45823999989</v>
      </c>
      <c r="W9" s="23">
        <f t="shared" si="4"/>
        <v>228292.88759999999</v>
      </c>
      <c r="Y9" s="23">
        <f t="shared" si="5"/>
        <v>660218.34583999985</v>
      </c>
      <c r="AA9">
        <f t="shared" si="6"/>
        <v>623.81841903999987</v>
      </c>
      <c r="AB9">
        <f t="shared" si="7"/>
        <v>98.597140399999986</v>
      </c>
      <c r="AC9">
        <f t="shared" si="8"/>
        <v>722.41555943999981</v>
      </c>
      <c r="AE9">
        <v>6</v>
      </c>
      <c r="AG9">
        <f t="array" ref="AG9:AI9">MMULT(AG8:AI8,$G$18:$I$20)</f>
        <v>784.01599276376965</v>
      </c>
      <c r="AH9">
        <v>155.38750936093754</v>
      </c>
      <c r="AI9">
        <v>60.596497875292982</v>
      </c>
      <c r="AL9" s="23">
        <f t="shared" si="9"/>
        <v>78401.599276376961</v>
      </c>
      <c r="AM9" s="23">
        <f t="shared" si="10"/>
        <v>310775.01872187509</v>
      </c>
      <c r="AN9" s="23">
        <f t="shared" si="11"/>
        <v>389176.61799825204</v>
      </c>
      <c r="AP9" s="23">
        <f t="shared" si="12"/>
        <v>3070008.630475984</v>
      </c>
      <c r="AR9" s="23">
        <f t="shared" si="13"/>
        <v>3459185.2484742361</v>
      </c>
      <c r="AT9">
        <f t="shared" si="14"/>
        <v>666.41359384920418</v>
      </c>
      <c r="AU9">
        <f t="shared" si="15"/>
        <v>85.46313014851566</v>
      </c>
      <c r="AV9">
        <f t="shared" si="16"/>
        <v>751.87672399771986</v>
      </c>
    </row>
    <row r="10" spans="2:48" x14ac:dyDescent="0.35">
      <c r="B10" t="s">
        <v>2</v>
      </c>
      <c r="H10" s="42" t="s">
        <v>47</v>
      </c>
      <c r="I10" s="24"/>
      <c r="J10" s="43" t="s">
        <v>48</v>
      </c>
      <c r="L10">
        <v>7</v>
      </c>
      <c r="N10" s="28">
        <f t="array" ref="N10:P10">MMULT(N9:P9,$G$5:$I$7)</f>
        <v>689.86978105599974</v>
      </c>
      <c r="O10" s="28">
        <v>198.03597631999997</v>
      </c>
      <c r="P10" s="28">
        <v>112.094242624</v>
      </c>
      <c r="Q10" s="28">
        <f t="shared" si="0"/>
        <v>1000</v>
      </c>
      <c r="S10" s="23">
        <f t="shared" si="1"/>
        <v>68986.978105599977</v>
      </c>
      <c r="T10" s="23">
        <f t="shared" si="2"/>
        <v>396071.95263999997</v>
      </c>
      <c r="U10" s="23">
        <f t="shared" si="3"/>
        <v>465058.93074559997</v>
      </c>
      <c r="W10" s="23">
        <f t="shared" si="4"/>
        <v>221976.43934400001</v>
      </c>
      <c r="Y10" s="23">
        <f t="shared" si="5"/>
        <v>687035.37008959998</v>
      </c>
      <c r="AA10">
        <f t="shared" si="6"/>
        <v>586.38931389759978</v>
      </c>
      <c r="AB10">
        <f t="shared" si="7"/>
        <v>108.919786976</v>
      </c>
      <c r="AC10">
        <f t="shared" si="8"/>
        <v>695.30910087359973</v>
      </c>
      <c r="AE10">
        <v>7</v>
      </c>
      <c r="AG10">
        <f t="array" ref="AG10:AI10">MMULT(AG9:AI9,$G$18:$I$20)</f>
        <v>746.77523310749064</v>
      </c>
      <c r="AH10">
        <v>175.09408586941802</v>
      </c>
      <c r="AI10">
        <v>78.130681023091569</v>
      </c>
      <c r="AL10" s="23">
        <f t="shared" si="9"/>
        <v>74677.523310749064</v>
      </c>
      <c r="AM10" s="23">
        <f t="shared" si="10"/>
        <v>350188.17173883604</v>
      </c>
      <c r="AN10" s="23">
        <f t="shared" si="11"/>
        <v>424865.69504958508</v>
      </c>
      <c r="AP10" s="23">
        <f t="shared" si="12"/>
        <v>3012706.2109402493</v>
      </c>
      <c r="AR10" s="23">
        <f t="shared" si="13"/>
        <v>3437571.9059898341</v>
      </c>
      <c r="AT10">
        <f t="shared" si="14"/>
        <v>634.758948141367</v>
      </c>
      <c r="AU10">
        <f t="shared" si="15"/>
        <v>96.30174722817992</v>
      </c>
      <c r="AV10">
        <f t="shared" si="16"/>
        <v>731.06069536954692</v>
      </c>
    </row>
    <row r="11" spans="2:48" x14ac:dyDescent="0.35">
      <c r="F11" s="24" t="s">
        <v>20</v>
      </c>
      <c r="G11" s="24" t="s">
        <v>21</v>
      </c>
      <c r="H11" s="42" t="s">
        <v>49</v>
      </c>
      <c r="I11" s="42" t="s">
        <v>50</v>
      </c>
      <c r="J11" s="43" t="s">
        <v>51</v>
      </c>
      <c r="K11" s="40"/>
      <c r="L11">
        <v>8</v>
      </c>
      <c r="N11" s="28">
        <f t="array" ref="N11:P11">MMULT(N10:P10,$G$5:$I$7)</f>
        <v>648.47759419263969</v>
      </c>
      <c r="O11" s="28">
        <v>212.72586774079997</v>
      </c>
      <c r="P11" s="28">
        <v>138.79653806656</v>
      </c>
      <c r="Q11" s="28">
        <f t="shared" si="0"/>
        <v>1000</v>
      </c>
      <c r="S11" s="23">
        <f t="shared" si="1"/>
        <v>64847.759419263966</v>
      </c>
      <c r="T11" s="23">
        <f t="shared" si="2"/>
        <v>425451.73548159993</v>
      </c>
      <c r="U11" s="23">
        <f t="shared" si="3"/>
        <v>490299.49490086391</v>
      </c>
      <c r="W11" s="23">
        <f t="shared" si="4"/>
        <v>215300.86548335999</v>
      </c>
      <c r="Y11" s="23">
        <f t="shared" si="5"/>
        <v>705600.36038422387</v>
      </c>
      <c r="AA11">
        <f t="shared" si="6"/>
        <v>551.20595506374377</v>
      </c>
      <c r="AB11">
        <f t="shared" si="7"/>
        <v>116.99922725744</v>
      </c>
      <c r="AC11">
        <f t="shared" si="8"/>
        <v>668.20518232118377</v>
      </c>
      <c r="AE11">
        <v>8</v>
      </c>
      <c r="AG11">
        <f t="array" ref="AG11:AI11">MMULT(AG10:AI10,$G$18:$I$20)</f>
        <v>711.30340953488485</v>
      </c>
      <c r="AH11">
        <v>191.83303875351129</v>
      </c>
      <c r="AI11">
        <v>96.863551711604103</v>
      </c>
      <c r="AL11" s="23">
        <f t="shared" si="9"/>
        <v>71130.340953488485</v>
      </c>
      <c r="AM11" s="23">
        <f t="shared" si="10"/>
        <v>383666.07750702259</v>
      </c>
      <c r="AN11" s="23">
        <f t="shared" si="11"/>
        <v>454796.41846051108</v>
      </c>
      <c r="AP11" s="23">
        <f t="shared" si="12"/>
        <v>2951486.4320515716</v>
      </c>
      <c r="AR11" s="23">
        <f t="shared" si="13"/>
        <v>3406282.8505120827</v>
      </c>
      <c r="AT11">
        <f t="shared" si="14"/>
        <v>604.60789810465212</v>
      </c>
      <c r="AU11">
        <f t="shared" si="15"/>
        <v>105.50817131443122</v>
      </c>
      <c r="AV11">
        <f t="shared" si="16"/>
        <v>710.11606941908337</v>
      </c>
    </row>
    <row r="12" spans="2:48" x14ac:dyDescent="0.35">
      <c r="B12" s="1" t="s">
        <v>5</v>
      </c>
      <c r="C12" s="1"/>
      <c r="D12" s="1"/>
      <c r="F12" s="2" t="s">
        <v>12</v>
      </c>
      <c r="G12" s="2" t="s">
        <v>13</v>
      </c>
      <c r="H12" s="44">
        <f>H5*D20</f>
        <v>4.0000000000000008E-2</v>
      </c>
      <c r="I12" s="2">
        <v>4.02E-2</v>
      </c>
      <c r="J12" s="44">
        <f>H5</f>
        <v>0.05</v>
      </c>
      <c r="K12" s="41"/>
      <c r="L12">
        <v>9</v>
      </c>
      <c r="N12" s="28">
        <f t="array" ref="N12:P12">MMULT(N11:P11,$G$5:$I$7)</f>
        <v>609.56893854108125</v>
      </c>
      <c r="O12" s="28">
        <v>223.87716067635196</v>
      </c>
      <c r="P12" s="28">
        <v>166.55390078256639</v>
      </c>
      <c r="Q12" s="28">
        <f t="shared" si="0"/>
        <v>1000</v>
      </c>
      <c r="S12" s="23">
        <f t="shared" si="1"/>
        <v>60956.893854108122</v>
      </c>
      <c r="T12" s="23">
        <f t="shared" si="2"/>
        <v>447754.3213527039</v>
      </c>
      <c r="U12" s="23">
        <f t="shared" si="3"/>
        <v>508711.21520681202</v>
      </c>
      <c r="W12" s="23">
        <f t="shared" si="4"/>
        <v>208361.5248043584</v>
      </c>
      <c r="Y12" s="23">
        <f t="shared" si="5"/>
        <v>717072.74001117039</v>
      </c>
      <c r="AA12">
        <f t="shared" si="6"/>
        <v>518.1335977599191</v>
      </c>
      <c r="AB12">
        <f t="shared" si="7"/>
        <v>123.13243837199359</v>
      </c>
      <c r="AC12">
        <f t="shared" si="8"/>
        <v>641.26603613191264</v>
      </c>
      <c r="AE12">
        <v>9</v>
      </c>
      <c r="AG12">
        <f t="array" ref="AG12:AI12">MMULT(AG11:AI11,$G$18:$I$20)</f>
        <v>677.51649758197777</v>
      </c>
      <c r="AH12">
        <v>205.89769722839335</v>
      </c>
      <c r="AI12">
        <v>116.58580518962908</v>
      </c>
      <c r="AL12" s="23">
        <f t="shared" si="9"/>
        <v>67751.649758197775</v>
      </c>
      <c r="AM12" s="23">
        <f t="shared" si="10"/>
        <v>411795.39445678669</v>
      </c>
      <c r="AN12" s="23">
        <f t="shared" si="11"/>
        <v>479547.04421498446</v>
      </c>
      <c r="AP12" s="23">
        <f t="shared" si="12"/>
        <v>2887033.3102002824</v>
      </c>
      <c r="AR12" s="23">
        <f t="shared" si="13"/>
        <v>3366580.3544152668</v>
      </c>
      <c r="AT12">
        <f t="shared" si="14"/>
        <v>575.88902294468107</v>
      </c>
      <c r="AU12">
        <f t="shared" si="15"/>
        <v>113.24373347561635</v>
      </c>
      <c r="AV12">
        <f t="shared" si="16"/>
        <v>689.13275642029748</v>
      </c>
    </row>
    <row r="13" spans="2:48" x14ac:dyDescent="0.35">
      <c r="F13" t="s">
        <v>12</v>
      </c>
      <c r="G13" t="s">
        <v>8</v>
      </c>
      <c r="H13" s="41">
        <f>I5*D17</f>
        <v>7.4999999999999997E-3</v>
      </c>
      <c r="I13">
        <v>7.4999999999999997E-3</v>
      </c>
      <c r="J13" s="41">
        <f>I5</f>
        <v>0.01</v>
      </c>
      <c r="K13" s="41"/>
      <c r="L13">
        <v>10</v>
      </c>
      <c r="N13" s="28">
        <f t="array" ref="N13:P13">MMULT(N12:P12,$G$5:$I$7)</f>
        <v>572.99480222861632</v>
      </c>
      <c r="O13" s="28">
        <v>231.96789153577083</v>
      </c>
      <c r="P13" s="28">
        <v>195.03730623561239</v>
      </c>
      <c r="Q13" s="28">
        <f t="shared" si="0"/>
        <v>1000</v>
      </c>
      <c r="S13" s="23">
        <f t="shared" si="1"/>
        <v>57299.480222861632</v>
      </c>
      <c r="T13" s="23">
        <f t="shared" si="2"/>
        <v>463935.78307154169</v>
      </c>
      <c r="U13" s="23">
        <f t="shared" si="3"/>
        <v>521235.26329440332</v>
      </c>
      <c r="W13" s="23">
        <f t="shared" si="4"/>
        <v>201240.67344109691</v>
      </c>
      <c r="Y13" s="23">
        <f t="shared" si="5"/>
        <v>722475.93673550023</v>
      </c>
      <c r="AA13">
        <f t="shared" si="6"/>
        <v>487.04558189432385</v>
      </c>
      <c r="AB13">
        <f t="shared" si="7"/>
        <v>127.58234034467397</v>
      </c>
      <c r="AC13">
        <f t="shared" si="8"/>
        <v>614.62792223899783</v>
      </c>
      <c r="AE13">
        <v>10</v>
      </c>
      <c r="AG13">
        <f t="array" ref="AG13:AI13">MMULT(AG12:AI12,$G$18:$I$20)</f>
        <v>645.33446394683381</v>
      </c>
      <c r="AH13">
        <v>217.55602983954296</v>
      </c>
      <c r="AI13">
        <v>137.10950621362343</v>
      </c>
      <c r="AL13" s="23">
        <f t="shared" si="9"/>
        <v>64533.446394683378</v>
      </c>
      <c r="AM13" s="23">
        <f t="shared" si="10"/>
        <v>435112.05967908591</v>
      </c>
      <c r="AN13" s="23">
        <f t="shared" si="11"/>
        <v>499645.5060737693</v>
      </c>
      <c r="AP13" s="23">
        <f t="shared" si="12"/>
        <v>2819961.025361592</v>
      </c>
      <c r="AR13" s="23">
        <f t="shared" si="13"/>
        <v>3319606.5314353611</v>
      </c>
      <c r="AT13">
        <f t="shared" si="14"/>
        <v>548.53429435480871</v>
      </c>
      <c r="AU13">
        <f t="shared" si="15"/>
        <v>119.65581641174863</v>
      </c>
      <c r="AV13">
        <f t="shared" si="16"/>
        <v>668.19011076655738</v>
      </c>
    </row>
    <row r="14" spans="2:48" x14ac:dyDescent="0.35">
      <c r="B14" t="s">
        <v>6</v>
      </c>
      <c r="F14" s="2" t="s">
        <v>13</v>
      </c>
      <c r="G14" s="2" t="s">
        <v>8</v>
      </c>
      <c r="H14" s="44">
        <f>I6*D17</f>
        <v>7.5000000000000011E-2</v>
      </c>
      <c r="I14" s="2">
        <v>7.5899999999999995E-2</v>
      </c>
      <c r="J14" s="44">
        <f>I6</f>
        <v>0.1</v>
      </c>
      <c r="K14" s="41"/>
      <c r="L14">
        <v>11</v>
      </c>
      <c r="N14" s="28">
        <f t="array" ref="N14:P14">MMULT(N13:P13,$G$5:$I$7)</f>
        <v>538.61511409489935</v>
      </c>
      <c r="O14" s="28">
        <v>237.42084249362458</v>
      </c>
      <c r="P14" s="28">
        <v>223.96404341147564</v>
      </c>
      <c r="Q14" s="28">
        <f t="shared" si="0"/>
        <v>1000</v>
      </c>
      <c r="S14" s="23">
        <f t="shared" si="1"/>
        <v>53861.511409489933</v>
      </c>
      <c r="T14" s="23">
        <f t="shared" si="2"/>
        <v>474841.68498724914</v>
      </c>
      <c r="U14" s="23">
        <f t="shared" si="3"/>
        <v>528703.19639673911</v>
      </c>
      <c r="W14" s="23">
        <f t="shared" si="4"/>
        <v>194008.9891471311</v>
      </c>
      <c r="Y14" s="23">
        <f t="shared" si="5"/>
        <v>722712.1855438702</v>
      </c>
      <c r="AA14">
        <f t="shared" si="6"/>
        <v>457.82284698066445</v>
      </c>
      <c r="AB14">
        <f t="shared" si="7"/>
        <v>130.58146337149353</v>
      </c>
      <c r="AC14">
        <f t="shared" si="8"/>
        <v>588.40431035215795</v>
      </c>
      <c r="AE14">
        <v>11</v>
      </c>
      <c r="AG14">
        <f t="array" ref="AG14:AI14">MMULT(AG13:AI13,$G$18:$I$20)</f>
        <v>614.68107690935926</v>
      </c>
      <c r="AH14">
        <v>227.05270615945062</v>
      </c>
      <c r="AI14">
        <v>158.2662169311904</v>
      </c>
      <c r="AL14" s="23">
        <f t="shared" si="9"/>
        <v>61468.107690935925</v>
      </c>
      <c r="AM14" s="23">
        <f t="shared" si="10"/>
        <v>454105.41231890122</v>
      </c>
      <c r="AN14" s="23">
        <f t="shared" si="11"/>
        <v>515573.52000983711</v>
      </c>
      <c r="AP14" s="23">
        <f t="shared" si="12"/>
        <v>2750820.039248053</v>
      </c>
      <c r="AR14" s="23">
        <f t="shared" si="13"/>
        <v>3266393.5592578901</v>
      </c>
      <c r="AT14">
        <f t="shared" si="14"/>
        <v>522.47891537295538</v>
      </c>
      <c r="AU14">
        <f t="shared" si="15"/>
        <v>124.87898838769786</v>
      </c>
      <c r="AV14">
        <f t="shared" si="16"/>
        <v>647.35790376065324</v>
      </c>
    </row>
    <row r="15" spans="2:48" x14ac:dyDescent="0.35">
      <c r="D15" t="s">
        <v>22</v>
      </c>
      <c r="L15">
        <v>12</v>
      </c>
      <c r="N15" s="28">
        <f t="array" ref="N15:P15">MMULT(N14:P14,$G$5:$I$7)</f>
        <v>506.29820724920535</v>
      </c>
      <c r="O15" s="28">
        <v>240.60951394900709</v>
      </c>
      <c r="P15" s="28">
        <v>253.0922788017871</v>
      </c>
      <c r="Q15" s="28">
        <f t="shared" si="0"/>
        <v>1000</v>
      </c>
      <c r="S15" s="23">
        <f t="shared" si="1"/>
        <v>50629.820724920537</v>
      </c>
      <c r="T15" s="23">
        <f t="shared" si="2"/>
        <v>481219.02789801417</v>
      </c>
      <c r="U15" s="23">
        <f t="shared" si="3"/>
        <v>531848.84862293466</v>
      </c>
      <c r="W15" s="23">
        <f t="shared" si="4"/>
        <v>186726.93029955323</v>
      </c>
      <c r="Y15" s="23">
        <f t="shared" si="5"/>
        <v>718575.77892248787</v>
      </c>
      <c r="AA15">
        <f t="shared" si="6"/>
        <v>430.35347616182452</v>
      </c>
      <c r="AB15">
        <f t="shared" si="7"/>
        <v>132.33523267195392</v>
      </c>
      <c r="AC15">
        <f t="shared" si="8"/>
        <v>562.68870883377849</v>
      </c>
      <c r="AE15">
        <v>12</v>
      </c>
      <c r="AG15">
        <f t="array" ref="AG15:AI15">MMULT(AG14:AI14,$G$18:$I$20)</f>
        <v>585.48372575616474</v>
      </c>
      <c r="AH15">
        <v>234.61099627386619</v>
      </c>
      <c r="AI15">
        <v>179.9052779699694</v>
      </c>
      <c r="AL15" s="23">
        <f t="shared" si="9"/>
        <v>58548.372575616471</v>
      </c>
      <c r="AM15" s="23">
        <f t="shared" si="10"/>
        <v>469221.99254773237</v>
      </c>
      <c r="AN15" s="23">
        <f t="shared" si="11"/>
        <v>527770.36512334889</v>
      </c>
      <c r="AP15" s="23">
        <f t="shared" si="12"/>
        <v>2680102.712780572</v>
      </c>
      <c r="AR15" s="23">
        <f t="shared" si="13"/>
        <v>3207873.0779039208</v>
      </c>
      <c r="AT15">
        <f t="shared" si="14"/>
        <v>497.66116689274003</v>
      </c>
      <c r="AU15">
        <f t="shared" si="15"/>
        <v>129.03604795062643</v>
      </c>
      <c r="AV15">
        <f t="shared" si="16"/>
        <v>626.69721484336651</v>
      </c>
    </row>
    <row r="16" spans="2:48" x14ac:dyDescent="0.35">
      <c r="B16" s="52" t="s">
        <v>45</v>
      </c>
      <c r="C16" s="17"/>
      <c r="D16" s="17"/>
      <c r="F16" s="16" t="s">
        <v>2</v>
      </c>
      <c r="L16">
        <v>13</v>
      </c>
      <c r="N16" s="28">
        <f t="array" ref="N16:P16">MMULT(N15:P15,$G$5:$I$7)</f>
        <v>475.920314814253</v>
      </c>
      <c r="O16" s="28">
        <v>241.86347291656665</v>
      </c>
      <c r="P16" s="28">
        <v>282.21621226917989</v>
      </c>
      <c r="Q16" s="28">
        <f t="shared" si="0"/>
        <v>1000</v>
      </c>
      <c r="S16" s="23">
        <f t="shared" si="1"/>
        <v>47592.0314814253</v>
      </c>
      <c r="T16" s="23">
        <f t="shared" si="2"/>
        <v>483726.9458331333</v>
      </c>
      <c r="U16" s="23">
        <f t="shared" si="3"/>
        <v>531318.97731455858</v>
      </c>
      <c r="W16" s="23">
        <f t="shared" si="4"/>
        <v>179445.94693270503</v>
      </c>
      <c r="Y16" s="23">
        <f t="shared" si="5"/>
        <v>710764.92424726358</v>
      </c>
      <c r="AA16">
        <f t="shared" si="6"/>
        <v>404.53226759211503</v>
      </c>
      <c r="AB16">
        <f t="shared" si="7"/>
        <v>133.02491010411165</v>
      </c>
      <c r="AC16">
        <f t="shared" si="8"/>
        <v>537.55717769622674</v>
      </c>
      <c r="AE16">
        <v>13</v>
      </c>
      <c r="AG16">
        <f t="array" ref="AG16:AI16">MMULT(AG15:AI15,$G$18:$I$20)</f>
        <v>557.6732487827469</v>
      </c>
      <c r="AH16">
        <v>240.43452058357283</v>
      </c>
      <c r="AI16">
        <v>201.89223063368061</v>
      </c>
      <c r="AL16" s="23">
        <f t="shared" si="9"/>
        <v>55767.324878274689</v>
      </c>
      <c r="AM16" s="23">
        <f t="shared" si="10"/>
        <v>480869.04116714565</v>
      </c>
      <c r="AN16" s="23">
        <f t="shared" si="11"/>
        <v>536636.36604542029</v>
      </c>
      <c r="AP16" s="23">
        <f t="shared" si="12"/>
        <v>2608248.4624155359</v>
      </c>
      <c r="AR16" s="23">
        <f t="shared" si="13"/>
        <v>3144884.828460956</v>
      </c>
      <c r="AT16">
        <f t="shared" si="14"/>
        <v>474.02226146533485</v>
      </c>
      <c r="AU16">
        <f t="shared" si="15"/>
        <v>132.23898632096507</v>
      </c>
      <c r="AV16">
        <f t="shared" si="16"/>
        <v>606.26124778629992</v>
      </c>
    </row>
    <row r="17" spans="2:48" x14ac:dyDescent="0.35">
      <c r="B17" s="52"/>
      <c r="C17" s="17"/>
      <c r="D17" s="18">
        <v>0.75</v>
      </c>
      <c r="G17" s="3" t="s">
        <v>12</v>
      </c>
      <c r="H17" s="45" t="s">
        <v>13</v>
      </c>
      <c r="I17" s="45" t="s">
        <v>8</v>
      </c>
      <c r="L17">
        <v>14</v>
      </c>
      <c r="N17" s="28">
        <f t="array" ref="N17:P17">MMULT(N16:P16,$G$5:$I$7)</f>
        <v>447.36509592539778</v>
      </c>
      <c r="O17" s="28">
        <v>241.47314136562264</v>
      </c>
      <c r="P17" s="28">
        <v>311.1617627089791</v>
      </c>
      <c r="Q17" s="28">
        <f t="shared" si="0"/>
        <v>1000</v>
      </c>
      <c r="S17" s="23">
        <f t="shared" si="1"/>
        <v>44736.509592539776</v>
      </c>
      <c r="T17" s="23">
        <f t="shared" si="2"/>
        <v>482946.28273124527</v>
      </c>
      <c r="U17" s="23">
        <f t="shared" si="3"/>
        <v>527682.79232378502</v>
      </c>
      <c r="W17" s="23">
        <f t="shared" si="4"/>
        <v>172209.55932275523</v>
      </c>
      <c r="Y17" s="23">
        <f t="shared" si="5"/>
        <v>699892.35164654022</v>
      </c>
      <c r="AA17">
        <f t="shared" si="6"/>
        <v>380.26033153658813</v>
      </c>
      <c r="AB17">
        <f t="shared" si="7"/>
        <v>132.81022775109247</v>
      </c>
      <c r="AC17">
        <f t="shared" si="8"/>
        <v>513.07055928768057</v>
      </c>
      <c r="AE17">
        <v>14</v>
      </c>
      <c r="AG17">
        <f t="array" ref="AG17:AI17">MMULT(AG16:AI16,$G$18:$I$20)</f>
        <v>531.18376946556646</v>
      </c>
      <c r="AH17">
        <v>244.70886149111476</v>
      </c>
      <c r="AI17">
        <v>224.10736904331918</v>
      </c>
      <c r="AL17" s="23">
        <f t="shared" si="9"/>
        <v>53118.376946556644</v>
      </c>
      <c r="AM17" s="23">
        <f t="shared" si="10"/>
        <v>489417.72298222955</v>
      </c>
      <c r="AN17" s="23">
        <f t="shared" si="11"/>
        <v>542536.09992878616</v>
      </c>
      <c r="AP17" s="23">
        <f t="shared" si="12"/>
        <v>2535648.4918059357</v>
      </c>
      <c r="AR17" s="23">
        <f t="shared" si="13"/>
        <v>3078184.5917347218</v>
      </c>
      <c r="AT17">
        <f t="shared" si="14"/>
        <v>451.50620404573147</v>
      </c>
      <c r="AU17">
        <f t="shared" si="15"/>
        <v>134.58987382011313</v>
      </c>
      <c r="AV17">
        <f t="shared" si="16"/>
        <v>586.09607786584456</v>
      </c>
    </row>
    <row r="18" spans="2:48" x14ac:dyDescent="0.35">
      <c r="F18" s="2" t="s">
        <v>12</v>
      </c>
      <c r="G18" s="50">
        <f>1-H18-I18</f>
        <v>0.95250000000000001</v>
      </c>
      <c r="H18" s="46">
        <f>H12</f>
        <v>4.0000000000000008E-2</v>
      </c>
      <c r="I18" s="47">
        <f>H13</f>
        <v>7.4999999999999997E-3</v>
      </c>
      <c r="L18">
        <v>15</v>
      </c>
      <c r="N18" s="28">
        <f t="array" ref="N18:P18">MMULT(N17:P17,$G$5:$I$7)</f>
        <v>420.52319016987389</v>
      </c>
      <c r="O18" s="28">
        <v>239.69408202533026</v>
      </c>
      <c r="P18" s="28">
        <v>339.78272780479534</v>
      </c>
      <c r="Q18" s="28">
        <f t="shared" si="0"/>
        <v>1000</v>
      </c>
      <c r="S18" s="23">
        <f t="shared" si="1"/>
        <v>42052.319016987385</v>
      </c>
      <c r="T18" s="23">
        <f t="shared" si="2"/>
        <v>479388.1640506605</v>
      </c>
      <c r="U18" s="23">
        <f t="shared" si="3"/>
        <v>521440.4830676479</v>
      </c>
      <c r="W18" s="23">
        <f t="shared" si="4"/>
        <v>165054.31804880119</v>
      </c>
      <c r="Y18" s="23">
        <f t="shared" si="5"/>
        <v>686494.80111644906</v>
      </c>
      <c r="AA18">
        <f t="shared" si="6"/>
        <v>357.44471164439278</v>
      </c>
      <c r="AB18">
        <f t="shared" si="7"/>
        <v>131.83174511393165</v>
      </c>
      <c r="AC18">
        <f t="shared" si="8"/>
        <v>489.27645675832446</v>
      </c>
      <c r="AE18">
        <v>15</v>
      </c>
      <c r="AG18">
        <f t="array" ref="AG18:AI18">MMULT(AG17:AI17,$G$18:$I$20)</f>
        <v>505.95254041595206</v>
      </c>
      <c r="AH18">
        <v>247.60304765790383</v>
      </c>
      <c r="AI18">
        <v>246.44441192614454</v>
      </c>
      <c r="AL18" s="23">
        <f t="shared" si="9"/>
        <v>50595.254041595203</v>
      </c>
      <c r="AM18" s="23">
        <f t="shared" si="10"/>
        <v>495206.09531580767</v>
      </c>
      <c r="AN18" s="23">
        <f t="shared" si="11"/>
        <v>545801.34935740288</v>
      </c>
      <c r="AP18" s="23">
        <f t="shared" si="12"/>
        <v>2462650.1324486565</v>
      </c>
      <c r="AR18" s="23">
        <f t="shared" si="13"/>
        <v>3008451.4818060594</v>
      </c>
      <c r="AT18">
        <f t="shared" si="14"/>
        <v>430.05965935355925</v>
      </c>
      <c r="AU18">
        <f t="shared" si="15"/>
        <v>136.1816762118471</v>
      </c>
      <c r="AV18">
        <f t="shared" si="16"/>
        <v>566.24133556540642</v>
      </c>
    </row>
    <row r="19" spans="2:48" x14ac:dyDescent="0.35">
      <c r="B19" s="52" t="s">
        <v>46</v>
      </c>
      <c r="C19" s="17"/>
      <c r="D19" s="17"/>
      <c r="F19" s="39" t="s">
        <v>13</v>
      </c>
      <c r="G19" s="22">
        <v>0</v>
      </c>
      <c r="H19" s="49">
        <f>1-I19</f>
        <v>0.92500000000000004</v>
      </c>
      <c r="I19" s="48">
        <f>H14</f>
        <v>7.5000000000000011E-2</v>
      </c>
      <c r="L19">
        <v>16</v>
      </c>
      <c r="N19" s="28">
        <f t="array" ref="N19:P19">MMULT(N18:P18,$G$5:$I$7)</f>
        <v>395.29179875968146</v>
      </c>
      <c r="O19" s="28">
        <v>236.75083333129092</v>
      </c>
      <c r="P19" s="28">
        <v>367.95736790902708</v>
      </c>
      <c r="Q19" s="28">
        <f t="shared" si="0"/>
        <v>1000</v>
      </c>
      <c r="R19" s="28"/>
      <c r="S19" s="23">
        <f t="shared" si="1"/>
        <v>39529.179875968148</v>
      </c>
      <c r="T19" s="23">
        <f t="shared" si="2"/>
        <v>473501.66666258185</v>
      </c>
      <c r="U19" s="23">
        <f t="shared" si="3"/>
        <v>513030.84653854999</v>
      </c>
      <c r="W19" s="23">
        <f t="shared" si="4"/>
        <v>158010.65802274324</v>
      </c>
      <c r="Y19" s="23">
        <f t="shared" si="5"/>
        <v>671041.50456129317</v>
      </c>
      <c r="AA19">
        <f t="shared" si="6"/>
        <v>335.99802894572923</v>
      </c>
      <c r="AB19">
        <f t="shared" si="7"/>
        <v>130.21295833221001</v>
      </c>
      <c r="AC19">
        <f t="shared" si="8"/>
        <v>466.21098727793924</v>
      </c>
      <c r="AE19">
        <v>16</v>
      </c>
      <c r="AG19">
        <f t="array" ref="AG19:AI19">MMULT(AG18:AI18,$G$18:$I$20)</f>
        <v>481.91979474619433</v>
      </c>
      <c r="AH19">
        <v>249.27092070019916</v>
      </c>
      <c r="AI19">
        <v>268.80928455360697</v>
      </c>
      <c r="AL19" s="23">
        <f t="shared" si="9"/>
        <v>48191.979474619431</v>
      </c>
      <c r="AM19" s="23">
        <f t="shared" si="10"/>
        <v>498541.84140039829</v>
      </c>
      <c r="AN19" s="23">
        <f t="shared" si="11"/>
        <v>546733.82087501767</v>
      </c>
      <c r="AP19" s="23">
        <f t="shared" si="12"/>
        <v>2389560.8243605853</v>
      </c>
      <c r="AR19" s="23">
        <f t="shared" si="13"/>
        <v>2936294.6452356027</v>
      </c>
      <c r="AT19">
        <f t="shared" si="14"/>
        <v>409.63182553426515</v>
      </c>
      <c r="AU19">
        <f t="shared" si="15"/>
        <v>137.09900638510953</v>
      </c>
      <c r="AV19">
        <f t="shared" si="16"/>
        <v>546.73083191937462</v>
      </c>
    </row>
    <row r="20" spans="2:48" x14ac:dyDescent="0.35">
      <c r="B20" s="52"/>
      <c r="C20" s="17"/>
      <c r="D20" s="18">
        <v>0.8</v>
      </c>
      <c r="F20" s="2" t="s">
        <v>8</v>
      </c>
      <c r="G20" s="19">
        <v>0</v>
      </c>
      <c r="H20" s="20">
        <v>0</v>
      </c>
      <c r="I20" s="21">
        <v>1</v>
      </c>
      <c r="L20">
        <v>17</v>
      </c>
      <c r="N20" s="28">
        <f t="array" ref="N20:P20">MMULT(N19:P19,$G$5:$I$7)</f>
        <v>371.57429083410057</v>
      </c>
      <c r="O20" s="28">
        <v>232.84033993614591</v>
      </c>
      <c r="P20" s="28">
        <v>395.58536922975298</v>
      </c>
      <c r="Q20" s="28">
        <f t="shared" si="0"/>
        <v>1000</v>
      </c>
      <c r="S20" s="23">
        <f t="shared" si="1"/>
        <v>37157.429083410054</v>
      </c>
      <c r="T20" s="23">
        <f t="shared" si="2"/>
        <v>465680.6798722918</v>
      </c>
      <c r="U20" s="23">
        <f t="shared" si="3"/>
        <v>502838.10895570187</v>
      </c>
      <c r="W20" s="23">
        <f t="shared" si="4"/>
        <v>151103.65769256174</v>
      </c>
      <c r="Y20" s="23">
        <f t="shared" si="5"/>
        <v>653941.76664826367</v>
      </c>
      <c r="AA20">
        <f t="shared" si="6"/>
        <v>315.83814720898545</v>
      </c>
      <c r="AB20">
        <f t="shared" si="7"/>
        <v>128.06218696488025</v>
      </c>
      <c r="AC20">
        <f t="shared" si="8"/>
        <v>443.9003341738657</v>
      </c>
      <c r="AE20">
        <v>17</v>
      </c>
      <c r="AG20">
        <f t="array" ref="AG20:AI20">MMULT(AG19:AI19,$G$18:$I$20)</f>
        <v>459.02860449575013</v>
      </c>
      <c r="AH20">
        <v>249.85239343753202</v>
      </c>
      <c r="AI20">
        <v>291.11900206671839</v>
      </c>
      <c r="AL20" s="23">
        <f t="shared" si="9"/>
        <v>45902.860449575011</v>
      </c>
      <c r="AM20" s="23">
        <f t="shared" si="10"/>
        <v>499704.78687506402</v>
      </c>
      <c r="AN20" s="23">
        <f t="shared" si="11"/>
        <v>545607.64732463902</v>
      </c>
      <c r="AP20" s="23">
        <f t="shared" si="12"/>
        <v>2316651.7654164545</v>
      </c>
      <c r="AR20" s="23">
        <f t="shared" si="13"/>
        <v>2862259.4127410934</v>
      </c>
      <c r="AT20">
        <f t="shared" si="14"/>
        <v>390.17431382138761</v>
      </c>
      <c r="AU20">
        <f t="shared" si="15"/>
        <v>137.41881639064263</v>
      </c>
      <c r="AV20">
        <f t="shared" si="16"/>
        <v>527.59313021203025</v>
      </c>
    </row>
    <row r="21" spans="2:48" x14ac:dyDescent="0.35">
      <c r="L21">
        <v>18</v>
      </c>
      <c r="N21" s="28">
        <f t="array" ref="N21:P21">MMULT(N20:P20,$G$5:$I$7)</f>
        <v>349.27983338405448</v>
      </c>
      <c r="O21" s="28">
        <v>228.13502048423635</v>
      </c>
      <c r="P21" s="28">
        <v>422.5851461317086</v>
      </c>
      <c r="Q21" s="28">
        <f t="shared" si="0"/>
        <v>1000</v>
      </c>
      <c r="S21" s="23">
        <f t="shared" si="1"/>
        <v>34927.983338405451</v>
      </c>
      <c r="T21" s="23">
        <f t="shared" si="2"/>
        <v>456270.04096847272</v>
      </c>
      <c r="U21" s="23">
        <f t="shared" si="3"/>
        <v>491198.02430687816</v>
      </c>
      <c r="W21" s="23">
        <f t="shared" si="4"/>
        <v>144353.71346707284</v>
      </c>
      <c r="Y21" s="23">
        <f t="shared" si="5"/>
        <v>635551.73777395103</v>
      </c>
      <c r="AA21">
        <f t="shared" si="6"/>
        <v>296.88785837644633</v>
      </c>
      <c r="AB21">
        <f t="shared" si="7"/>
        <v>125.47426126633</v>
      </c>
      <c r="AC21">
        <f t="shared" si="8"/>
        <v>422.36211964277635</v>
      </c>
      <c r="AE21">
        <v>18</v>
      </c>
      <c r="AG21">
        <f t="array" ref="AG21:AI21">MMULT(AG20:AI20,$G$18:$I$20)</f>
        <v>437.22474578220198</v>
      </c>
      <c r="AH21">
        <v>249.47460810954712</v>
      </c>
      <c r="AI21">
        <v>313.30064610825144</v>
      </c>
      <c r="AL21" s="23">
        <f t="shared" si="9"/>
        <v>43722.474578220201</v>
      </c>
      <c r="AM21" s="23">
        <f t="shared" si="10"/>
        <v>498949.21621909423</v>
      </c>
      <c r="AN21" s="23">
        <f t="shared" si="11"/>
        <v>542671.6907973144</v>
      </c>
      <c r="AP21" s="23">
        <f t="shared" si="12"/>
        <v>2244161.2557561952</v>
      </c>
      <c r="AR21" s="23">
        <f t="shared" si="13"/>
        <v>2786832.9465535097</v>
      </c>
      <c r="AT21">
        <f t="shared" si="14"/>
        <v>371.64103391487168</v>
      </c>
      <c r="AU21">
        <f t="shared" si="15"/>
        <v>137.21103446025091</v>
      </c>
      <c r="AV21">
        <f t="shared" si="16"/>
        <v>508.8520683751226</v>
      </c>
    </row>
    <row r="22" spans="2:48" x14ac:dyDescent="0.35">
      <c r="B22" s="1" t="s">
        <v>7</v>
      </c>
      <c r="C22" s="1"/>
      <c r="D22" s="1"/>
      <c r="F22" s="1" t="s">
        <v>23</v>
      </c>
      <c r="L22">
        <v>19</v>
      </c>
      <c r="N22" s="28">
        <f t="array" ref="N22:P22">MMULT(N21:P21,$G$5:$I$7)</f>
        <v>328.32304338101119</v>
      </c>
      <c r="O22" s="28">
        <v>222.78551010501545</v>
      </c>
      <c r="P22" s="28">
        <v>448.89144651397277</v>
      </c>
      <c r="Q22" s="28">
        <f t="shared" si="0"/>
        <v>1000</v>
      </c>
      <c r="S22" s="23">
        <f t="shared" si="1"/>
        <v>32832.304338101116</v>
      </c>
      <c r="T22" s="23">
        <f t="shared" si="2"/>
        <v>445571.0202100309</v>
      </c>
      <c r="U22" s="23">
        <f t="shared" si="3"/>
        <v>478403.32454813202</v>
      </c>
      <c r="W22" s="23">
        <f t="shared" si="4"/>
        <v>137777.13837150679</v>
      </c>
      <c r="Y22" s="23">
        <f t="shared" si="5"/>
        <v>616180.46291963884</v>
      </c>
      <c r="AA22">
        <f t="shared" si="6"/>
        <v>279.07458687385952</v>
      </c>
      <c r="AB22">
        <f t="shared" si="7"/>
        <v>122.5320305577585</v>
      </c>
      <c r="AC22">
        <f t="shared" si="8"/>
        <v>401.60661743161802</v>
      </c>
      <c r="AE22">
        <v>19</v>
      </c>
      <c r="AG22">
        <f t="array" ref="AG22:AI22">MMULT(AG21:AI21,$G$18:$I$20)</f>
        <v>416.45657035754738</v>
      </c>
      <c r="AH22">
        <v>248.25300233261919</v>
      </c>
      <c r="AI22">
        <v>335.290427309834</v>
      </c>
      <c r="AL22" s="23">
        <f t="shared" si="9"/>
        <v>41645.657035754739</v>
      </c>
      <c r="AM22" s="23">
        <f t="shared" si="10"/>
        <v>496506.00466523838</v>
      </c>
      <c r="AN22" s="23">
        <f t="shared" si="11"/>
        <v>538151.66170099308</v>
      </c>
      <c r="AP22" s="23">
        <f t="shared" si="12"/>
        <v>2172297.7616150212</v>
      </c>
      <c r="AR22" s="23">
        <f t="shared" si="13"/>
        <v>2710449.423316014</v>
      </c>
      <c r="AT22">
        <f t="shared" si="14"/>
        <v>353.98808480391529</v>
      </c>
      <c r="AU22">
        <f t="shared" si="15"/>
        <v>136.53915128294057</v>
      </c>
      <c r="AV22">
        <f t="shared" si="16"/>
        <v>490.52723608685585</v>
      </c>
    </row>
    <row r="23" spans="2:48" x14ac:dyDescent="0.35">
      <c r="L23">
        <v>20</v>
      </c>
      <c r="N23" s="28">
        <f t="array" ref="N23:P23">MMULT(N22:P22,$G$5:$I$7)</f>
        <v>308.62366077815051</v>
      </c>
      <c r="O23" s="28">
        <v>216.92311126356446</v>
      </c>
      <c r="P23" s="28">
        <v>474.4532279582844</v>
      </c>
      <c r="Q23" s="28">
        <f t="shared" si="0"/>
        <v>1000</v>
      </c>
      <c r="S23" s="23">
        <f t="shared" si="1"/>
        <v>30862.366077815052</v>
      </c>
      <c r="T23" s="23">
        <f t="shared" si="2"/>
        <v>433846.22252712894</v>
      </c>
      <c r="U23" s="23">
        <f t="shared" si="3"/>
        <v>464708.588604944</v>
      </c>
      <c r="W23" s="23">
        <f t="shared" si="4"/>
        <v>131386.69301042889</v>
      </c>
      <c r="Y23" s="23">
        <f t="shared" si="5"/>
        <v>596095.28161537286</v>
      </c>
      <c r="AA23">
        <f t="shared" si="6"/>
        <v>262.33011166142791</v>
      </c>
      <c r="AB23">
        <f t="shared" si="7"/>
        <v>119.30771119496046</v>
      </c>
      <c r="AC23">
        <f t="shared" si="8"/>
        <v>381.63782285638837</v>
      </c>
      <c r="AE23">
        <v>20</v>
      </c>
      <c r="AG23">
        <f t="array" ref="AG23:AI23">MMULT(AG22:AI22,$G$18:$I$20)</f>
        <v>396.67488326556389</v>
      </c>
      <c r="AH23">
        <v>246.29228997197467</v>
      </c>
      <c r="AI23">
        <v>357.03282676246204</v>
      </c>
      <c r="AL23" s="23">
        <f t="shared" si="9"/>
        <v>39667.488326556391</v>
      </c>
      <c r="AM23" s="23">
        <f t="shared" si="10"/>
        <v>492584.57994394936</v>
      </c>
      <c r="AN23" s="23">
        <f t="shared" si="11"/>
        <v>532252.06827050576</v>
      </c>
      <c r="AP23" s="23">
        <f t="shared" si="12"/>
        <v>2101242.72103251</v>
      </c>
      <c r="AR23" s="23">
        <f t="shared" si="13"/>
        <v>2633494.7893030159</v>
      </c>
      <c r="AT23">
        <f t="shared" si="14"/>
        <v>337.1736507757293</v>
      </c>
      <c r="AU23">
        <f t="shared" si="15"/>
        <v>135.46075948458608</v>
      </c>
      <c r="AV23">
        <f t="shared" si="16"/>
        <v>472.63441026031535</v>
      </c>
    </row>
    <row r="24" spans="2:48" x14ac:dyDescent="0.35">
      <c r="B24" t="s">
        <v>9</v>
      </c>
      <c r="F24" t="s">
        <v>14</v>
      </c>
      <c r="G24" s="3" t="s">
        <v>15</v>
      </c>
      <c r="H24" s="4" t="s">
        <v>16</v>
      </c>
      <c r="L24">
        <v>21</v>
      </c>
      <c r="N24" s="28">
        <f t="array" ref="N24:P24">MMULT(N23:P23,$G$5:$I$7)</f>
        <v>290.10624113146145</v>
      </c>
      <c r="O24" s="28">
        <v>210.66198317611557</v>
      </c>
      <c r="P24" s="28">
        <v>499.23177569242233</v>
      </c>
      <c r="Q24" s="28">
        <f t="shared" si="0"/>
        <v>1000</v>
      </c>
      <c r="S24" s="23">
        <f t="shared" si="1"/>
        <v>29010.624113146143</v>
      </c>
      <c r="T24" s="23">
        <f t="shared" si="2"/>
        <v>421323.96635223116</v>
      </c>
      <c r="U24" s="23">
        <f t="shared" si="3"/>
        <v>450334.59046537732</v>
      </c>
      <c r="W24" s="23">
        <f t="shared" si="4"/>
        <v>125192.05607689441</v>
      </c>
      <c r="Y24" s="23">
        <f t="shared" si="5"/>
        <v>575526.64654227172</v>
      </c>
      <c r="AA24">
        <f t="shared" si="6"/>
        <v>246.59030496174222</v>
      </c>
      <c r="AB24">
        <f t="shared" si="7"/>
        <v>115.86409074686357</v>
      </c>
      <c r="AC24">
        <f t="shared" si="8"/>
        <v>362.45439570860577</v>
      </c>
      <c r="AE24">
        <v>21</v>
      </c>
      <c r="AG24">
        <f t="array" ref="AG24:AI24">MMULT(AG23:AI23,$G$18:$I$20)</f>
        <v>377.8328263104496</v>
      </c>
      <c r="AH24">
        <v>243.68736355469915</v>
      </c>
      <c r="AI24">
        <v>378.47981013485185</v>
      </c>
      <c r="AL24" s="23">
        <f t="shared" si="9"/>
        <v>37783.28263104496</v>
      </c>
      <c r="AM24" s="23">
        <f t="shared" si="10"/>
        <v>487374.72710939829</v>
      </c>
      <c r="AN24" s="23">
        <f t="shared" si="11"/>
        <v>525158.0097404432</v>
      </c>
      <c r="AP24" s="23">
        <f t="shared" si="12"/>
        <v>2031153.1121456027</v>
      </c>
      <c r="AR24" s="23">
        <f t="shared" si="13"/>
        <v>2556311.1218860457</v>
      </c>
      <c r="AT24">
        <f t="shared" si="14"/>
        <v>321.15790236388216</v>
      </c>
      <c r="AU24">
        <f t="shared" si="15"/>
        <v>134.02804995508455</v>
      </c>
      <c r="AV24">
        <f t="shared" si="16"/>
        <v>455.18595231896671</v>
      </c>
    </row>
    <row r="25" spans="2:48" x14ac:dyDescent="0.35">
      <c r="B25" t="s">
        <v>10</v>
      </c>
      <c r="F25" s="2" t="s">
        <v>12</v>
      </c>
      <c r="G25" s="14">
        <v>100</v>
      </c>
      <c r="H25" s="12">
        <v>0.85</v>
      </c>
      <c r="L25">
        <v>22</v>
      </c>
      <c r="N25" s="28">
        <f t="array" ref="N25:P25">MMULT(N24:P24,$G$5:$I$7)</f>
        <v>272.69986666357374</v>
      </c>
      <c r="O25" s="28">
        <v>204.10109691507708</v>
      </c>
      <c r="P25" s="28">
        <v>523.19903642134852</v>
      </c>
      <c r="Q25" s="28">
        <f t="shared" si="0"/>
        <v>1000</v>
      </c>
      <c r="S25" s="23">
        <f t="shared" si="1"/>
        <v>27269.986666357374</v>
      </c>
      <c r="T25" s="23">
        <f t="shared" si="2"/>
        <v>408202.19383015414</v>
      </c>
      <c r="U25" s="23">
        <f t="shared" si="3"/>
        <v>435472.18049651152</v>
      </c>
      <c r="W25" s="23">
        <f t="shared" si="4"/>
        <v>119200.24089466287</v>
      </c>
      <c r="Y25" s="23">
        <f t="shared" si="5"/>
        <v>554672.42139117443</v>
      </c>
      <c r="AA25">
        <f t="shared" si="6"/>
        <v>231.79488666403768</v>
      </c>
      <c r="AB25">
        <f t="shared" si="7"/>
        <v>112.2556033032924</v>
      </c>
      <c r="AC25">
        <f t="shared" si="8"/>
        <v>344.05048996733007</v>
      </c>
      <c r="AE25">
        <v>22</v>
      </c>
      <c r="AG25">
        <f t="array" ref="AG25:AI25">MMULT(AG24:AI24,$G$18:$I$20)</f>
        <v>359.88576706070324</v>
      </c>
      <c r="AH25">
        <v>240.5241243405147</v>
      </c>
      <c r="AI25">
        <v>399.59010859878265</v>
      </c>
      <c r="AL25" s="23">
        <f t="shared" si="9"/>
        <v>35988.576706070322</v>
      </c>
      <c r="AM25" s="23">
        <f t="shared" si="10"/>
        <v>481048.24868102942</v>
      </c>
      <c r="AN25" s="23">
        <f t="shared" si="11"/>
        <v>517036.82538709976</v>
      </c>
      <c r="AP25" s="23">
        <f t="shared" si="12"/>
        <v>1962163.8031536632</v>
      </c>
      <c r="AR25" s="23">
        <f t="shared" si="13"/>
        <v>2479200.6285407627</v>
      </c>
      <c r="AT25">
        <f t="shared" si="14"/>
        <v>305.90290200159774</v>
      </c>
      <c r="AU25">
        <f t="shared" si="15"/>
        <v>132.2882683872831</v>
      </c>
      <c r="AV25">
        <f t="shared" si="16"/>
        <v>438.19117038888083</v>
      </c>
    </row>
    <row r="26" spans="2:48" x14ac:dyDescent="0.35">
      <c r="B26" t="s">
        <v>8</v>
      </c>
      <c r="F26" t="s">
        <v>13</v>
      </c>
      <c r="G26" s="33">
        <v>2000</v>
      </c>
      <c r="H26" s="4">
        <v>0.55000000000000004</v>
      </c>
      <c r="L26">
        <v>23</v>
      </c>
      <c r="N26" s="28">
        <f t="array" ref="N26:P26">MMULT(N25:P25,$G$5:$I$7)</f>
        <v>256.33787466375929</v>
      </c>
      <c r="O26" s="28">
        <v>197.32598055674808</v>
      </c>
      <c r="P26" s="28">
        <v>546.33614477949197</v>
      </c>
      <c r="Q26" s="28">
        <f t="shared" si="0"/>
        <v>1000</v>
      </c>
      <c r="S26" s="23">
        <f t="shared" si="1"/>
        <v>25633.787466375928</v>
      </c>
      <c r="T26" s="23">
        <f t="shared" si="2"/>
        <v>394651.96111349616</v>
      </c>
      <c r="U26" s="23">
        <f t="shared" si="3"/>
        <v>420285.74857987207</v>
      </c>
      <c r="W26" s="23">
        <f t="shared" si="4"/>
        <v>113415.963805127</v>
      </c>
      <c r="Y26" s="23">
        <f t="shared" si="5"/>
        <v>533701.71238499903</v>
      </c>
      <c r="AA26">
        <f t="shared" si="6"/>
        <v>217.88719346419541</v>
      </c>
      <c r="AB26">
        <f t="shared" si="7"/>
        <v>108.52928930621145</v>
      </c>
      <c r="AC26">
        <f t="shared" si="8"/>
        <v>326.41648277040684</v>
      </c>
      <c r="AE26">
        <v>23</v>
      </c>
      <c r="AG26">
        <f t="array" ref="AG26:AI26">MMULT(AG25:AI25,$G$18:$I$20)</f>
        <v>342.79119312531986</v>
      </c>
      <c r="AH26">
        <v>236.88024569740423</v>
      </c>
      <c r="AI26">
        <v>420.32856117727653</v>
      </c>
      <c r="AL26" s="23">
        <f t="shared" si="9"/>
        <v>34279.119312531984</v>
      </c>
      <c r="AM26" s="23">
        <f t="shared" si="10"/>
        <v>473760.49139480846</v>
      </c>
      <c r="AN26" s="23">
        <f t="shared" si="11"/>
        <v>508039.61070734041</v>
      </c>
      <c r="AP26" s="23">
        <f t="shared" si="12"/>
        <v>1894389.7015512178</v>
      </c>
      <c r="AR26" s="23">
        <f t="shared" si="13"/>
        <v>2402429.3122585583</v>
      </c>
      <c r="AT26">
        <f t="shared" si="14"/>
        <v>291.3725141565219</v>
      </c>
      <c r="AU26">
        <f t="shared" si="15"/>
        <v>130.28413513357233</v>
      </c>
      <c r="AV26">
        <f t="shared" si="16"/>
        <v>421.65664929009426</v>
      </c>
    </row>
    <row r="27" spans="2:48" x14ac:dyDescent="0.35">
      <c r="F27" s="2" t="s">
        <v>8</v>
      </c>
      <c r="G27" s="13">
        <v>0</v>
      </c>
      <c r="H27" s="12">
        <v>0</v>
      </c>
      <c r="L27">
        <v>24</v>
      </c>
      <c r="N27" s="28">
        <f t="array" ref="N27:P27">MMULT(N26:P26,$G$5:$I$7)</f>
        <v>240.95760218393372</v>
      </c>
      <c r="O27" s="28">
        <v>190.41027623426123</v>
      </c>
      <c r="P27" s="28">
        <v>568.63212158180443</v>
      </c>
      <c r="Q27" s="28">
        <f t="shared" si="0"/>
        <v>1000</v>
      </c>
      <c r="S27" s="23">
        <f t="shared" si="1"/>
        <v>24095.76021839337</v>
      </c>
      <c r="T27" s="23">
        <f t="shared" si="2"/>
        <v>380820.55246852245</v>
      </c>
      <c r="U27" s="23">
        <f t="shared" si="3"/>
        <v>404916.3126869158</v>
      </c>
      <c r="W27" s="23">
        <f t="shared" si="4"/>
        <v>107841.9696045489</v>
      </c>
      <c r="Y27" s="23">
        <f t="shared" si="5"/>
        <v>512758.28229146468</v>
      </c>
      <c r="AA27">
        <f t="shared" si="6"/>
        <v>204.81396185634367</v>
      </c>
      <c r="AB27">
        <f t="shared" si="7"/>
        <v>104.72565192884369</v>
      </c>
      <c r="AC27">
        <f t="shared" si="8"/>
        <v>309.53961378518738</v>
      </c>
      <c r="AE27">
        <v>24</v>
      </c>
      <c r="AG27">
        <f t="array" ref="AG27:AI27">MMULT(AG26:AI26,$G$18:$I$20)</f>
        <v>326.50861145186718</v>
      </c>
      <c r="AH27">
        <v>232.82587499511172</v>
      </c>
      <c r="AI27">
        <v>440.66551355302175</v>
      </c>
      <c r="AL27" s="23">
        <f t="shared" si="9"/>
        <v>32650.861145186718</v>
      </c>
      <c r="AM27" s="23">
        <f t="shared" si="10"/>
        <v>465651.74999022344</v>
      </c>
      <c r="AN27" s="23">
        <f t="shared" si="11"/>
        <v>498302.61113541014</v>
      </c>
      <c r="AP27" s="23">
        <f t="shared" si="12"/>
        <v>1827927.7188463365</v>
      </c>
      <c r="AR27" s="23">
        <f t="shared" si="13"/>
        <v>2326230.3299817466</v>
      </c>
      <c r="AT27">
        <f t="shared" si="14"/>
        <v>277.53231973408708</v>
      </c>
      <c r="AU27">
        <f t="shared" si="15"/>
        <v>128.05423124731146</v>
      </c>
      <c r="AV27">
        <f t="shared" si="16"/>
        <v>405.58655098139855</v>
      </c>
    </row>
    <row r="28" spans="2:48" x14ac:dyDescent="0.35">
      <c r="B28" s="1" t="s">
        <v>11</v>
      </c>
      <c r="C28" s="1"/>
      <c r="D28" s="1"/>
      <c r="L28">
        <v>25</v>
      </c>
      <c r="N28" s="28">
        <f t="array" ref="N28:P28">MMULT(N27:P27,$G$5:$I$7)</f>
        <v>226.50014605289769</v>
      </c>
      <c r="O28" s="28">
        <v>183.4171287200318</v>
      </c>
      <c r="P28" s="28">
        <v>590.08272522706989</v>
      </c>
      <c r="Q28" s="28">
        <f t="shared" si="0"/>
        <v>1000</v>
      </c>
      <c r="S28" s="23">
        <f t="shared" si="1"/>
        <v>22650.014605289769</v>
      </c>
      <c r="T28" s="23">
        <f t="shared" si="2"/>
        <v>366834.25744006358</v>
      </c>
      <c r="U28" s="23">
        <f t="shared" si="3"/>
        <v>389484.27204535337</v>
      </c>
      <c r="W28" s="23">
        <f t="shared" si="4"/>
        <v>102479.31869323253</v>
      </c>
      <c r="Y28" s="23">
        <f t="shared" si="5"/>
        <v>491963.59073858592</v>
      </c>
      <c r="AA28">
        <f t="shared" si="6"/>
        <v>192.52512414496303</v>
      </c>
      <c r="AB28">
        <f t="shared" si="7"/>
        <v>100.8794207960175</v>
      </c>
      <c r="AC28">
        <f t="shared" si="8"/>
        <v>293.40454494098054</v>
      </c>
      <c r="AE28">
        <v>25</v>
      </c>
      <c r="AG28">
        <f t="array" ref="AG28:AI28">MMULT(AG27:AI27,$G$18:$I$20)</f>
        <v>310.9994524079035</v>
      </c>
      <c r="AH28">
        <v>228.42427882855304</v>
      </c>
      <c r="AI28">
        <v>460.57626876354414</v>
      </c>
      <c r="AL28" s="23">
        <f t="shared" si="9"/>
        <v>31099.945240790352</v>
      </c>
      <c r="AM28" s="23">
        <f t="shared" si="10"/>
        <v>456848.55765710608</v>
      </c>
      <c r="AN28" s="23">
        <f t="shared" si="11"/>
        <v>487948.50289789645</v>
      </c>
      <c r="AP28" s="23">
        <f t="shared" si="12"/>
        <v>1762858.5657110275</v>
      </c>
      <c r="AR28" s="23">
        <f t="shared" si="13"/>
        <v>2250807.0686089238</v>
      </c>
      <c r="AT28">
        <f t="shared" si="14"/>
        <v>264.34953454671796</v>
      </c>
      <c r="AU28">
        <f t="shared" si="15"/>
        <v>125.63335335570419</v>
      </c>
      <c r="AV28">
        <f t="shared" si="16"/>
        <v>389.98288790242214</v>
      </c>
    </row>
    <row r="29" spans="2:48" x14ac:dyDescent="0.35">
      <c r="L29">
        <v>26</v>
      </c>
      <c r="N29" s="28">
        <f t="array" ref="N29:P29">MMULT(N28:P28,$G$5:$I$7)</f>
        <v>212.91013728972382</v>
      </c>
      <c r="O29" s="28">
        <v>176.4004231506735</v>
      </c>
      <c r="P29" s="28">
        <v>610.68943955960208</v>
      </c>
      <c r="Q29" s="28">
        <f t="shared" si="0"/>
        <v>1000</v>
      </c>
      <c r="S29" s="23">
        <f t="shared" si="1"/>
        <v>21291.013728972383</v>
      </c>
      <c r="T29" s="23">
        <f t="shared" si="2"/>
        <v>352800.84630134702</v>
      </c>
      <c r="U29" s="23">
        <f t="shared" si="3"/>
        <v>374091.86003031943</v>
      </c>
      <c r="W29" s="23">
        <f t="shared" si="4"/>
        <v>97327.640110099484</v>
      </c>
      <c r="Y29" s="23">
        <f t="shared" si="5"/>
        <v>471419.50014041888</v>
      </c>
      <c r="AA29">
        <f t="shared" si="6"/>
        <v>180.97361669626525</v>
      </c>
      <c r="AB29">
        <f t="shared" si="7"/>
        <v>97.02023273287044</v>
      </c>
      <c r="AC29">
        <f t="shared" si="8"/>
        <v>277.99384942913571</v>
      </c>
      <c r="AE29">
        <v>26</v>
      </c>
      <c r="AG29">
        <f t="array" ref="AG29:AI29">MMULT(AG28:AI28,$G$18:$I$20)</f>
        <v>296.22697841852812</v>
      </c>
      <c r="AH29">
        <v>223.7324360127277</v>
      </c>
      <c r="AI29">
        <v>480.04058556874492</v>
      </c>
      <c r="AL29" s="23">
        <f t="shared" si="9"/>
        <v>29622.697841852812</v>
      </c>
      <c r="AM29" s="23">
        <f t="shared" si="10"/>
        <v>447464.87202545541</v>
      </c>
      <c r="AN29" s="23">
        <f t="shared" si="11"/>
        <v>477087.56986730819</v>
      </c>
      <c r="AP29" s="23">
        <f t="shared" si="12"/>
        <v>1699248.3913364031</v>
      </c>
      <c r="AR29" s="23">
        <f t="shared" si="13"/>
        <v>2176335.9612037111</v>
      </c>
      <c r="AT29">
        <f t="shared" si="14"/>
        <v>251.7929316557489</v>
      </c>
      <c r="AU29">
        <f t="shared" si="15"/>
        <v>123.05283980700024</v>
      </c>
      <c r="AV29">
        <f t="shared" si="16"/>
        <v>374.84577146274916</v>
      </c>
    </row>
    <row r="30" spans="2:48" x14ac:dyDescent="0.35">
      <c r="F30" s="1" t="s">
        <v>24</v>
      </c>
      <c r="L30">
        <v>27</v>
      </c>
      <c r="N30" s="28">
        <f t="array" ref="N30:P30">MMULT(N29:P29,$G$5:$I$7)</f>
        <v>200.13552905234039</v>
      </c>
      <c r="O30" s="28">
        <v>169.40588770009234</v>
      </c>
      <c r="P30" s="28">
        <v>630.45858324756671</v>
      </c>
      <c r="Q30" s="28">
        <f t="shared" si="0"/>
        <v>1000</v>
      </c>
      <c r="S30" s="23">
        <f t="shared" si="1"/>
        <v>20013.552905234039</v>
      </c>
      <c r="T30" s="23">
        <f t="shared" si="2"/>
        <v>338811.77540018468</v>
      </c>
      <c r="U30" s="23">
        <f t="shared" si="3"/>
        <v>358825.32830541872</v>
      </c>
      <c r="W30" s="23">
        <f t="shared" si="4"/>
        <v>92385.354188108322</v>
      </c>
      <c r="Y30" s="23">
        <f t="shared" si="5"/>
        <v>451210.68249352707</v>
      </c>
      <c r="AA30">
        <f t="shared" si="6"/>
        <v>170.11519969448932</v>
      </c>
      <c r="AB30">
        <f t="shared" si="7"/>
        <v>93.173238235050789</v>
      </c>
      <c r="AC30">
        <f t="shared" si="8"/>
        <v>263.28843792954012</v>
      </c>
      <c r="AE30">
        <v>27</v>
      </c>
      <c r="AG30">
        <f t="array" ref="AG30:AI30">MMULT(AG29:AI29,$G$18:$I$20)</f>
        <v>282.15619694364801</v>
      </c>
      <c r="AH30">
        <v>218.80158244851427</v>
      </c>
      <c r="AI30">
        <v>499.04222060783843</v>
      </c>
      <c r="AL30" s="23">
        <f t="shared" si="9"/>
        <v>28215.619694364803</v>
      </c>
      <c r="AM30" s="23">
        <f t="shared" si="10"/>
        <v>437603.16489702853</v>
      </c>
      <c r="AN30" s="23">
        <f t="shared" si="11"/>
        <v>465818.78459139331</v>
      </c>
      <c r="AP30" s="23">
        <f t="shared" si="12"/>
        <v>1637150.2796823254</v>
      </c>
      <c r="AR30" s="23">
        <f t="shared" si="13"/>
        <v>2102969.0642737187</v>
      </c>
      <c r="AT30">
        <f t="shared" si="14"/>
        <v>239.83276740210081</v>
      </c>
      <c r="AU30">
        <f t="shared" si="15"/>
        <v>120.34087034668286</v>
      </c>
      <c r="AV30">
        <f t="shared" si="16"/>
        <v>360.17363774878368</v>
      </c>
    </row>
    <row r="31" spans="2:48" x14ac:dyDescent="0.35">
      <c r="L31">
        <v>28</v>
      </c>
      <c r="N31" s="28">
        <f t="array" ref="N31:P31">MMULT(N30:P30,$G$5:$I$7)</f>
        <v>188.12739730919995</v>
      </c>
      <c r="O31" s="28">
        <v>162.47207538270013</v>
      </c>
      <c r="P31" s="28">
        <v>649.4005273080993</v>
      </c>
      <c r="Q31" s="28">
        <f t="shared" si="0"/>
        <v>1000</v>
      </c>
      <c r="S31" s="23">
        <f t="shared" si="1"/>
        <v>18812.739730919995</v>
      </c>
      <c r="T31" s="23">
        <f t="shared" si="2"/>
        <v>324944.15076540026</v>
      </c>
      <c r="U31" s="23">
        <f t="shared" si="3"/>
        <v>343756.89049632027</v>
      </c>
      <c r="W31" s="23">
        <f t="shared" si="4"/>
        <v>87649.86817297517</v>
      </c>
      <c r="Y31" s="23">
        <f t="shared" si="5"/>
        <v>431406.75866929546</v>
      </c>
      <c r="AA31">
        <f t="shared" si="6"/>
        <v>159.90828771281994</v>
      </c>
      <c r="AB31">
        <f t="shared" si="7"/>
        <v>89.359641460485079</v>
      </c>
      <c r="AC31">
        <f t="shared" si="8"/>
        <v>249.26792917330502</v>
      </c>
      <c r="AE31">
        <v>28</v>
      </c>
      <c r="AG31">
        <f t="array" ref="AG31:AI31">MMULT(AG30:AI30,$G$18:$I$20)</f>
        <v>268.75377758882473</v>
      </c>
      <c r="AH31">
        <v>213.67771164262163</v>
      </c>
      <c r="AI31">
        <v>517.56851076855435</v>
      </c>
      <c r="AL31" s="23">
        <f t="shared" si="9"/>
        <v>26875.377758882474</v>
      </c>
      <c r="AM31" s="23">
        <f t="shared" si="10"/>
        <v>427355.42328524328</v>
      </c>
      <c r="AN31" s="23">
        <f t="shared" si="11"/>
        <v>454230.80104412575</v>
      </c>
      <c r="AP31" s="23">
        <f t="shared" si="12"/>
        <v>1576605.6143117361</v>
      </c>
      <c r="AR31" s="23">
        <f t="shared" si="13"/>
        <v>2030836.4153558619</v>
      </c>
      <c r="AT31">
        <f t="shared" si="14"/>
        <v>228.44071095050103</v>
      </c>
      <c r="AU31">
        <f t="shared" si="15"/>
        <v>117.52274140344191</v>
      </c>
      <c r="AV31">
        <f t="shared" si="16"/>
        <v>345.96345235394296</v>
      </c>
    </row>
    <row r="32" spans="2:48" x14ac:dyDescent="0.35">
      <c r="H32" t="s">
        <v>25</v>
      </c>
      <c r="L32">
        <v>29</v>
      </c>
      <c r="N32" s="28">
        <f t="array" ref="N32:P32">MMULT(N31:P31,$G$5:$I$7)</f>
        <v>176.83975347064793</v>
      </c>
      <c r="O32" s="28">
        <v>155.63123770989012</v>
      </c>
      <c r="P32" s="28">
        <v>667.5290088194613</v>
      </c>
      <c r="Q32" s="28">
        <f t="shared" si="0"/>
        <v>1000</v>
      </c>
      <c r="S32" s="23">
        <f t="shared" si="1"/>
        <v>17683.975347064792</v>
      </c>
      <c r="T32" s="23">
        <f t="shared" si="2"/>
        <v>311262.47541978024</v>
      </c>
      <c r="U32" s="23">
        <f t="shared" si="3"/>
        <v>328946.45076684502</v>
      </c>
      <c r="W32" s="23">
        <f t="shared" si="4"/>
        <v>83117.747795134681</v>
      </c>
      <c r="Y32" s="23">
        <f t="shared" si="5"/>
        <v>412064.19856197969</v>
      </c>
      <c r="AA32">
        <f t="shared" si="6"/>
        <v>150.31379045005073</v>
      </c>
      <c r="AB32">
        <f t="shared" si="7"/>
        <v>85.597180740439569</v>
      </c>
      <c r="AC32">
        <f t="shared" si="8"/>
        <v>235.9109711904903</v>
      </c>
      <c r="AE32">
        <v>29</v>
      </c>
      <c r="AG32">
        <f t="array" ref="AG32:AI32">MMULT(AG31:AI31,$G$18:$I$20)</f>
        <v>255.98797315335557</v>
      </c>
      <c r="AH32">
        <v>208.40203437297799</v>
      </c>
      <c r="AI32">
        <v>535.60999247366715</v>
      </c>
      <c r="AL32" s="23">
        <f t="shared" si="9"/>
        <v>25598.797315335556</v>
      </c>
      <c r="AM32" s="23">
        <f t="shared" si="10"/>
        <v>416804.068745956</v>
      </c>
      <c r="AN32" s="23">
        <f t="shared" si="11"/>
        <v>442402.86606129154</v>
      </c>
      <c r="AP32" s="23">
        <f t="shared" si="12"/>
        <v>1517645.3225776753</v>
      </c>
      <c r="AR32" s="23">
        <f t="shared" si="13"/>
        <v>1960048.188638967</v>
      </c>
      <c r="AT32">
        <f t="shared" si="14"/>
        <v>217.58977718035223</v>
      </c>
      <c r="AU32">
        <f t="shared" si="15"/>
        <v>114.62111890513791</v>
      </c>
      <c r="AV32">
        <f t="shared" si="16"/>
        <v>332.21089608549016</v>
      </c>
    </row>
    <row r="33" spans="2:48" x14ac:dyDescent="0.35">
      <c r="F33" s="15" t="s">
        <v>1</v>
      </c>
      <c r="H33">
        <v>250</v>
      </c>
      <c r="L33">
        <v>30</v>
      </c>
      <c r="N33" s="28">
        <f t="array" ref="N33:P33">MMULT(N32:P32,$G$5:$I$7)</f>
        <v>166.22936826240905</v>
      </c>
      <c r="O33" s="28">
        <v>148.91010161243352</v>
      </c>
      <c r="P33" s="28">
        <v>684.86053012515674</v>
      </c>
      <c r="Q33" s="28">
        <f t="shared" si="0"/>
        <v>1000</v>
      </c>
      <c r="S33" s="23">
        <f t="shared" si="1"/>
        <v>16622.936826240904</v>
      </c>
      <c r="T33" s="23">
        <f t="shared" si="2"/>
        <v>297820.20322486706</v>
      </c>
      <c r="U33" s="23">
        <f t="shared" si="3"/>
        <v>314443.14005110797</v>
      </c>
      <c r="W33" s="23">
        <f t="shared" si="4"/>
        <v>78784.867468710814</v>
      </c>
      <c r="Y33" s="23">
        <f t="shared" si="5"/>
        <v>393228.00751981878</v>
      </c>
      <c r="AA33">
        <f t="shared" si="6"/>
        <v>141.2949630230477</v>
      </c>
      <c r="AB33">
        <f t="shared" si="7"/>
        <v>81.900555886838447</v>
      </c>
      <c r="AC33">
        <f t="shared" si="8"/>
        <v>223.19551890988615</v>
      </c>
      <c r="AE33">
        <v>30</v>
      </c>
      <c r="AG33">
        <f t="array" ref="AG33:AI33">MMULT(AG32:AI32,$G$18:$I$20)</f>
        <v>243.82854442857118</v>
      </c>
      <c r="AH33">
        <v>203.01140072113887</v>
      </c>
      <c r="AI33">
        <v>553.16005485029063</v>
      </c>
      <c r="AL33" s="23">
        <f t="shared" si="9"/>
        <v>24382.854442857119</v>
      </c>
      <c r="AM33" s="23">
        <f t="shared" si="10"/>
        <v>406022.80144227773</v>
      </c>
      <c r="AN33" s="23">
        <f t="shared" si="11"/>
        <v>430405.65588513482</v>
      </c>
      <c r="AP33" s="23">
        <f t="shared" si="12"/>
        <v>1460291.0090800519</v>
      </c>
      <c r="AR33" s="23">
        <f t="shared" si="13"/>
        <v>1890696.6649651867</v>
      </c>
      <c r="AT33">
        <f t="shared" si="14"/>
        <v>207.2542627642855</v>
      </c>
      <c r="AU33">
        <f t="shared" si="15"/>
        <v>111.65627039662638</v>
      </c>
      <c r="AV33">
        <f t="shared" si="16"/>
        <v>318.91053316091188</v>
      </c>
    </row>
    <row r="34" spans="2:48" x14ac:dyDescent="0.35">
      <c r="L34">
        <v>31</v>
      </c>
      <c r="N34" s="28">
        <f t="array" ref="N34:P34">MMULT(N33:P33,$G$5:$I$7)</f>
        <v>156.25560616666451</v>
      </c>
      <c r="O34" s="28">
        <v>142.33055986431063</v>
      </c>
      <c r="P34" s="28">
        <v>701.41383396902415</v>
      </c>
      <c r="Q34" s="28">
        <f t="shared" si="0"/>
        <v>1000</v>
      </c>
      <c r="S34" s="23">
        <f t="shared" si="1"/>
        <v>15625.560616666451</v>
      </c>
      <c r="T34" s="23">
        <f t="shared" si="2"/>
        <v>284661.11972862127</v>
      </c>
      <c r="U34" s="23">
        <f t="shared" si="3"/>
        <v>300286.68034528772</v>
      </c>
      <c r="W34" s="23">
        <f t="shared" si="4"/>
        <v>74646.541507743968</v>
      </c>
      <c r="Y34" s="23">
        <f t="shared" si="5"/>
        <v>374933.22185303166</v>
      </c>
      <c r="AA34">
        <f t="shared" si="6"/>
        <v>132.81726524166481</v>
      </c>
      <c r="AB34">
        <f t="shared" si="7"/>
        <v>78.281807925370856</v>
      </c>
      <c r="AC34">
        <f t="shared" si="8"/>
        <v>211.09907316703567</v>
      </c>
      <c r="AE34">
        <v>31</v>
      </c>
      <c r="AG34">
        <f t="array" ref="AG34:AI34">MMULT(AG33:AI33,$G$18:$I$20)</f>
        <v>232.24668856821404</v>
      </c>
      <c r="AH34">
        <v>197.53868744419631</v>
      </c>
      <c r="AI34">
        <v>570.21462398759036</v>
      </c>
      <c r="AL34" s="23">
        <f t="shared" si="9"/>
        <v>23224.668856821405</v>
      </c>
      <c r="AM34" s="23">
        <f t="shared" si="10"/>
        <v>395077.37488839263</v>
      </c>
      <c r="AN34" s="23">
        <f t="shared" si="11"/>
        <v>418302.04374521406</v>
      </c>
      <c r="AP34" s="23">
        <f t="shared" si="12"/>
        <v>1404555.987524204</v>
      </c>
      <c r="AR34" s="23">
        <f t="shared" si="13"/>
        <v>1822858.0312694181</v>
      </c>
      <c r="AT34">
        <f t="shared" si="14"/>
        <v>197.40968528298194</v>
      </c>
      <c r="AU34">
        <f t="shared" si="15"/>
        <v>108.64627809430799</v>
      </c>
      <c r="AV34">
        <f t="shared" si="16"/>
        <v>306.05596337728991</v>
      </c>
    </row>
    <row r="35" spans="2:48" x14ac:dyDescent="0.35">
      <c r="F35" s="16" t="s">
        <v>2</v>
      </c>
      <c r="H35">
        <v>3268.0404358003302</v>
      </c>
      <c r="L35">
        <v>32</v>
      </c>
      <c r="N35" s="28">
        <f t="array" ref="N35:P35">MMULT(N34:P34,$G$5:$I$7)</f>
        <v>146.88026979666463</v>
      </c>
      <c r="O35" s="28">
        <v>135.91028418621281</v>
      </c>
      <c r="P35" s="28">
        <v>717.20944601712188</v>
      </c>
      <c r="Q35" s="28">
        <f t="shared" si="0"/>
        <v>1000</v>
      </c>
      <c r="S35" s="23">
        <f t="shared" si="1"/>
        <v>14688.026979666463</v>
      </c>
      <c r="T35" s="23">
        <f t="shared" si="2"/>
        <v>271820.56837242562</v>
      </c>
      <c r="U35" s="23">
        <f t="shared" si="3"/>
        <v>286508.59535209206</v>
      </c>
      <c r="W35" s="23">
        <f t="shared" si="4"/>
        <v>70697.638495719526</v>
      </c>
      <c r="Y35" s="23">
        <f t="shared" si="5"/>
        <v>357206.23384781159</v>
      </c>
      <c r="AA35">
        <f t="shared" si="6"/>
        <v>124.84822932716493</v>
      </c>
      <c r="AB35">
        <f t="shared" si="7"/>
        <v>74.750656302417056</v>
      </c>
      <c r="AC35">
        <f t="shared" si="8"/>
        <v>199.59888562958199</v>
      </c>
      <c r="AE35">
        <v>32</v>
      </c>
      <c r="AG35">
        <f t="array" ref="AG35:AI35">MMULT(AG34:AI34,$G$18:$I$20)</f>
        <v>221.21497086122389</v>
      </c>
      <c r="AH35">
        <v>192.01315342861017</v>
      </c>
      <c r="AI35">
        <v>586.77187571016668</v>
      </c>
      <c r="AL35" s="23">
        <f t="shared" si="9"/>
        <v>22121.497086122388</v>
      </c>
      <c r="AM35" s="23">
        <f t="shared" si="10"/>
        <v>384026.30685722036</v>
      </c>
      <c r="AN35" s="23">
        <f t="shared" si="11"/>
        <v>406147.80394334276</v>
      </c>
      <c r="AP35" s="23">
        <f t="shared" si="12"/>
        <v>1350446.2193890999</v>
      </c>
      <c r="AR35" s="23">
        <f t="shared" si="13"/>
        <v>1756594.0233324426</v>
      </c>
      <c r="AT35">
        <f t="shared" si="14"/>
        <v>188.03272523204029</v>
      </c>
      <c r="AU35">
        <f t="shared" si="15"/>
        <v>105.60723438573559</v>
      </c>
      <c r="AV35">
        <f t="shared" si="16"/>
        <v>293.6399596177759</v>
      </c>
    </row>
    <row r="36" spans="2:48" x14ac:dyDescent="0.35">
      <c r="L36">
        <v>33</v>
      </c>
      <c r="N36" s="28">
        <f t="array" ref="N36:P36">MMULT(N35:P35,$G$5:$I$7)</f>
        <v>138.06745360886475</v>
      </c>
      <c r="O36" s="28">
        <v>129.66326925742476</v>
      </c>
      <c r="P36" s="28">
        <v>732.26927713370981</v>
      </c>
      <c r="Q36" s="28">
        <f t="shared" si="0"/>
        <v>1000</v>
      </c>
      <c r="S36" s="23">
        <f t="shared" si="1"/>
        <v>13806.745360886474</v>
      </c>
      <c r="T36" s="23">
        <f t="shared" si="2"/>
        <v>259326.53851484953</v>
      </c>
      <c r="U36" s="23">
        <f t="shared" si="3"/>
        <v>273133.283875736</v>
      </c>
      <c r="W36" s="23">
        <f t="shared" si="4"/>
        <v>66932.680716572548</v>
      </c>
      <c r="Y36" s="23">
        <f t="shared" si="5"/>
        <v>340065.96459230856</v>
      </c>
      <c r="AA36">
        <f t="shared" si="6"/>
        <v>117.35733556753503</v>
      </c>
      <c r="AB36">
        <f t="shared" si="7"/>
        <v>71.314798091583626</v>
      </c>
      <c r="AC36">
        <f t="shared" si="8"/>
        <v>188.67213365911866</v>
      </c>
      <c r="AE36">
        <v>33</v>
      </c>
      <c r="AG36">
        <f t="array" ref="AG36:AI36">MMULT(AG35:AI35,$G$18:$I$20)</f>
        <v>210.70725974531575</v>
      </c>
      <c r="AH36">
        <v>186.46076575591337</v>
      </c>
      <c r="AI36">
        <v>602.83197449877161</v>
      </c>
      <c r="AL36" s="23">
        <f t="shared" si="9"/>
        <v>21070.725974531575</v>
      </c>
      <c r="AM36" s="23">
        <f t="shared" si="10"/>
        <v>372921.53151182673</v>
      </c>
      <c r="AN36" s="23">
        <f t="shared" si="11"/>
        <v>393992.25748635828</v>
      </c>
      <c r="AP36" s="23">
        <f t="shared" si="12"/>
        <v>1297961.167144991</v>
      </c>
      <c r="AR36" s="23">
        <f t="shared" si="13"/>
        <v>1691953.4246313493</v>
      </c>
      <c r="AT36">
        <f t="shared" si="14"/>
        <v>179.1011707835184</v>
      </c>
      <c r="AU36">
        <f t="shared" si="15"/>
        <v>102.55342116575237</v>
      </c>
      <c r="AV36">
        <f t="shared" si="16"/>
        <v>281.65459194927075</v>
      </c>
    </row>
    <row r="37" spans="2:48" x14ac:dyDescent="0.35">
      <c r="L37">
        <v>34</v>
      </c>
      <c r="N37" s="28">
        <f t="array" ref="N37:P37">MMULT(N36:P36,$G$5:$I$7)</f>
        <v>129.78340639233286</v>
      </c>
      <c r="O37" s="28">
        <v>123.60031501212552</v>
      </c>
      <c r="P37" s="28">
        <v>746.61627859554096</v>
      </c>
      <c r="Q37" s="28">
        <f t="shared" si="0"/>
        <v>1000</v>
      </c>
      <c r="S37" s="23">
        <f t="shared" si="1"/>
        <v>12978.340639233287</v>
      </c>
      <c r="T37" s="23">
        <f t="shared" si="2"/>
        <v>247200.63002425103</v>
      </c>
      <c r="U37" s="23">
        <f t="shared" si="3"/>
        <v>260178.97066348433</v>
      </c>
      <c r="W37" s="23">
        <f t="shared" si="4"/>
        <v>63345.930351114759</v>
      </c>
      <c r="Y37" s="23">
        <f t="shared" si="5"/>
        <v>323524.90101459908</v>
      </c>
      <c r="AA37">
        <f t="shared" si="6"/>
        <v>110.31589543348294</v>
      </c>
      <c r="AB37">
        <f t="shared" si="7"/>
        <v>67.980173256669048</v>
      </c>
      <c r="AC37">
        <f t="shared" si="8"/>
        <v>178.29606869015197</v>
      </c>
      <c r="AE37">
        <v>34</v>
      </c>
      <c r="AG37">
        <f t="array" ref="AG37:AI37">MMULT(AG36:AI36,$G$18:$I$20)</f>
        <v>200.69866490741325</v>
      </c>
      <c r="AH37">
        <v>180.90449871403251</v>
      </c>
      <c r="AI37">
        <v>618.39683637855501</v>
      </c>
      <c r="AL37" s="23">
        <f t="shared" si="9"/>
        <v>20069.866490741326</v>
      </c>
      <c r="AM37" s="23">
        <f t="shared" si="10"/>
        <v>361808.99742806505</v>
      </c>
      <c r="AN37" s="23">
        <f t="shared" si="11"/>
        <v>381878.86391880637</v>
      </c>
      <c r="AP37" s="23">
        <f t="shared" si="12"/>
        <v>1247094.5691442117</v>
      </c>
      <c r="AR37" s="23">
        <f t="shared" si="13"/>
        <v>1628973.4330630181</v>
      </c>
      <c r="AT37">
        <f t="shared" si="14"/>
        <v>170.59386517130125</v>
      </c>
      <c r="AU37">
        <f t="shared" si="15"/>
        <v>99.497474292717897</v>
      </c>
      <c r="AV37">
        <f t="shared" si="16"/>
        <v>270.09133946401914</v>
      </c>
    </row>
    <row r="38" spans="2:48" x14ac:dyDescent="0.35">
      <c r="F38" s="1" t="s">
        <v>31</v>
      </c>
      <c r="L38">
        <v>35</v>
      </c>
      <c r="N38" s="28">
        <f t="array" ref="N38:P38">MMULT(N37:P37,$G$5:$I$7)</f>
        <v>121.99640200879288</v>
      </c>
      <c r="O38" s="28">
        <v>117.72945383052962</v>
      </c>
      <c r="P38" s="28">
        <v>760.27414416067688</v>
      </c>
      <c r="Q38" s="28">
        <f t="shared" si="0"/>
        <v>1000</v>
      </c>
      <c r="S38" s="23">
        <f t="shared" si="1"/>
        <v>12199.640200879288</v>
      </c>
      <c r="T38" s="23">
        <f t="shared" si="2"/>
        <v>235458.90766105923</v>
      </c>
      <c r="U38" s="23">
        <f t="shared" si="3"/>
        <v>247658.54786193851</v>
      </c>
      <c r="W38" s="23">
        <f t="shared" si="4"/>
        <v>59931.463959830777</v>
      </c>
      <c r="Y38" s="23">
        <f t="shared" si="5"/>
        <v>307590.01182176929</v>
      </c>
      <c r="AA38">
        <f t="shared" si="6"/>
        <v>103.69694170747395</v>
      </c>
      <c r="AB38">
        <f t="shared" si="7"/>
        <v>64.751199606791303</v>
      </c>
      <c r="AC38">
        <f t="shared" si="8"/>
        <v>168.44814131426526</v>
      </c>
      <c r="AE38">
        <v>35</v>
      </c>
      <c r="AG38">
        <f t="array" ref="AG38:AI38">MMULT(AG37:AI37,$G$18:$I$20)</f>
        <v>191.16547832431112</v>
      </c>
      <c r="AH38">
        <v>175.36460790677663</v>
      </c>
      <c r="AI38">
        <v>633.4699137689131</v>
      </c>
      <c r="AL38" s="23">
        <f t="shared" si="9"/>
        <v>19116.547832431112</v>
      </c>
      <c r="AM38" s="23">
        <f t="shared" si="10"/>
        <v>350729.21581355325</v>
      </c>
      <c r="AN38" s="23">
        <f t="shared" si="11"/>
        <v>369845.76364598435</v>
      </c>
      <c r="AP38" s="23">
        <f t="shared" si="12"/>
        <v>1197835.1427405737</v>
      </c>
      <c r="AR38" s="23">
        <f t="shared" si="13"/>
        <v>1567680.906386558</v>
      </c>
      <c r="AT38">
        <f t="shared" si="14"/>
        <v>162.49065657566445</v>
      </c>
      <c r="AU38">
        <f t="shared" si="15"/>
        <v>96.450534348727146</v>
      </c>
      <c r="AV38">
        <f t="shared" si="16"/>
        <v>258.94119092439161</v>
      </c>
    </row>
    <row r="39" spans="2:48" x14ac:dyDescent="0.35">
      <c r="G39" s="35" t="s">
        <v>32</v>
      </c>
      <c r="H39" s="35" t="s">
        <v>33</v>
      </c>
      <c r="I39" s="35" t="s">
        <v>43</v>
      </c>
      <c r="L39">
        <v>36</v>
      </c>
      <c r="N39" s="28">
        <f t="array" ref="N39:P39">MMULT(N38:P38,$G$5:$I$7)</f>
        <v>114.6766178882653</v>
      </c>
      <c r="O39" s="28">
        <v>112.05632854791631</v>
      </c>
      <c r="P39" s="28">
        <v>773.26705356381774</v>
      </c>
      <c r="Q39" s="28">
        <f t="shared" si="0"/>
        <v>1000</v>
      </c>
      <c r="S39" s="23">
        <f t="shared" si="1"/>
        <v>11467.66178882653</v>
      </c>
      <c r="T39" s="23">
        <f t="shared" si="2"/>
        <v>224112.6570958326</v>
      </c>
      <c r="U39" s="23">
        <f t="shared" si="3"/>
        <v>235580.31888465912</v>
      </c>
      <c r="W39" s="23">
        <f t="shared" si="4"/>
        <v>56683.236609045562</v>
      </c>
      <c r="Y39" s="23">
        <f t="shared" si="5"/>
        <v>292263.55549370468</v>
      </c>
      <c r="AA39">
        <f t="shared" si="6"/>
        <v>97.475125205025506</v>
      </c>
      <c r="AB39">
        <f t="shared" si="7"/>
        <v>61.630980701353977</v>
      </c>
      <c r="AC39">
        <f t="shared" si="8"/>
        <v>159.10610590637947</v>
      </c>
      <c r="AE39">
        <v>36</v>
      </c>
      <c r="AG39">
        <f t="array" ref="AG39:AI39">MMULT(AG38:AI38,$G$18:$I$20)</f>
        <v>182.08511810390635</v>
      </c>
      <c r="AH39">
        <v>169.85888144674084</v>
      </c>
      <c r="AI39">
        <v>648.05600044935363</v>
      </c>
      <c r="AL39" s="23">
        <f t="shared" si="9"/>
        <v>18208.511810390635</v>
      </c>
      <c r="AM39" s="23">
        <f t="shared" si="10"/>
        <v>339717.7628934817</v>
      </c>
      <c r="AN39" s="23">
        <f t="shared" si="11"/>
        <v>357926.27470387233</v>
      </c>
      <c r="AP39" s="23">
        <f t="shared" si="12"/>
        <v>1150167.2216688055</v>
      </c>
      <c r="AR39" s="23">
        <f t="shared" si="13"/>
        <v>1508093.4963726779</v>
      </c>
      <c r="AT39">
        <f t="shared" si="14"/>
        <v>154.7723503883204</v>
      </c>
      <c r="AU39">
        <f t="shared" si="15"/>
        <v>93.422384795707472</v>
      </c>
      <c r="AV39">
        <f t="shared" si="16"/>
        <v>248.19473518402788</v>
      </c>
    </row>
    <row r="40" spans="2:48" x14ac:dyDescent="0.35">
      <c r="F40" s="36" t="s">
        <v>1</v>
      </c>
      <c r="G40" s="34">
        <f>Y41</f>
        <v>19535.195973412392</v>
      </c>
      <c r="H40" s="51">
        <f>AC41</f>
        <v>16.142609713487854</v>
      </c>
      <c r="I40" s="34">
        <f>($B$45*H40)-G40</f>
        <v>464743.09543122328</v>
      </c>
    </row>
    <row r="41" spans="2:48" x14ac:dyDescent="0.35">
      <c r="F41" s="37" t="s">
        <v>2</v>
      </c>
      <c r="G41" s="34">
        <f>AR41</f>
        <v>95951.886430426559</v>
      </c>
      <c r="H41" s="51">
        <f>AV41</f>
        <v>18.689917638985843</v>
      </c>
      <c r="I41" s="34">
        <f>($B$45*H41)-G41</f>
        <v>464745.64273914875</v>
      </c>
      <c r="S41" s="23">
        <f t="shared" ref="S41:T41" si="17">SUM(S4:S39)/$N$4</f>
        <v>1487.0066319750492</v>
      </c>
      <c r="T41" s="23">
        <f t="shared" si="17"/>
        <v>12738.375787999741</v>
      </c>
      <c r="U41" s="23">
        <f>SUM(U4:U39)/$N$4</f>
        <v>14225.382419974794</v>
      </c>
      <c r="W41" s="23">
        <f>SUM(W4:W39)/$N$4</f>
        <v>5309.8135534375961</v>
      </c>
      <c r="Y41" s="26">
        <f>SUM(Y4:Y39)/N4</f>
        <v>19535.195973412392</v>
      </c>
      <c r="AA41" s="25">
        <f t="shared" ref="AA41" si="18">SUM(AA4:AA39)/$N$4</f>
        <v>12.639556371787924</v>
      </c>
      <c r="AB41" s="25">
        <f>SUM(AB4:AB39)/$N$4</f>
        <v>3.5030533416999283</v>
      </c>
      <c r="AC41" s="27">
        <f>SUM(AC4:AC39)/$N$4</f>
        <v>16.142609713487854</v>
      </c>
      <c r="AD41" s="27"/>
      <c r="AE41" s="27"/>
      <c r="AL41" s="30">
        <f t="shared" ref="AL41:AM41" si="19">SUM(AL4:AL39)/$AG$4</f>
        <v>1740.1345789600623</v>
      </c>
      <c r="AM41" s="30">
        <f t="shared" si="19"/>
        <v>14177.358973910235</v>
      </c>
      <c r="AP41" s="30">
        <f>SUM(AP4:AP39)/$AG$4</f>
        <v>80034.392877556267</v>
      </c>
      <c r="AR41" s="26">
        <f>SUM(AR4:AR39)/$AG$4</f>
        <v>95951.886430426559</v>
      </c>
      <c r="AV41" s="1">
        <f>SUM(AV4:AV39)/$AG$4</f>
        <v>18.689917638985843</v>
      </c>
    </row>
    <row r="42" spans="2:48" x14ac:dyDescent="0.35">
      <c r="F42" s="38" t="s">
        <v>34</v>
      </c>
      <c r="G42" s="34">
        <f>G41-G40</f>
        <v>76416.690457014163</v>
      </c>
      <c r="H42" s="51">
        <f>H41-H40</f>
        <v>2.5473079254979893</v>
      </c>
      <c r="I42" s="34">
        <f>I41-I40</f>
        <v>2.547307925473433</v>
      </c>
    </row>
    <row r="43" spans="2:48" x14ac:dyDescent="0.35">
      <c r="B43" s="1" t="s">
        <v>44</v>
      </c>
      <c r="W43" s="23"/>
      <c r="AB43" s="25"/>
    </row>
    <row r="44" spans="2:48" x14ac:dyDescent="0.35">
      <c r="F44" s="31" t="s">
        <v>35</v>
      </c>
      <c r="G44" s="32">
        <f>(G41-G40)/(H41-H40)</f>
        <v>29998.999999999993</v>
      </c>
      <c r="I44" s="30"/>
      <c r="J44" s="28"/>
    </row>
    <row r="45" spans="2:48" x14ac:dyDescent="0.35">
      <c r="B45">
        <v>30000</v>
      </c>
      <c r="J45" s="30"/>
    </row>
    <row r="46" spans="2:48" x14ac:dyDescent="0.35">
      <c r="F46" t="s">
        <v>52</v>
      </c>
    </row>
    <row r="58" spans="1:2" x14ac:dyDescent="0.35">
      <c r="A58" t="s">
        <v>53</v>
      </c>
      <c r="B58" t="s">
        <v>56</v>
      </c>
    </row>
    <row r="60" spans="1:2" x14ac:dyDescent="0.35">
      <c r="A60" t="s">
        <v>54</v>
      </c>
      <c r="B60" t="s">
        <v>57</v>
      </c>
    </row>
    <row r="62" spans="1:2" x14ac:dyDescent="0.35">
      <c r="A62" t="s">
        <v>55</v>
      </c>
      <c r="B62" t="s">
        <v>58</v>
      </c>
    </row>
  </sheetData>
  <mergeCells count="2">
    <mergeCell ref="B16:B17"/>
    <mergeCell ref="B19:B20"/>
  </mergeCells>
  <conditionalFormatting sqref="Q4:Q39">
    <cfRule type="cellIs" dxfId="0" priority="1" operator="equal">
      <formula>1000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E592-D9F1-4B49-B513-3F328DE3636A}">
  <dimension ref="A1:K37"/>
  <sheetViews>
    <sheetView tabSelected="1" workbookViewId="0">
      <selection activeCell="J34" sqref="J34"/>
    </sheetView>
  </sheetViews>
  <sheetFormatPr defaultRowHeight="14.5" x14ac:dyDescent="0.35"/>
  <cols>
    <col min="10" max="11" width="11.1796875" bestFit="1" customWidth="1"/>
  </cols>
  <sheetData>
    <row r="1" spans="1:11" x14ac:dyDescent="0.35">
      <c r="A1" t="s">
        <v>17</v>
      </c>
      <c r="B1" t="s">
        <v>36</v>
      </c>
      <c r="C1" t="s">
        <v>37</v>
      </c>
      <c r="E1" t="s">
        <v>17</v>
      </c>
      <c r="F1" t="s">
        <v>38</v>
      </c>
      <c r="G1" t="s">
        <v>39</v>
      </c>
      <c r="J1" t="s">
        <v>1</v>
      </c>
      <c r="K1" t="s">
        <v>2</v>
      </c>
    </row>
    <row r="2" spans="1:11" x14ac:dyDescent="0.35">
      <c r="A2">
        <v>1</v>
      </c>
      <c r="B2" s="28">
        <f>MARKOV!N4</f>
        <v>1000</v>
      </c>
      <c r="C2">
        <f>MARKOV!AG4</f>
        <v>1000</v>
      </c>
      <c r="E2">
        <v>1</v>
      </c>
      <c r="F2" s="28">
        <f>1000-MARKOV!P4</f>
        <v>1000</v>
      </c>
      <c r="G2">
        <f>1000-MARKOV!AI4</f>
        <v>1000</v>
      </c>
      <c r="I2" t="s">
        <v>41</v>
      </c>
      <c r="J2" s="23">
        <f>MARKOV!S41</f>
        <v>1487.0066319750492</v>
      </c>
      <c r="K2" s="23">
        <f>MARKOV!AL41</f>
        <v>1740.1345789600623</v>
      </c>
    </row>
    <row r="3" spans="1:11" x14ac:dyDescent="0.35">
      <c r="A3">
        <v>2</v>
      </c>
      <c r="B3" s="28">
        <f>MARKOV!N5</f>
        <v>940</v>
      </c>
      <c r="C3">
        <f>MARKOV!AG5</f>
        <v>952.5</v>
      </c>
      <c r="E3">
        <v>2</v>
      </c>
      <c r="F3" s="28">
        <f>1000-MARKOV!P5</f>
        <v>990</v>
      </c>
      <c r="G3">
        <f>1000-MARKOV!AI5</f>
        <v>992.5</v>
      </c>
      <c r="I3" t="s">
        <v>42</v>
      </c>
      <c r="J3" s="23">
        <f>MARKOV!T41</f>
        <v>12738.375787999741</v>
      </c>
      <c r="K3" s="23">
        <f>MARKOV!AM41</f>
        <v>14177.358973910235</v>
      </c>
    </row>
    <row r="4" spans="1:11" x14ac:dyDescent="0.35">
      <c r="A4">
        <v>3</v>
      </c>
      <c r="B4" s="28">
        <f>MARKOV!N6</f>
        <v>883.59999999999991</v>
      </c>
      <c r="C4">
        <f>MARKOV!AG6</f>
        <v>907.25625000000002</v>
      </c>
      <c r="E4">
        <v>3</v>
      </c>
      <c r="F4" s="28">
        <f>1000-MARKOV!P6</f>
        <v>975.6</v>
      </c>
      <c r="G4">
        <f>1000-MARKOV!AI6</f>
        <v>982.35625000000005</v>
      </c>
      <c r="I4" t="s">
        <v>27</v>
      </c>
      <c r="J4" s="23">
        <f>MARKOV!W41</f>
        <v>5309.8135534375961</v>
      </c>
      <c r="K4" s="23">
        <f>MARKOV!AP41</f>
        <v>80034.392877556267</v>
      </c>
    </row>
    <row r="5" spans="1:11" x14ac:dyDescent="0.35">
      <c r="A5">
        <v>4</v>
      </c>
      <c r="B5" s="28">
        <f>MARKOV!N7</f>
        <v>830.58399999999983</v>
      </c>
      <c r="C5">
        <f>MARKOV!AG7</f>
        <v>864.16157812500001</v>
      </c>
      <c r="E5">
        <v>4</v>
      </c>
      <c r="F5" s="28">
        <f>1000-MARKOV!P7</f>
        <v>957.56399999999996</v>
      </c>
      <c r="G5">
        <f>1000-MARKOV!AI7</f>
        <v>969.91932812499999</v>
      </c>
    </row>
    <row r="6" spans="1:11" x14ac:dyDescent="0.35">
      <c r="A6">
        <v>5</v>
      </c>
      <c r="B6" s="28">
        <f>MARKOV!N8</f>
        <v>780.74895999999978</v>
      </c>
      <c r="C6">
        <f>MARKOV!AG8</f>
        <v>823.11390316406255</v>
      </c>
      <c r="E6">
        <v>5</v>
      </c>
      <c r="F6" s="28">
        <f>1000-MARKOV!P8</f>
        <v>936.56016</v>
      </c>
      <c r="G6">
        <f>1000-MARKOV!AI8</f>
        <v>955.5062850390625</v>
      </c>
    </row>
    <row r="7" spans="1:11" x14ac:dyDescent="0.35">
      <c r="A7">
        <v>6</v>
      </c>
      <c r="B7" s="28">
        <f>MARKOV!N9</f>
        <v>733.9040223999998</v>
      </c>
      <c r="C7">
        <f>MARKOV!AG9</f>
        <v>784.01599276376965</v>
      </c>
      <c r="E7">
        <v>6</v>
      </c>
      <c r="F7" s="28">
        <f>1000-MARKOV!P9</f>
        <v>913.1715504</v>
      </c>
      <c r="G7">
        <f>1000-MARKOV!AI9</f>
        <v>939.40350212470707</v>
      </c>
    </row>
    <row r="8" spans="1:11" x14ac:dyDescent="0.35">
      <c r="A8">
        <v>7</v>
      </c>
      <c r="B8" s="28">
        <f>MARKOV!N10</f>
        <v>689.86978105599974</v>
      </c>
      <c r="C8">
        <f>MARKOV!AG10</f>
        <v>746.77523310749064</v>
      </c>
      <c r="E8">
        <v>7</v>
      </c>
      <c r="F8" s="28">
        <f>1000-MARKOV!P10</f>
        <v>887.905757376</v>
      </c>
      <c r="G8">
        <f>1000-MARKOV!AI10</f>
        <v>921.8693189769084</v>
      </c>
    </row>
    <row r="9" spans="1:11" x14ac:dyDescent="0.35">
      <c r="A9">
        <v>8</v>
      </c>
      <c r="B9" s="28">
        <f>MARKOV!N11</f>
        <v>648.47759419263969</v>
      </c>
      <c r="C9">
        <f>MARKOV!AG11</f>
        <v>711.30340953488485</v>
      </c>
      <c r="E9">
        <v>8</v>
      </c>
      <c r="F9" s="28">
        <f>1000-MARKOV!P11</f>
        <v>861.20346193343994</v>
      </c>
      <c r="G9">
        <f>1000-MARKOV!AI11</f>
        <v>903.13644828839585</v>
      </c>
    </row>
    <row r="10" spans="1:11" x14ac:dyDescent="0.35">
      <c r="A10">
        <v>9</v>
      </c>
      <c r="B10" s="28">
        <f>MARKOV!N12</f>
        <v>609.56893854108125</v>
      </c>
      <c r="C10">
        <f>MARKOV!AG12</f>
        <v>677.51649758197777</v>
      </c>
      <c r="E10">
        <v>9</v>
      </c>
      <c r="F10" s="28">
        <f>1000-MARKOV!P12</f>
        <v>833.44609921743358</v>
      </c>
      <c r="G10">
        <f>1000-MARKOV!AI12</f>
        <v>883.41419481037087</v>
      </c>
    </row>
    <row r="11" spans="1:11" x14ac:dyDescent="0.35">
      <c r="A11">
        <v>10</v>
      </c>
      <c r="B11" s="28">
        <f>MARKOV!N13</f>
        <v>572.99480222861632</v>
      </c>
      <c r="C11">
        <f>MARKOV!AG13</f>
        <v>645.33446394683381</v>
      </c>
      <c r="E11">
        <v>10</v>
      </c>
      <c r="F11" s="28">
        <f>1000-MARKOV!P13</f>
        <v>804.96269376438761</v>
      </c>
      <c r="G11">
        <f>1000-MARKOV!AI13</f>
        <v>862.89049378637651</v>
      </c>
    </row>
    <row r="12" spans="1:11" x14ac:dyDescent="0.35">
      <c r="A12">
        <v>11</v>
      </c>
      <c r="B12" s="28">
        <f>MARKOV!N14</f>
        <v>538.61511409489935</v>
      </c>
      <c r="C12">
        <f>MARKOV!AG14</f>
        <v>614.68107690935926</v>
      </c>
      <c r="E12">
        <v>11</v>
      </c>
      <c r="F12" s="28">
        <f>1000-MARKOV!P14</f>
        <v>776.03595658852441</v>
      </c>
      <c r="G12">
        <f>1000-MARKOV!AI14</f>
        <v>841.73378306880954</v>
      </c>
    </row>
    <row r="13" spans="1:11" x14ac:dyDescent="0.35">
      <c r="A13">
        <v>12</v>
      </c>
      <c r="B13" s="28">
        <f>MARKOV!N15</f>
        <v>506.29820724920535</v>
      </c>
      <c r="C13">
        <f>MARKOV!AG15</f>
        <v>585.48372575616474</v>
      </c>
      <c r="E13">
        <v>12</v>
      </c>
      <c r="F13" s="28">
        <f>1000-MARKOV!P15</f>
        <v>746.90772119821293</v>
      </c>
      <c r="G13">
        <f>1000-MARKOV!AI15</f>
        <v>820.09472203003065</v>
      </c>
    </row>
    <row r="14" spans="1:11" x14ac:dyDescent="0.35">
      <c r="A14">
        <v>13</v>
      </c>
      <c r="B14" s="28">
        <f>MARKOV!N16</f>
        <v>475.920314814253</v>
      </c>
      <c r="C14">
        <f>MARKOV!AG16</f>
        <v>557.6732487827469</v>
      </c>
      <c r="E14">
        <v>13</v>
      </c>
      <c r="F14" s="28">
        <f>1000-MARKOV!P16</f>
        <v>717.78378773082011</v>
      </c>
      <c r="G14">
        <f>1000-MARKOV!AI16</f>
        <v>798.10776936631942</v>
      </c>
    </row>
    <row r="15" spans="1:11" x14ac:dyDescent="0.35">
      <c r="A15">
        <v>14</v>
      </c>
      <c r="B15" s="28">
        <f>MARKOV!N17</f>
        <v>447.36509592539778</v>
      </c>
      <c r="C15">
        <f>MARKOV!AG17</f>
        <v>531.18376946556646</v>
      </c>
      <c r="E15">
        <v>14</v>
      </c>
      <c r="F15" s="28">
        <f>1000-MARKOV!P17</f>
        <v>688.83823729102096</v>
      </c>
      <c r="G15">
        <f>1000-MARKOV!AI17</f>
        <v>775.89263095668082</v>
      </c>
    </row>
    <row r="16" spans="1:11" x14ac:dyDescent="0.35">
      <c r="A16">
        <v>15</v>
      </c>
      <c r="B16" s="28">
        <f>MARKOV!N18</f>
        <v>420.52319016987389</v>
      </c>
      <c r="C16">
        <f>MARKOV!AG18</f>
        <v>505.95254041595206</v>
      </c>
      <c r="E16">
        <v>15</v>
      </c>
      <c r="F16" s="28">
        <f>1000-MARKOV!P18</f>
        <v>660.21727219520471</v>
      </c>
      <c r="G16">
        <f>1000-MARKOV!AI18</f>
        <v>753.55558807385546</v>
      </c>
    </row>
    <row r="17" spans="1:7" x14ac:dyDescent="0.35">
      <c r="A17">
        <v>16</v>
      </c>
      <c r="B17" s="28">
        <f>MARKOV!N19</f>
        <v>395.29179875968146</v>
      </c>
      <c r="C17">
        <f>MARKOV!AG19</f>
        <v>481.91979474619433</v>
      </c>
      <c r="E17">
        <v>16</v>
      </c>
      <c r="F17" s="28">
        <f>1000-MARKOV!P19</f>
        <v>632.04263209097292</v>
      </c>
      <c r="G17">
        <f>1000-MARKOV!AI19</f>
        <v>731.19071544639303</v>
      </c>
    </row>
    <row r="18" spans="1:7" x14ac:dyDescent="0.35">
      <c r="A18">
        <v>17</v>
      </c>
      <c r="B18" s="28">
        <f>MARKOV!N20</f>
        <v>371.57429083410057</v>
      </c>
      <c r="C18">
        <f>MARKOV!AG20</f>
        <v>459.02860449575013</v>
      </c>
      <c r="E18">
        <v>17</v>
      </c>
      <c r="F18" s="28">
        <f>1000-MARKOV!P20</f>
        <v>604.41463077024696</v>
      </c>
      <c r="G18">
        <f>1000-MARKOV!AI20</f>
        <v>708.88099793328161</v>
      </c>
    </row>
    <row r="19" spans="1:7" x14ac:dyDescent="0.35">
      <c r="A19">
        <v>18</v>
      </c>
      <c r="B19" s="28">
        <f>MARKOV!N21</f>
        <v>349.27983338405448</v>
      </c>
      <c r="C19">
        <f>MARKOV!AG21</f>
        <v>437.22474578220198</v>
      </c>
      <c r="E19">
        <v>18</v>
      </c>
      <c r="F19" s="28">
        <f>1000-MARKOV!P21</f>
        <v>577.4148538682914</v>
      </c>
      <c r="G19">
        <f>1000-MARKOV!AI21</f>
        <v>686.69935389174861</v>
      </c>
    </row>
    <row r="20" spans="1:7" x14ac:dyDescent="0.35">
      <c r="A20">
        <v>19</v>
      </c>
      <c r="B20" s="28">
        <f>MARKOV!N22</f>
        <v>328.32304338101119</v>
      </c>
      <c r="C20">
        <f>MARKOV!AG22</f>
        <v>416.45657035754738</v>
      </c>
      <c r="E20">
        <v>19</v>
      </c>
      <c r="F20" s="28">
        <f>1000-MARKOV!P22</f>
        <v>551.10855348602718</v>
      </c>
      <c r="G20">
        <f>1000-MARKOV!AI22</f>
        <v>664.70957269016594</v>
      </c>
    </row>
    <row r="21" spans="1:7" x14ac:dyDescent="0.35">
      <c r="A21">
        <v>20</v>
      </c>
      <c r="B21" s="28">
        <f>MARKOV!N23</f>
        <v>308.62366077815051</v>
      </c>
      <c r="C21">
        <f>MARKOV!AG23</f>
        <v>396.67488326556389</v>
      </c>
      <c r="E21">
        <v>20</v>
      </c>
      <c r="F21" s="28">
        <f>1000-MARKOV!P23</f>
        <v>525.5467720417156</v>
      </c>
      <c r="G21">
        <f>1000-MARKOV!AI23</f>
        <v>642.96717323753796</v>
      </c>
    </row>
    <row r="22" spans="1:7" x14ac:dyDescent="0.35">
      <c r="A22">
        <v>21</v>
      </c>
      <c r="B22" s="28">
        <f>MARKOV!N24</f>
        <v>290.10624113146145</v>
      </c>
      <c r="C22">
        <f>MARKOV!AG24</f>
        <v>377.8328263104496</v>
      </c>
      <c r="E22">
        <v>21</v>
      </c>
      <c r="F22" s="28">
        <f>1000-MARKOV!P24</f>
        <v>500.76822430757767</v>
      </c>
      <c r="G22">
        <f>1000-MARKOV!AI24</f>
        <v>621.52018986514815</v>
      </c>
    </row>
    <row r="23" spans="1:7" x14ac:dyDescent="0.35">
      <c r="A23">
        <v>22</v>
      </c>
      <c r="B23" s="28">
        <f>MARKOV!N25</f>
        <v>272.69986666357374</v>
      </c>
      <c r="C23">
        <f>MARKOV!AG25</f>
        <v>359.88576706070324</v>
      </c>
      <c r="E23">
        <v>22</v>
      </c>
      <c r="F23" s="28">
        <f>1000-MARKOV!P25</f>
        <v>476.80096357865148</v>
      </c>
      <c r="G23">
        <f>1000-MARKOV!AI25</f>
        <v>600.40989140121735</v>
      </c>
    </row>
    <row r="24" spans="1:7" x14ac:dyDescent="0.35">
      <c r="A24">
        <v>23</v>
      </c>
      <c r="B24" s="28">
        <f>MARKOV!N26</f>
        <v>256.33787466375929</v>
      </c>
      <c r="C24">
        <f>MARKOV!AG26</f>
        <v>342.79119312531986</v>
      </c>
      <c r="E24">
        <v>23</v>
      </c>
      <c r="F24" s="28">
        <f>1000-MARKOV!P26</f>
        <v>453.66385522050803</v>
      </c>
      <c r="G24">
        <f>1000-MARKOV!AI26</f>
        <v>579.67143882272353</v>
      </c>
    </row>
    <row r="25" spans="1:7" x14ac:dyDescent="0.35">
      <c r="A25">
        <v>24</v>
      </c>
      <c r="B25" s="28">
        <f>MARKOV!N27</f>
        <v>240.95760218393372</v>
      </c>
      <c r="C25">
        <f>MARKOV!AG27</f>
        <v>326.50861145186718</v>
      </c>
      <c r="E25">
        <v>24</v>
      </c>
      <c r="F25" s="28">
        <f>1000-MARKOV!P27</f>
        <v>431.36787841819557</v>
      </c>
      <c r="G25">
        <f>1000-MARKOV!AI27</f>
        <v>559.33448644697819</v>
      </c>
    </row>
    <row r="26" spans="1:7" x14ac:dyDescent="0.35">
      <c r="A26">
        <v>25</v>
      </c>
      <c r="B26" s="28">
        <f>MARKOV!N28</f>
        <v>226.50014605289769</v>
      </c>
      <c r="C26">
        <f>MARKOV!AG28</f>
        <v>310.9994524079035</v>
      </c>
      <c r="E26">
        <v>25</v>
      </c>
      <c r="F26" s="28">
        <f>1000-MARKOV!P28</f>
        <v>409.91727477293011</v>
      </c>
      <c r="G26">
        <f>1000-MARKOV!AI28</f>
        <v>539.42373123645586</v>
      </c>
    </row>
    <row r="27" spans="1:7" x14ac:dyDescent="0.35">
      <c r="A27">
        <v>26</v>
      </c>
      <c r="B27" s="28">
        <f>MARKOV!N29</f>
        <v>212.91013728972382</v>
      </c>
      <c r="C27">
        <f>MARKOV!AG29</f>
        <v>296.22697841852812</v>
      </c>
      <c r="E27">
        <v>26</v>
      </c>
      <c r="F27" s="28">
        <f>1000-MARKOV!P29</f>
        <v>389.31056044039792</v>
      </c>
      <c r="G27">
        <f>1000-MARKOV!AI29</f>
        <v>519.95941443125503</v>
      </c>
    </row>
    <row r="28" spans="1:7" x14ac:dyDescent="0.35">
      <c r="A28">
        <v>27</v>
      </c>
      <c r="B28" s="28">
        <f>MARKOV!N30</f>
        <v>200.13552905234039</v>
      </c>
      <c r="C28">
        <f>MARKOV!AG30</f>
        <v>282.15619694364801</v>
      </c>
      <c r="E28">
        <v>27</v>
      </c>
      <c r="F28" s="28">
        <f>1000-MARKOV!P30</f>
        <v>369.54141675243329</v>
      </c>
      <c r="G28">
        <f>1000-MARKOV!AI30</f>
        <v>500.95777939216157</v>
      </c>
    </row>
    <row r="29" spans="1:7" x14ac:dyDescent="0.35">
      <c r="A29">
        <v>28</v>
      </c>
      <c r="B29" s="28">
        <f>MARKOV!N31</f>
        <v>188.12739730919995</v>
      </c>
      <c r="C29">
        <f>MARKOV!AG31</f>
        <v>268.75377758882473</v>
      </c>
      <c r="E29">
        <v>28</v>
      </c>
      <c r="F29" s="28">
        <f>1000-MARKOV!P31</f>
        <v>350.5994726919007</v>
      </c>
      <c r="G29">
        <f>1000-MARKOV!AI31</f>
        <v>482.43148923144565</v>
      </c>
    </row>
    <row r="30" spans="1:7" x14ac:dyDescent="0.35">
      <c r="A30">
        <v>29</v>
      </c>
      <c r="B30" s="28">
        <f>MARKOV!N32</f>
        <v>176.83975347064793</v>
      </c>
      <c r="C30">
        <f>MARKOV!AG32</f>
        <v>255.98797315335557</v>
      </c>
      <c r="E30">
        <v>29</v>
      </c>
      <c r="F30" s="28">
        <f>1000-MARKOV!P32</f>
        <v>332.4709911805387</v>
      </c>
      <c r="G30">
        <f>1000-MARKOV!AI32</f>
        <v>464.39000752633285</v>
      </c>
    </row>
    <row r="31" spans="1:7" x14ac:dyDescent="0.35">
      <c r="A31">
        <v>30</v>
      </c>
      <c r="B31" s="28">
        <f>MARKOV!N33</f>
        <v>166.22936826240905</v>
      </c>
      <c r="C31">
        <f>MARKOV!AG33</f>
        <v>243.82854442857118</v>
      </c>
      <c r="E31">
        <v>30</v>
      </c>
      <c r="F31" s="28">
        <f>1000-MARKOV!P33</f>
        <v>315.13946987484326</v>
      </c>
      <c r="G31">
        <f>1000-MARKOV!AI33</f>
        <v>446.83994514970937</v>
      </c>
    </row>
    <row r="32" spans="1:7" x14ac:dyDescent="0.35">
      <c r="A32">
        <v>31</v>
      </c>
      <c r="B32" s="28">
        <f>MARKOV!N34</f>
        <v>156.25560616666451</v>
      </c>
      <c r="C32">
        <f>MARKOV!AG34</f>
        <v>232.24668856821404</v>
      </c>
      <c r="E32">
        <v>31</v>
      </c>
      <c r="F32" s="28">
        <f>1000-MARKOV!P34</f>
        <v>298.58616603097585</v>
      </c>
      <c r="G32">
        <f>1000-MARKOV!AI34</f>
        <v>429.78537601240964</v>
      </c>
    </row>
    <row r="33" spans="1:7" x14ac:dyDescent="0.35">
      <c r="A33">
        <v>32</v>
      </c>
      <c r="B33" s="28">
        <f>MARKOV!N35</f>
        <v>146.88026979666463</v>
      </c>
      <c r="C33">
        <f>MARKOV!AG35</f>
        <v>221.21497086122389</v>
      </c>
      <c r="E33">
        <v>32</v>
      </c>
      <c r="F33" s="28">
        <f>1000-MARKOV!P35</f>
        <v>282.79055398287812</v>
      </c>
      <c r="G33">
        <f>1000-MARKOV!AI35</f>
        <v>413.22812428983332</v>
      </c>
    </row>
    <row r="34" spans="1:7" x14ac:dyDescent="0.35">
      <c r="A34">
        <v>33</v>
      </c>
      <c r="B34" s="28">
        <f>MARKOV!N36</f>
        <v>138.06745360886475</v>
      </c>
      <c r="C34">
        <f>MARKOV!AG36</f>
        <v>210.70725974531575</v>
      </c>
      <c r="E34">
        <v>33</v>
      </c>
      <c r="F34" s="28">
        <f>1000-MARKOV!P36</f>
        <v>267.73072286629019</v>
      </c>
      <c r="G34">
        <f>1000-MARKOV!AI36</f>
        <v>397.16802550122839</v>
      </c>
    </row>
    <row r="35" spans="1:7" x14ac:dyDescent="0.35">
      <c r="A35">
        <v>34</v>
      </c>
      <c r="B35" s="28">
        <f>MARKOV!N37</f>
        <v>129.78340639233286</v>
      </c>
      <c r="C35">
        <f>MARKOV!AG37</f>
        <v>200.69866490741325</v>
      </c>
      <c r="E35">
        <v>34</v>
      </c>
      <c r="F35" s="28">
        <f>1000-MARKOV!P37</f>
        <v>253.38372140445904</v>
      </c>
      <c r="G35">
        <f>1000-MARKOV!AI37</f>
        <v>381.60316362144499</v>
      </c>
    </row>
    <row r="36" spans="1:7" x14ac:dyDescent="0.35">
      <c r="A36">
        <v>35</v>
      </c>
      <c r="B36" s="28">
        <f>MARKOV!N38</f>
        <v>121.99640200879288</v>
      </c>
      <c r="C36">
        <f>MARKOV!AG38</f>
        <v>191.16547832431112</v>
      </c>
      <c r="E36">
        <v>35</v>
      </c>
      <c r="F36" s="28">
        <f>1000-MARKOV!P38</f>
        <v>239.72585583932312</v>
      </c>
      <c r="G36">
        <f>1000-MARKOV!AI38</f>
        <v>366.5300862310869</v>
      </c>
    </row>
    <row r="37" spans="1:7" x14ac:dyDescent="0.35">
      <c r="A37">
        <v>36</v>
      </c>
      <c r="B37" s="28">
        <f>MARKOV!N39</f>
        <v>114.6766178882653</v>
      </c>
      <c r="C37">
        <f>MARKOV!AG39</f>
        <v>182.08511810390635</v>
      </c>
      <c r="E37">
        <v>36</v>
      </c>
      <c r="F37" s="28">
        <f>1000-MARKOV!P39</f>
        <v>226.73294643618226</v>
      </c>
      <c r="G37">
        <f>1000-MARKOV!AI39</f>
        <v>351.94399955064637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MARKOV</vt:lpstr>
      <vt:lpstr>help</vt:lpstr>
    </vt:vector>
  </TitlesOfParts>
  <Company>Gilead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Von Hein</dc:creator>
  <cp:lastModifiedBy>Mirko von Hein</cp:lastModifiedBy>
  <dcterms:created xsi:type="dcterms:W3CDTF">2024-12-20T11:46:01Z</dcterms:created>
  <dcterms:modified xsi:type="dcterms:W3CDTF">2024-12-28T12:18:15Z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2024-12-20T12:13:02Z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02c4b3f7-347f-4926-bb80-fbdeed537192</vt:lpwstr>
  </property>
  <property fmtid="{D5CDD505-2E9C-101B-9397-08002B2CF9AE}" pid="8" name="MSIP_Label_418c1083-8924-401d-97ae-40f5eed0fcd8_ContentBits">
    <vt:lpwstr>0</vt:lpwstr>
  </property>
</Properties>
</file>