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vateinterimname-my.sharepoint.com/personal/mirko_vonhein_privateinterimname_onmicrosoft_com/Documents/YouTube/research/decsion_tree/"/>
    </mc:Choice>
  </mc:AlternateContent>
  <xr:revisionPtr revIDLastSave="334" documentId="8_{92D37761-5E40-456D-812C-2AA4345ECF9D}" xr6:coauthVersionLast="47" xr6:coauthVersionMax="47" xr10:uidLastSave="{19E192C0-D719-49D3-B7A5-6665FC9E60F4}"/>
  <bookViews>
    <workbookView xWindow="-110" yWindow="-110" windowWidth="38620" windowHeight="21100" xr2:uid="{8F9BC5B4-EBF2-432F-A1C6-387780817BBF}"/>
  </bookViews>
  <sheets>
    <sheet name="Decision Model" sheetId="1" r:id="rId1"/>
    <sheet name="Parameters" sheetId="2" r:id="rId2"/>
    <sheet name="Results" sheetId="3" r:id="rId3"/>
  </sheets>
  <definedNames>
    <definedName name="HCed">Parameters!$C$4</definedName>
    <definedName name="HCedC">Parameters!$C$9</definedName>
    <definedName name="HCedLE">Parameters!$C$15</definedName>
    <definedName name="HCldC">Parameters!$C$10</definedName>
    <definedName name="HCldLE">Parameters!$C$16</definedName>
    <definedName name="PCed">Parameters!$C$3</definedName>
    <definedName name="PCedC">Parameters!$C$7</definedName>
    <definedName name="PCedLE">Parameters!$C$13</definedName>
    <definedName name="PCldC">Parameters!$C$8</definedName>
    <definedName name="PCldLE">Parameters!$C$14</definedName>
    <definedName name="RPed">Parameters!$C$2</definedName>
    <definedName name="RPedC">Parameters!$C$5</definedName>
    <definedName name="RPedLE">Parameters!$C$11</definedName>
    <definedName name="RPldC">Parameters!$C$6</definedName>
    <definedName name="RPldLE">Parameters!$C$12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2" l="1"/>
  <c r="C4" i="3"/>
  <c r="B4" i="3"/>
  <c r="C2" i="3"/>
  <c r="B2" i="3"/>
  <c r="S38" i="1"/>
  <c r="S37" i="1"/>
  <c r="S13" i="1"/>
  <c r="S12" i="1"/>
  <c r="AH38" i="1"/>
  <c r="AH32" i="1"/>
  <c r="AH25" i="1"/>
  <c r="AH19" i="1"/>
  <c r="AH15" i="1"/>
  <c r="AH9" i="1"/>
  <c r="AG38" i="1"/>
  <c r="AG32" i="1"/>
  <c r="AG25" i="1"/>
  <c r="AG19" i="1"/>
  <c r="AG15" i="1"/>
  <c r="AG9" i="1"/>
  <c r="AA39" i="1"/>
  <c r="AA16" i="1"/>
  <c r="AA33" i="1"/>
  <c r="AA20" i="1"/>
  <c r="AA26" i="1" s="1"/>
  <c r="AA10" i="1"/>
  <c r="C2" i="2"/>
  <c r="E2" i="2"/>
  <c r="S23" i="1" l="1"/>
  <c r="B3" i="3" s="1"/>
  <c r="S24" i="1"/>
  <c r="C3" i="3" s="1"/>
  <c r="E4" i="3" l="1"/>
  <c r="E3" i="3"/>
  <c r="D4" i="3"/>
  <c r="F4" i="3" s="1"/>
  <c r="B23" i="2" s="1"/>
  <c r="D3" i="3"/>
  <c r="F3" i="3" s="1"/>
  <c r="B22" i="2" s="1"/>
</calcChain>
</file>

<file path=xl/sharedStrings.xml><?xml version="1.0" encoding="utf-8"?>
<sst xmlns="http://schemas.openxmlformats.org/spreadsheetml/2006/main" count="65" uniqueCount="59">
  <si>
    <t>Decsion Problem:</t>
  </si>
  <si>
    <t>Which Follow-up Care Strategy is Cost-Effective?</t>
  </si>
  <si>
    <t>Tree Elements &amp; Labelling</t>
  </si>
  <si>
    <t>Decsion Node</t>
  </si>
  <si>
    <t>Chance Node</t>
  </si>
  <si>
    <t>Terminal / End Node</t>
  </si>
  <si>
    <t>Branch Labels</t>
  </si>
  <si>
    <t>Probabilities</t>
  </si>
  <si>
    <t>Cost</t>
  </si>
  <si>
    <t>Outcome</t>
  </si>
  <si>
    <t>Expected Cost</t>
  </si>
  <si>
    <t>Expected Outcome</t>
  </si>
  <si>
    <t>Root Node</t>
  </si>
  <si>
    <t>LY</t>
  </si>
  <si>
    <t>Costs</t>
  </si>
  <si>
    <t>Description</t>
  </si>
  <si>
    <t>Name</t>
  </si>
  <si>
    <t>Value</t>
  </si>
  <si>
    <t>Source</t>
  </si>
  <si>
    <t>Probability of early detection in routine practice</t>
  </si>
  <si>
    <t>RPed</t>
  </si>
  <si>
    <t>Probability of early detection in primary care</t>
  </si>
  <si>
    <t>PCed</t>
  </si>
  <si>
    <t>Probability of early detection in hospital care</t>
  </si>
  <si>
    <t>HCed</t>
  </si>
  <si>
    <t>Cost of early detection in routine practice</t>
  </si>
  <si>
    <t>RPedC</t>
  </si>
  <si>
    <t>Cost of late detection in routine practice</t>
  </si>
  <si>
    <t>RPldC</t>
  </si>
  <si>
    <t>Cost of early detection in primary care</t>
  </si>
  <si>
    <t>PCedC</t>
  </si>
  <si>
    <t>Cost of late detection in primary care</t>
  </si>
  <si>
    <t>PCldC</t>
  </si>
  <si>
    <t>Cost of early detection in hospital care</t>
  </si>
  <si>
    <t>HCedC</t>
  </si>
  <si>
    <t>Cost of late detection in hospital care</t>
  </si>
  <si>
    <t>HCldC</t>
  </si>
  <si>
    <t>Life expectancy of early detection in routine practice</t>
  </si>
  <si>
    <t>RPedLE</t>
  </si>
  <si>
    <t>Life expectancy of late detection in routine practice</t>
  </si>
  <si>
    <t>RPldLE</t>
  </si>
  <si>
    <t>Life expectancy of early detection in primary care</t>
  </si>
  <si>
    <t>PCedLE</t>
  </si>
  <si>
    <t>Life expectancy of late detection in primary care</t>
  </si>
  <si>
    <t>PCldLE</t>
  </si>
  <si>
    <t>Life expectancy of early detection in hospital care</t>
  </si>
  <si>
    <t>HCedLE</t>
  </si>
  <si>
    <t>Life expectancy of late detection in hospital care</t>
  </si>
  <si>
    <t>HCldLE</t>
  </si>
  <si>
    <t>Routine Care</t>
  </si>
  <si>
    <t>Primary Care</t>
  </si>
  <si>
    <t>Hospital Care</t>
  </si>
  <si>
    <t>Expected Outcome (Life Years)</t>
  </si>
  <si>
    <t>Incremental Cost</t>
  </si>
  <si>
    <t>Incremental Effect</t>
  </si>
  <si>
    <t>ICER (per LY)</t>
  </si>
  <si>
    <t>Sensitivity Analysis</t>
  </si>
  <si>
    <t>ICER</t>
  </si>
  <si>
    <t>Decision Tree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</si>
</sst>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"/>
    <numFmt numFmtId="165" formatCode="&quot;£&quot;#,##0.00"/>
    <numFmt numFmtId="166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General Sans Medium"/>
    </font>
    <font>
      <sz val="11"/>
      <color theme="0"/>
      <name val="General Sans Medium"/>
    </font>
    <font>
      <b/>
      <sz val="48"/>
      <color theme="0"/>
      <name val="Neuton"/>
    </font>
    <font>
      <b/>
      <sz val="11"/>
      <color theme="1"/>
      <name val="General Sans Medium"/>
    </font>
    <font>
      <sz val="11"/>
      <color rgb="FFFF0000"/>
      <name val="General Sans Medium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B1F3B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6C7A89"/>
        <bgColor indexed="64"/>
      </patternFill>
    </fill>
    <fill>
      <patternFill patternType="solid">
        <fgColor rgb="FF800020"/>
        <bgColor indexed="64"/>
      </patternFill>
    </fill>
    <fill>
      <patternFill patternType="solid">
        <fgColor rgb="FF3A5A4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2" borderId="0" xfId="0" applyFont="1" applyFill="1" applyAlignment="1">
      <alignment vertical="center"/>
    </xf>
    <xf numFmtId="0" fontId="1" fillId="3" borderId="0" xfId="0" applyFont="1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0" fontId="1" fillId="4" borderId="1" xfId="0" applyFont="1" applyFill="1" applyBorder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4" fillId="0" borderId="0" xfId="0" applyFont="1"/>
    <xf numFmtId="0" fontId="4" fillId="0" borderId="1" xfId="0" applyFont="1" applyBorder="1"/>
    <xf numFmtId="0" fontId="2" fillId="5" borderId="0" xfId="0" applyFont="1" applyFill="1"/>
    <xf numFmtId="0" fontId="2" fillId="7" borderId="0" xfId="0" applyFont="1" applyFill="1"/>
    <xf numFmtId="164" fontId="1" fillId="6" borderId="0" xfId="0" applyNumberFormat="1" applyFont="1" applyFill="1"/>
    <xf numFmtId="164" fontId="1" fillId="0" borderId="0" xfId="0" applyNumberFormat="1" applyFont="1"/>
    <xf numFmtId="0" fontId="2" fillId="0" borderId="0" xfId="0" applyFont="1"/>
    <xf numFmtId="165" fontId="2" fillId="8" borderId="0" xfId="0" applyNumberFormat="1" applyFont="1" applyFill="1"/>
    <xf numFmtId="0" fontId="2" fillId="9" borderId="0" xfId="0" applyFont="1" applyFill="1"/>
    <xf numFmtId="164" fontId="2" fillId="8" borderId="0" xfId="0" applyNumberFormat="1" applyFont="1" applyFill="1"/>
    <xf numFmtId="0" fontId="1" fillId="0" borderId="0" xfId="0" applyFont="1" applyAlignment="1">
      <alignment vertical="center"/>
    </xf>
    <xf numFmtId="0" fontId="1" fillId="10" borderId="3" xfId="0" applyFont="1" applyFill="1" applyBorder="1" applyAlignment="1">
      <alignment vertical="center"/>
    </xf>
    <xf numFmtId="165" fontId="2" fillId="8" borderId="4" xfId="0" applyNumberFormat="1" applyFont="1" applyFill="1" applyBorder="1" applyAlignment="1">
      <alignment horizontal="center" vertical="center"/>
    </xf>
    <xf numFmtId="166" fontId="2" fillId="9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4" fillId="10" borderId="2" xfId="0" applyFont="1" applyFill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165" fontId="4" fillId="11" borderId="0" xfId="0" applyNumberFormat="1" applyFont="1" applyFill="1" applyAlignment="1">
      <alignment horizontal="center" vertical="center"/>
    </xf>
    <xf numFmtId="0" fontId="5" fillId="0" borderId="0" xfId="0" applyFont="1"/>
    <xf numFmtId="165" fontId="1" fillId="0" borderId="0" xfId="0" applyNumberFormat="1" applyFont="1"/>
    <xf numFmtId="0" fontId="4" fillId="12" borderId="0" xfId="0" applyFont="1" applyFill="1"/>
    <xf numFmtId="165" fontId="1" fillId="1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neral Sans Medium" pitchFamily="2" charset="0"/>
                <a:ea typeface="+mn-ea"/>
                <a:cs typeface="+mn-cs"/>
              </a:defRPr>
            </a:pPr>
            <a:r>
              <a:rPr lang="en-US" b="1"/>
              <a:t>Incremental Cost-Effectiveness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eneral Sans Medium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ICER</c:v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diamond"/>
              <c:size val="12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F9C-45A8-96E8-1BF83ED2B030}"/>
              </c:ext>
            </c:extLst>
          </c:dPt>
          <c:dPt>
            <c:idx val="1"/>
            <c:marker>
              <c:symbol val="circle"/>
              <c:size val="12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F9C-45A8-96E8-1BF83ED2B030}"/>
              </c:ext>
            </c:extLst>
          </c:dPt>
          <c:dPt>
            <c:idx val="2"/>
            <c:marker>
              <c:symbol val="triangle"/>
              <c:size val="12"/>
              <c:spPr>
                <a:solidFill>
                  <a:schemeClr val="accent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F9C-45A8-96E8-1BF83ED2B030}"/>
              </c:ext>
            </c:extLst>
          </c:dPt>
          <c:xVal>
            <c:numRef>
              <c:f>Results!$C$2:$C$4</c:f>
              <c:numCache>
                <c:formatCode>0.000</c:formatCode>
                <c:ptCount val="3"/>
                <c:pt idx="0">
                  <c:v>3.4249999999999998</c:v>
                </c:pt>
                <c:pt idx="1">
                  <c:v>3.7</c:v>
                </c:pt>
                <c:pt idx="2">
                  <c:v>3.9750000000000001</c:v>
                </c:pt>
              </c:numCache>
            </c:numRef>
          </c:xVal>
          <c:yVal>
            <c:numRef>
              <c:f>Results!$B$2:$B$4</c:f>
              <c:numCache>
                <c:formatCode>"£"#,##0.00</c:formatCode>
                <c:ptCount val="3"/>
                <c:pt idx="0">
                  <c:v>8873.5</c:v>
                </c:pt>
                <c:pt idx="1">
                  <c:v>9240</c:v>
                </c:pt>
                <c:pt idx="2">
                  <c:v>10710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9C-45A8-96E8-1BF83ED2B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771808"/>
        <c:axId val="14347655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Results!$B$2:$C$2</c15:sqref>
                        </c15:formulaRef>
                      </c:ext>
                    </c:extLst>
                    <c:numCache>
                      <c:formatCode>0.000</c:formatCode>
                      <c:ptCount val="2"/>
                      <c:pt idx="0" formatCode="&quot;£&quot;#,##0.00">
                        <c:v>8873.5</c:v>
                      </c:pt>
                      <c:pt idx="1">
                        <c:v>3.4249999999999998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Results!$B$4:$C$4</c15:sqref>
                        </c15:formulaRef>
                      </c:ext>
                    </c:extLst>
                    <c:numCache>
                      <c:formatCode>0.000</c:formatCode>
                      <c:ptCount val="2"/>
                      <c:pt idx="0" formatCode="&quot;£&quot;#,##0.00">
                        <c:v>10710</c:v>
                      </c:pt>
                      <c:pt idx="1">
                        <c:v>3.9750000000000001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F9C-45A8-96E8-1BF83ED2B030}"/>
                  </c:ext>
                </c:extLst>
              </c15:ser>
            </c15:filteredScatterSeries>
          </c:ext>
        </c:extLst>
      </c:scatterChart>
      <c:valAx>
        <c:axId val="1434771808"/>
        <c:scaling>
          <c:orientation val="minMax"/>
          <c:min val="3.4249999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neral Sans Medium" pitchFamily="2" charset="0"/>
                <a:ea typeface="+mn-ea"/>
                <a:cs typeface="+mn-cs"/>
              </a:defRPr>
            </a:pPr>
            <a:endParaRPr lang="en-US"/>
          </a:p>
        </c:txPr>
        <c:crossAx val="1434765568"/>
        <c:crosses val="autoZero"/>
        <c:crossBetween val="midCat"/>
      </c:valAx>
      <c:valAx>
        <c:axId val="1434765568"/>
        <c:scaling>
          <c:orientation val="minMax"/>
          <c:min val="88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neral Sans Medium" pitchFamily="2" charset="0"/>
                <a:ea typeface="+mn-ea"/>
                <a:cs typeface="+mn-cs"/>
              </a:defRPr>
            </a:pPr>
            <a:endParaRPr lang="en-US"/>
          </a:p>
        </c:txPr>
        <c:crossAx val="143477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eneral Sans Medium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neral Sans Medium" pitchFamily="2" charset="0"/>
                <a:ea typeface="+mn-ea"/>
                <a:cs typeface="+mn-cs"/>
              </a:defRPr>
            </a:pPr>
            <a:r>
              <a:rPr lang="en-GB" b="1"/>
              <a:t>Sensitivity Analysis: PCed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eneral Sans Medium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vs. Routine Care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A3-41E3-861C-EF6E1186D9CE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eneral Sans Medium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Parameters!$C$21:$K$21</c:f>
              <c:numCache>
                <c:formatCode>General</c:formatCode>
                <c:ptCount val="9"/>
                <c:pt idx="0">
                  <c:v>0.36</c:v>
                </c:pt>
                <c:pt idx="1">
                  <c:v>0.37</c:v>
                </c:pt>
                <c:pt idx="2">
                  <c:v>0.38</c:v>
                </c:pt>
                <c:pt idx="3">
                  <c:v>0.39</c:v>
                </c:pt>
                <c:pt idx="4">
                  <c:v>0.4</c:v>
                </c:pt>
                <c:pt idx="5">
                  <c:v>0.41</c:v>
                </c:pt>
                <c:pt idx="6">
                  <c:v>0.42</c:v>
                </c:pt>
                <c:pt idx="7">
                  <c:v>0.43</c:v>
                </c:pt>
                <c:pt idx="8">
                  <c:v>0.44</c:v>
                </c:pt>
              </c:numCache>
            </c:numRef>
          </c:xVal>
          <c:yVal>
            <c:numRef>
              <c:f>Parameters!$C$22:$K$22</c:f>
              <c:numCache>
                <c:formatCode>"£"#,##0.00</c:formatCode>
                <c:ptCount val="9"/>
                <c:pt idx="0">
                  <c:v>13136.363636363598</c:v>
                </c:pt>
                <c:pt idx="1">
                  <c:v>5759.0909090908926</c:v>
                </c:pt>
                <c:pt idx="2">
                  <c:v>3299.9999999999991</c:v>
                </c:pt>
                <c:pt idx="3">
                  <c:v>2070.4545454545437</c:v>
                </c:pt>
                <c:pt idx="4">
                  <c:v>1332.7272727272709</c:v>
                </c:pt>
                <c:pt idx="5">
                  <c:v>840.90909090909076</c:v>
                </c:pt>
                <c:pt idx="6">
                  <c:v>489.61038961038929</c:v>
                </c:pt>
                <c:pt idx="7">
                  <c:v>226.13636363636365</c:v>
                </c:pt>
                <c:pt idx="8">
                  <c:v>21.212121212121207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A3-41E3-861C-EF6E1186D9CE}"/>
            </c:ext>
          </c:extLst>
        </c:ser>
        <c:ser>
          <c:idx val="1"/>
          <c:order val="1"/>
          <c:tx>
            <c:v>vs. Hospital Care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A3-41E3-861C-EF6E1186D9CE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eneral Sans Medium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Parameters!$C$21:$K$21</c:f>
              <c:numCache>
                <c:formatCode>General</c:formatCode>
                <c:ptCount val="9"/>
                <c:pt idx="0">
                  <c:v>0.36</c:v>
                </c:pt>
                <c:pt idx="1">
                  <c:v>0.37</c:v>
                </c:pt>
                <c:pt idx="2">
                  <c:v>0.38</c:v>
                </c:pt>
                <c:pt idx="3">
                  <c:v>0.39</c:v>
                </c:pt>
                <c:pt idx="4">
                  <c:v>0.4</c:v>
                </c:pt>
                <c:pt idx="5">
                  <c:v>0.41</c:v>
                </c:pt>
                <c:pt idx="6">
                  <c:v>0.42</c:v>
                </c:pt>
                <c:pt idx="7">
                  <c:v>0.43</c:v>
                </c:pt>
                <c:pt idx="8">
                  <c:v>0.44</c:v>
                </c:pt>
              </c:numCache>
            </c:numRef>
          </c:xVal>
          <c:yVal>
            <c:numRef>
              <c:f>Parameters!$C$23:$K$23</c:f>
              <c:numCache>
                <c:formatCode>"£"#,##0.00</c:formatCode>
                <c:ptCount val="9"/>
                <c:pt idx="0">
                  <c:v>2250.5050505050499</c:v>
                </c:pt>
                <c:pt idx="1">
                  <c:v>2734.0909090909095</c:v>
                </c:pt>
                <c:pt idx="2">
                  <c:v>3355.8441558441536</c:v>
                </c:pt>
                <c:pt idx="3">
                  <c:v>4184.8484848484841</c:v>
                </c:pt>
                <c:pt idx="4">
                  <c:v>5345.4545454545469</c:v>
                </c:pt>
                <c:pt idx="5">
                  <c:v>7086.3636363636297</c:v>
                </c:pt>
                <c:pt idx="6">
                  <c:v>9987.8787878787862</c:v>
                </c:pt>
                <c:pt idx="7">
                  <c:v>15790.909090909045</c:v>
                </c:pt>
                <c:pt idx="8">
                  <c:v>33199.999999999905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A3-41E3-861C-EF6E1186D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571776"/>
        <c:axId val="1173572256"/>
      </c:scatterChart>
      <c:valAx>
        <c:axId val="1173571776"/>
        <c:scaling>
          <c:orientation val="minMax"/>
          <c:max val="0.44000000000000006"/>
          <c:min val="0.36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neral Sans Medium" pitchFamily="2" charset="0"/>
                <a:ea typeface="+mn-ea"/>
                <a:cs typeface="+mn-cs"/>
              </a:defRPr>
            </a:pPr>
            <a:endParaRPr lang="en-US"/>
          </a:p>
        </c:txPr>
        <c:crossAx val="1173572256"/>
        <c:crosses val="autoZero"/>
        <c:crossBetween val="midCat"/>
      </c:valAx>
      <c:valAx>
        <c:axId val="117357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neral Sans Medium" pitchFamily="2" charset="0"/>
                <a:ea typeface="+mn-ea"/>
                <a:cs typeface="+mn-cs"/>
              </a:defRPr>
            </a:pPr>
            <a:endParaRPr lang="en-US"/>
          </a:p>
        </c:txPr>
        <c:crossAx val="1173571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eneral Sans Medium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eneral Sans Medium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542637</xdr:colOff>
      <xdr:row>10</xdr:row>
      <xdr:rowOff>121229</xdr:rowOff>
    </xdr:from>
    <xdr:to>
      <xdr:col>1</xdr:col>
      <xdr:colOff>311728</xdr:colOff>
      <xdr:row>12</xdr:row>
      <xdr:rowOff>121229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CC6E61B-3EB2-B540-3F34-F911C01091E4}"/>
            </a:ext>
          </a:extLst>
        </xdr:cNvPr>
        <xdr:cNvSpPr/>
      </xdr:nvSpPr>
      <xdr:spPr>
        <a:xfrm>
          <a:off x="542637" y="2909456"/>
          <a:ext cx="38100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548409</xdr:colOff>
      <xdr:row>7</xdr:row>
      <xdr:rowOff>115455</xdr:rowOff>
    </xdr:from>
    <xdr:to>
      <xdr:col>1</xdr:col>
      <xdr:colOff>294409</xdr:colOff>
      <xdr:row>9</xdr:row>
      <xdr:rowOff>92364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B0D85E2-A239-6A8A-F554-BC643D220CF2}"/>
            </a:ext>
          </a:extLst>
        </xdr:cNvPr>
        <xdr:cNvSpPr/>
      </xdr:nvSpPr>
      <xdr:spPr>
        <a:xfrm>
          <a:off x="548409" y="2332182"/>
          <a:ext cx="357909" cy="357909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528208</xdr:colOff>
      <xdr:row>13</xdr:row>
      <xdr:rowOff>135660</xdr:rowOff>
    </xdr:from>
    <xdr:to>
      <xdr:col>1</xdr:col>
      <xdr:colOff>277097</xdr:colOff>
      <xdr:row>15</xdr:row>
      <xdr:rowOff>132773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DCA6F116-6FC2-090C-7372-47848ABDAE45}"/>
            </a:ext>
          </a:extLst>
        </xdr:cNvPr>
        <xdr:cNvSpPr/>
      </xdr:nvSpPr>
      <xdr:spPr>
        <a:xfrm rot="16200000">
          <a:off x="519550" y="3504045"/>
          <a:ext cx="378113" cy="360798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571500</xdr:colOff>
      <xdr:row>18</xdr:row>
      <xdr:rowOff>184728</xdr:rowOff>
    </xdr:from>
    <xdr:to>
      <xdr:col>3</xdr:col>
      <xdr:colOff>467592</xdr:colOff>
      <xdr:row>20</xdr:row>
      <xdr:rowOff>184728</xdr:rowOff>
    </xdr:to>
    <xdr:sp macro="" textlink="">
      <xdr:nvSpPr>
        <xdr:cNvPr id="6" name="Free-form: Shape 5">
          <a:extLst>
            <a:ext uri="{FF2B5EF4-FFF2-40B4-BE49-F238E27FC236}">
              <a16:creationId xmlns:a16="http://schemas.microsoft.com/office/drawing/2014/main" id="{A61AFE18-449B-8218-9FA2-A85979B58BDB}"/>
            </a:ext>
          </a:extLst>
        </xdr:cNvPr>
        <xdr:cNvSpPr/>
      </xdr:nvSpPr>
      <xdr:spPr>
        <a:xfrm>
          <a:off x="571500" y="4496955"/>
          <a:ext cx="1731819" cy="381000"/>
        </a:xfrm>
        <a:custGeom>
          <a:avLst/>
          <a:gdLst>
            <a:gd name="connsiteX0" fmla="*/ 0 w 1731819"/>
            <a:gd name="connsiteY0" fmla="*/ 0 h 381000"/>
            <a:gd name="connsiteX1" fmla="*/ 0 w 1731819"/>
            <a:gd name="connsiteY1" fmla="*/ 381000 h 381000"/>
            <a:gd name="connsiteX2" fmla="*/ 1731819 w 1731819"/>
            <a:gd name="connsiteY2" fmla="*/ 381000 h 381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31819" h="381000">
              <a:moveTo>
                <a:pt x="0" y="0"/>
              </a:moveTo>
              <a:lnTo>
                <a:pt x="0" y="381000"/>
              </a:lnTo>
              <a:lnTo>
                <a:pt x="1731819" y="38100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100">
              <a:solidFill>
                <a:schemeClr val="tx1"/>
              </a:solidFill>
              <a:latin typeface="General Sans Medium" pitchFamily="2" charset="0"/>
            </a:rPr>
            <a:t>Example</a:t>
          </a:r>
        </a:p>
      </xdr:txBody>
    </xdr:sp>
    <xdr:clientData/>
  </xdr:twoCellAnchor>
  <xdr:twoCellAnchor>
    <xdr:from>
      <xdr:col>0</xdr:col>
      <xdr:colOff>594590</xdr:colOff>
      <xdr:row>23</xdr:row>
      <xdr:rowOff>167409</xdr:rowOff>
    </xdr:from>
    <xdr:to>
      <xdr:col>3</xdr:col>
      <xdr:colOff>115454</xdr:colOff>
      <xdr:row>25</xdr:row>
      <xdr:rowOff>127000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1DA6626-3AA6-7411-954A-73AAD8EE5F85}"/>
            </a:ext>
          </a:extLst>
        </xdr:cNvPr>
        <xdr:cNvSpPr/>
      </xdr:nvSpPr>
      <xdr:spPr>
        <a:xfrm>
          <a:off x="594590" y="5432136"/>
          <a:ext cx="1356591" cy="34059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100">
              <a:solidFill>
                <a:schemeClr val="tx1"/>
              </a:solidFill>
            </a:rPr>
            <a:t>Example</a:t>
          </a:r>
        </a:p>
      </xdr:txBody>
    </xdr:sp>
    <xdr:clientData/>
  </xdr:twoCellAnchor>
  <xdr:twoCellAnchor>
    <xdr:from>
      <xdr:col>6</xdr:col>
      <xdr:colOff>611908</xdr:colOff>
      <xdr:row>20</xdr:row>
      <xdr:rowOff>0</xdr:rowOff>
    </xdr:from>
    <xdr:to>
      <xdr:col>10</xdr:col>
      <xdr:colOff>536863</xdr:colOff>
      <xdr:row>22</xdr:row>
      <xdr:rowOff>57728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50AE7A3-5F59-4385-BC4B-FBD7E686A2E7}"/>
            </a:ext>
          </a:extLst>
        </xdr:cNvPr>
        <xdr:cNvSpPr/>
      </xdr:nvSpPr>
      <xdr:spPr>
        <a:xfrm>
          <a:off x="4283363" y="4693227"/>
          <a:ext cx="2372591" cy="438728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tx1"/>
              </a:solidFill>
              <a:latin typeface="General Sans Medium" pitchFamily="2" charset="0"/>
            </a:rPr>
            <a:t>Which Follow-up Strategy?</a:t>
          </a:r>
        </a:p>
      </xdr:txBody>
    </xdr:sp>
    <xdr:clientData/>
  </xdr:twoCellAnchor>
  <xdr:twoCellAnchor>
    <xdr:from>
      <xdr:col>13</xdr:col>
      <xdr:colOff>259773</xdr:colOff>
      <xdr:row>20</xdr:row>
      <xdr:rowOff>40410</xdr:rowOff>
    </xdr:from>
    <xdr:to>
      <xdr:col>14</xdr:col>
      <xdr:colOff>5773</xdr:colOff>
      <xdr:row>22</xdr:row>
      <xdr:rowOff>17319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3CAB38F-1E50-42A5-8855-D8598CE211A3}"/>
            </a:ext>
          </a:extLst>
        </xdr:cNvPr>
        <xdr:cNvSpPr/>
      </xdr:nvSpPr>
      <xdr:spPr>
        <a:xfrm>
          <a:off x="8214591" y="4733637"/>
          <a:ext cx="357909" cy="357909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536863</xdr:colOff>
      <xdr:row>21</xdr:row>
      <xdr:rowOff>28864</xdr:rowOff>
    </xdr:from>
    <xdr:to>
      <xdr:col>13</xdr:col>
      <xdr:colOff>259773</xdr:colOff>
      <xdr:row>21</xdr:row>
      <xdr:rowOff>28865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1A64733-1331-2E87-765E-85FF26566AE9}"/>
            </a:ext>
          </a:extLst>
        </xdr:cNvPr>
        <xdr:cNvCxnSpPr>
          <a:stCxn id="8" idx="3"/>
          <a:endCxn id="9" idx="1"/>
        </xdr:cNvCxnSpPr>
      </xdr:nvCxnSpPr>
      <xdr:spPr>
        <a:xfrm>
          <a:off x="6655954" y="4912591"/>
          <a:ext cx="1558637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369454</xdr:colOff>
      <xdr:row>8</xdr:row>
      <xdr:rowOff>109681</xdr:rowOff>
    </xdr:from>
    <xdr:to>
      <xdr:col>20</xdr:col>
      <xdr:colOff>265546</xdr:colOff>
      <xdr:row>10</xdr:row>
      <xdr:rowOff>109681</xdr:rowOff>
    </xdr:to>
    <xdr:sp macro="" textlink="">
      <xdr:nvSpPr>
        <xdr:cNvPr id="15" name="Free-form: Shape 14">
          <a:extLst>
            <a:ext uri="{FF2B5EF4-FFF2-40B4-BE49-F238E27FC236}">
              <a16:creationId xmlns:a16="http://schemas.microsoft.com/office/drawing/2014/main" id="{E8F276DA-9C18-4506-A194-3D10387897A4}"/>
            </a:ext>
          </a:extLst>
        </xdr:cNvPr>
        <xdr:cNvSpPr/>
      </xdr:nvSpPr>
      <xdr:spPr>
        <a:xfrm>
          <a:off x="10771909" y="2516908"/>
          <a:ext cx="1731819" cy="381000"/>
        </a:xfrm>
        <a:custGeom>
          <a:avLst/>
          <a:gdLst>
            <a:gd name="connsiteX0" fmla="*/ 0 w 1731819"/>
            <a:gd name="connsiteY0" fmla="*/ 0 h 381000"/>
            <a:gd name="connsiteX1" fmla="*/ 0 w 1731819"/>
            <a:gd name="connsiteY1" fmla="*/ 381000 h 381000"/>
            <a:gd name="connsiteX2" fmla="*/ 1731819 w 1731819"/>
            <a:gd name="connsiteY2" fmla="*/ 381000 h 381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31819" h="381000">
              <a:moveTo>
                <a:pt x="0" y="0"/>
              </a:moveTo>
              <a:lnTo>
                <a:pt x="0" y="381000"/>
              </a:lnTo>
              <a:lnTo>
                <a:pt x="1731819" y="38100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100">
              <a:solidFill>
                <a:schemeClr val="tx1"/>
              </a:solidFill>
              <a:latin typeface="General Sans Medium" pitchFamily="2" charset="0"/>
            </a:rPr>
            <a:t>Routine Practice</a:t>
          </a:r>
        </a:p>
      </xdr:txBody>
    </xdr:sp>
    <xdr:clientData/>
  </xdr:twoCellAnchor>
  <xdr:twoCellAnchor>
    <xdr:from>
      <xdr:col>17</xdr:col>
      <xdr:colOff>352136</xdr:colOff>
      <xdr:row>19</xdr:row>
      <xdr:rowOff>34637</xdr:rowOff>
    </xdr:from>
    <xdr:to>
      <xdr:col>20</xdr:col>
      <xdr:colOff>248228</xdr:colOff>
      <xdr:row>21</xdr:row>
      <xdr:rowOff>34637</xdr:rowOff>
    </xdr:to>
    <xdr:sp macro="" textlink="">
      <xdr:nvSpPr>
        <xdr:cNvPr id="16" name="Free-form: Shape 15">
          <a:extLst>
            <a:ext uri="{FF2B5EF4-FFF2-40B4-BE49-F238E27FC236}">
              <a16:creationId xmlns:a16="http://schemas.microsoft.com/office/drawing/2014/main" id="{D7645336-8A53-457D-9FAA-DB640F3DC8EC}"/>
            </a:ext>
          </a:extLst>
        </xdr:cNvPr>
        <xdr:cNvSpPr/>
      </xdr:nvSpPr>
      <xdr:spPr>
        <a:xfrm>
          <a:off x="10754591" y="4537364"/>
          <a:ext cx="1731819" cy="381000"/>
        </a:xfrm>
        <a:custGeom>
          <a:avLst/>
          <a:gdLst>
            <a:gd name="connsiteX0" fmla="*/ 0 w 1731819"/>
            <a:gd name="connsiteY0" fmla="*/ 0 h 381000"/>
            <a:gd name="connsiteX1" fmla="*/ 0 w 1731819"/>
            <a:gd name="connsiteY1" fmla="*/ 381000 h 381000"/>
            <a:gd name="connsiteX2" fmla="*/ 1731819 w 1731819"/>
            <a:gd name="connsiteY2" fmla="*/ 381000 h 381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31819" h="381000">
              <a:moveTo>
                <a:pt x="0" y="0"/>
              </a:moveTo>
              <a:lnTo>
                <a:pt x="0" y="381000"/>
              </a:lnTo>
              <a:lnTo>
                <a:pt x="1731819" y="38100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100">
              <a:solidFill>
                <a:schemeClr val="tx1"/>
              </a:solidFill>
              <a:latin typeface="General Sans Medium" pitchFamily="2" charset="0"/>
            </a:rPr>
            <a:t>Primary Care</a:t>
          </a:r>
        </a:p>
      </xdr:txBody>
    </xdr:sp>
    <xdr:clientData/>
  </xdr:twoCellAnchor>
  <xdr:twoCellAnchor>
    <xdr:from>
      <xdr:col>17</xdr:col>
      <xdr:colOff>294408</xdr:colOff>
      <xdr:row>32</xdr:row>
      <xdr:rowOff>173181</xdr:rowOff>
    </xdr:from>
    <xdr:to>
      <xdr:col>20</xdr:col>
      <xdr:colOff>190500</xdr:colOff>
      <xdr:row>34</xdr:row>
      <xdr:rowOff>173181</xdr:rowOff>
    </xdr:to>
    <xdr:sp macro="" textlink="">
      <xdr:nvSpPr>
        <xdr:cNvPr id="17" name="Free-form: Shape 16">
          <a:extLst>
            <a:ext uri="{FF2B5EF4-FFF2-40B4-BE49-F238E27FC236}">
              <a16:creationId xmlns:a16="http://schemas.microsoft.com/office/drawing/2014/main" id="{27076C52-7208-43BF-AC12-7E3AA9005BC9}"/>
            </a:ext>
          </a:extLst>
        </xdr:cNvPr>
        <xdr:cNvSpPr/>
      </xdr:nvSpPr>
      <xdr:spPr>
        <a:xfrm>
          <a:off x="10696863" y="7152408"/>
          <a:ext cx="1731819" cy="381000"/>
        </a:xfrm>
        <a:custGeom>
          <a:avLst/>
          <a:gdLst>
            <a:gd name="connsiteX0" fmla="*/ 0 w 1731819"/>
            <a:gd name="connsiteY0" fmla="*/ 0 h 381000"/>
            <a:gd name="connsiteX1" fmla="*/ 0 w 1731819"/>
            <a:gd name="connsiteY1" fmla="*/ 381000 h 381000"/>
            <a:gd name="connsiteX2" fmla="*/ 1731819 w 1731819"/>
            <a:gd name="connsiteY2" fmla="*/ 381000 h 381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31819" h="381000">
              <a:moveTo>
                <a:pt x="0" y="0"/>
              </a:moveTo>
              <a:lnTo>
                <a:pt x="0" y="381000"/>
              </a:lnTo>
              <a:lnTo>
                <a:pt x="1731819" y="38100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100">
              <a:solidFill>
                <a:schemeClr val="tx1"/>
              </a:solidFill>
              <a:latin typeface="General Sans Medium" pitchFamily="2" charset="0"/>
            </a:rPr>
            <a:t>Hospital Care</a:t>
          </a:r>
        </a:p>
      </xdr:txBody>
    </xdr:sp>
    <xdr:clientData/>
  </xdr:twoCellAnchor>
  <xdr:twoCellAnchor>
    <xdr:from>
      <xdr:col>14</xdr:col>
      <xdr:colOff>5773</xdr:colOff>
      <xdr:row>10</xdr:row>
      <xdr:rowOff>109681</xdr:rowOff>
    </xdr:from>
    <xdr:to>
      <xdr:col>17</xdr:col>
      <xdr:colOff>369454</xdr:colOff>
      <xdr:row>21</xdr:row>
      <xdr:rowOff>28865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E78D30C-40F2-468D-A7C9-26CF2B8B9760}"/>
            </a:ext>
          </a:extLst>
        </xdr:cNvPr>
        <xdr:cNvCxnSpPr>
          <a:stCxn id="9" idx="3"/>
          <a:endCxn id="15" idx="1"/>
        </xdr:cNvCxnSpPr>
      </xdr:nvCxnSpPr>
      <xdr:spPr>
        <a:xfrm flipV="1">
          <a:off x="8572500" y="2897908"/>
          <a:ext cx="2199409" cy="201468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5773</xdr:colOff>
      <xdr:row>21</xdr:row>
      <xdr:rowOff>28865</xdr:rowOff>
    </xdr:from>
    <xdr:to>
      <xdr:col>17</xdr:col>
      <xdr:colOff>352136</xdr:colOff>
      <xdr:row>21</xdr:row>
      <xdr:rowOff>34637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D12D1E9-E1C8-45D7-82CA-1A3C0BEA6C92}"/>
            </a:ext>
          </a:extLst>
        </xdr:cNvPr>
        <xdr:cNvCxnSpPr>
          <a:stCxn id="9" idx="3"/>
          <a:endCxn id="16" idx="1"/>
        </xdr:cNvCxnSpPr>
      </xdr:nvCxnSpPr>
      <xdr:spPr>
        <a:xfrm>
          <a:off x="8572500" y="4912592"/>
          <a:ext cx="2182091" cy="577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5773</xdr:colOff>
      <xdr:row>21</xdr:row>
      <xdr:rowOff>28865</xdr:rowOff>
    </xdr:from>
    <xdr:to>
      <xdr:col>17</xdr:col>
      <xdr:colOff>294408</xdr:colOff>
      <xdr:row>34</xdr:row>
      <xdr:rowOff>173181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5C8CCD0-6519-44CD-8D1F-63A7BCEA5C79}"/>
            </a:ext>
          </a:extLst>
        </xdr:cNvPr>
        <xdr:cNvCxnSpPr>
          <a:stCxn id="9" idx="3"/>
          <a:endCxn id="17" idx="1"/>
        </xdr:cNvCxnSpPr>
      </xdr:nvCxnSpPr>
      <xdr:spPr>
        <a:xfrm>
          <a:off x="8572500" y="4912592"/>
          <a:ext cx="2124363" cy="262081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236682</xdr:colOff>
      <xdr:row>9</xdr:row>
      <xdr:rowOff>109682</xdr:rowOff>
    </xdr:from>
    <xdr:to>
      <xdr:col>24</xdr:col>
      <xdr:colOff>5773</xdr:colOff>
      <xdr:row>11</xdr:row>
      <xdr:rowOff>109682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2BB6C47-D1E7-46D6-817B-C118BFE9C216}"/>
            </a:ext>
          </a:extLst>
        </xdr:cNvPr>
        <xdr:cNvSpPr/>
      </xdr:nvSpPr>
      <xdr:spPr>
        <a:xfrm>
          <a:off x="14310591" y="2707409"/>
          <a:ext cx="38100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23</xdr:col>
      <xdr:colOff>202046</xdr:colOff>
      <xdr:row>20</xdr:row>
      <xdr:rowOff>34636</xdr:rowOff>
    </xdr:from>
    <xdr:to>
      <xdr:col>23</xdr:col>
      <xdr:colOff>583046</xdr:colOff>
      <xdr:row>22</xdr:row>
      <xdr:rowOff>34636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820EEB4-3C5C-403C-AAE5-FBBB015746FD}"/>
            </a:ext>
          </a:extLst>
        </xdr:cNvPr>
        <xdr:cNvSpPr/>
      </xdr:nvSpPr>
      <xdr:spPr>
        <a:xfrm>
          <a:off x="14275955" y="4727863"/>
          <a:ext cx="38100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23</xdr:col>
      <xdr:colOff>230910</xdr:colOff>
      <xdr:row>33</xdr:row>
      <xdr:rowOff>173182</xdr:rowOff>
    </xdr:from>
    <xdr:to>
      <xdr:col>24</xdr:col>
      <xdr:colOff>1</xdr:colOff>
      <xdr:row>35</xdr:row>
      <xdr:rowOff>173182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C78F00C6-3EF9-4395-98C9-CA4DD39CE0FB}"/>
            </a:ext>
          </a:extLst>
        </xdr:cNvPr>
        <xdr:cNvSpPr/>
      </xdr:nvSpPr>
      <xdr:spPr>
        <a:xfrm>
          <a:off x="14304819" y="7342909"/>
          <a:ext cx="38100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265546</xdr:colOff>
      <xdr:row>10</xdr:row>
      <xdr:rowOff>109681</xdr:rowOff>
    </xdr:from>
    <xdr:to>
      <xdr:col>23</xdr:col>
      <xdr:colOff>236682</xdr:colOff>
      <xdr:row>10</xdr:row>
      <xdr:rowOff>109682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CF88E384-9B42-4FC0-80FA-B2DA1303BC37}"/>
            </a:ext>
          </a:extLst>
        </xdr:cNvPr>
        <xdr:cNvCxnSpPr>
          <a:stCxn id="15" idx="2"/>
          <a:endCxn id="30" idx="2"/>
        </xdr:cNvCxnSpPr>
      </xdr:nvCxnSpPr>
      <xdr:spPr>
        <a:xfrm>
          <a:off x="12503728" y="2897908"/>
          <a:ext cx="1806863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248228</xdr:colOff>
      <xdr:row>21</xdr:row>
      <xdr:rowOff>34636</xdr:rowOff>
    </xdr:from>
    <xdr:to>
      <xdr:col>23</xdr:col>
      <xdr:colOff>202046</xdr:colOff>
      <xdr:row>21</xdr:row>
      <xdr:rowOff>34637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6969CD98-BB4E-43DC-B8A3-EFA690EB5A83}"/>
            </a:ext>
          </a:extLst>
        </xdr:cNvPr>
        <xdr:cNvCxnSpPr>
          <a:stCxn id="16" idx="2"/>
          <a:endCxn id="31" idx="2"/>
        </xdr:cNvCxnSpPr>
      </xdr:nvCxnSpPr>
      <xdr:spPr>
        <a:xfrm flipV="1">
          <a:off x="12486410" y="4918363"/>
          <a:ext cx="1789545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190500</xdr:colOff>
      <xdr:row>34</xdr:row>
      <xdr:rowOff>173181</xdr:rowOff>
    </xdr:from>
    <xdr:to>
      <xdr:col>23</xdr:col>
      <xdr:colOff>230910</xdr:colOff>
      <xdr:row>34</xdr:row>
      <xdr:rowOff>173182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82D6D467-2913-42BA-96F4-6E4BA43EBB94}"/>
            </a:ext>
          </a:extLst>
        </xdr:cNvPr>
        <xdr:cNvCxnSpPr>
          <a:stCxn id="17" idx="2"/>
          <a:endCxn id="32" idx="2"/>
        </xdr:cNvCxnSpPr>
      </xdr:nvCxnSpPr>
      <xdr:spPr>
        <a:xfrm>
          <a:off x="12428682" y="7533408"/>
          <a:ext cx="1876137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11546</xdr:colOff>
      <xdr:row>6</xdr:row>
      <xdr:rowOff>115454</xdr:rowOff>
    </xdr:from>
    <xdr:to>
      <xdr:col>28</xdr:col>
      <xdr:colOff>519546</xdr:colOff>
      <xdr:row>8</xdr:row>
      <xdr:rowOff>115454</xdr:rowOff>
    </xdr:to>
    <xdr:sp macro="" textlink="">
      <xdr:nvSpPr>
        <xdr:cNvPr id="46" name="Free-form: Shape 45">
          <a:extLst>
            <a:ext uri="{FF2B5EF4-FFF2-40B4-BE49-F238E27FC236}">
              <a16:creationId xmlns:a16="http://schemas.microsoft.com/office/drawing/2014/main" id="{57138235-1202-4190-AA30-EFFE345B8D1C}"/>
            </a:ext>
          </a:extLst>
        </xdr:cNvPr>
        <xdr:cNvSpPr/>
      </xdr:nvSpPr>
      <xdr:spPr>
        <a:xfrm>
          <a:off x="15921182" y="2141681"/>
          <a:ext cx="1731819" cy="381000"/>
        </a:xfrm>
        <a:custGeom>
          <a:avLst/>
          <a:gdLst>
            <a:gd name="connsiteX0" fmla="*/ 0 w 1731819"/>
            <a:gd name="connsiteY0" fmla="*/ 0 h 381000"/>
            <a:gd name="connsiteX1" fmla="*/ 0 w 1731819"/>
            <a:gd name="connsiteY1" fmla="*/ 381000 h 381000"/>
            <a:gd name="connsiteX2" fmla="*/ 1731819 w 1731819"/>
            <a:gd name="connsiteY2" fmla="*/ 381000 h 381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31819" h="381000">
              <a:moveTo>
                <a:pt x="0" y="0"/>
              </a:moveTo>
              <a:lnTo>
                <a:pt x="0" y="381000"/>
              </a:lnTo>
              <a:lnTo>
                <a:pt x="1731819" y="38100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100">
              <a:solidFill>
                <a:schemeClr val="tx1"/>
              </a:solidFill>
              <a:latin typeface="General Sans Medium" pitchFamily="2" charset="0"/>
            </a:rPr>
            <a:t>Early Detection</a:t>
          </a:r>
        </a:p>
      </xdr:txBody>
    </xdr:sp>
    <xdr:clientData/>
  </xdr:twoCellAnchor>
  <xdr:twoCellAnchor>
    <xdr:from>
      <xdr:col>26</xdr:col>
      <xdr:colOff>5773</xdr:colOff>
      <xdr:row>12</xdr:row>
      <xdr:rowOff>115455</xdr:rowOff>
    </xdr:from>
    <xdr:to>
      <xdr:col>28</xdr:col>
      <xdr:colOff>513773</xdr:colOff>
      <xdr:row>14</xdr:row>
      <xdr:rowOff>115455</xdr:rowOff>
    </xdr:to>
    <xdr:sp macro="" textlink="">
      <xdr:nvSpPr>
        <xdr:cNvPr id="47" name="Free-form: Shape 46">
          <a:extLst>
            <a:ext uri="{FF2B5EF4-FFF2-40B4-BE49-F238E27FC236}">
              <a16:creationId xmlns:a16="http://schemas.microsoft.com/office/drawing/2014/main" id="{19A6E069-3C4C-415D-BD3B-F5707D822644}"/>
            </a:ext>
          </a:extLst>
        </xdr:cNvPr>
        <xdr:cNvSpPr/>
      </xdr:nvSpPr>
      <xdr:spPr>
        <a:xfrm>
          <a:off x="15915409" y="3284682"/>
          <a:ext cx="1731819" cy="381000"/>
        </a:xfrm>
        <a:custGeom>
          <a:avLst/>
          <a:gdLst>
            <a:gd name="connsiteX0" fmla="*/ 0 w 1731819"/>
            <a:gd name="connsiteY0" fmla="*/ 0 h 381000"/>
            <a:gd name="connsiteX1" fmla="*/ 0 w 1731819"/>
            <a:gd name="connsiteY1" fmla="*/ 381000 h 381000"/>
            <a:gd name="connsiteX2" fmla="*/ 1731819 w 1731819"/>
            <a:gd name="connsiteY2" fmla="*/ 381000 h 381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31819" h="381000">
              <a:moveTo>
                <a:pt x="0" y="0"/>
              </a:moveTo>
              <a:lnTo>
                <a:pt x="0" y="381000"/>
              </a:lnTo>
              <a:lnTo>
                <a:pt x="1731819" y="38100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100">
              <a:solidFill>
                <a:schemeClr val="tx1"/>
              </a:solidFill>
              <a:latin typeface="General Sans Medium" pitchFamily="2" charset="0"/>
            </a:rPr>
            <a:t>Late Detection</a:t>
          </a:r>
        </a:p>
      </xdr:txBody>
    </xdr:sp>
    <xdr:clientData/>
  </xdr:twoCellAnchor>
  <xdr:twoCellAnchor>
    <xdr:from>
      <xdr:col>26</xdr:col>
      <xdr:colOff>5773</xdr:colOff>
      <xdr:row>16</xdr:row>
      <xdr:rowOff>132773</xdr:rowOff>
    </xdr:from>
    <xdr:to>
      <xdr:col>28</xdr:col>
      <xdr:colOff>513773</xdr:colOff>
      <xdr:row>18</xdr:row>
      <xdr:rowOff>132773</xdr:rowOff>
    </xdr:to>
    <xdr:sp macro="" textlink="">
      <xdr:nvSpPr>
        <xdr:cNvPr id="48" name="Free-form: Shape 47">
          <a:extLst>
            <a:ext uri="{FF2B5EF4-FFF2-40B4-BE49-F238E27FC236}">
              <a16:creationId xmlns:a16="http://schemas.microsoft.com/office/drawing/2014/main" id="{49C82DF3-0879-4449-9B7A-E611371E0DEC}"/>
            </a:ext>
          </a:extLst>
        </xdr:cNvPr>
        <xdr:cNvSpPr/>
      </xdr:nvSpPr>
      <xdr:spPr>
        <a:xfrm>
          <a:off x="15915409" y="4064000"/>
          <a:ext cx="1731819" cy="381000"/>
        </a:xfrm>
        <a:custGeom>
          <a:avLst/>
          <a:gdLst>
            <a:gd name="connsiteX0" fmla="*/ 0 w 1731819"/>
            <a:gd name="connsiteY0" fmla="*/ 0 h 381000"/>
            <a:gd name="connsiteX1" fmla="*/ 0 w 1731819"/>
            <a:gd name="connsiteY1" fmla="*/ 381000 h 381000"/>
            <a:gd name="connsiteX2" fmla="*/ 1731819 w 1731819"/>
            <a:gd name="connsiteY2" fmla="*/ 381000 h 381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31819" h="381000">
              <a:moveTo>
                <a:pt x="0" y="0"/>
              </a:moveTo>
              <a:lnTo>
                <a:pt x="0" y="381000"/>
              </a:lnTo>
              <a:lnTo>
                <a:pt x="1731819" y="38100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100">
              <a:solidFill>
                <a:schemeClr val="tx1"/>
              </a:solidFill>
              <a:latin typeface="General Sans Medium" pitchFamily="2" charset="0"/>
            </a:rPr>
            <a:t>Early Detection</a:t>
          </a:r>
        </a:p>
      </xdr:txBody>
    </xdr:sp>
    <xdr:clientData/>
  </xdr:twoCellAnchor>
  <xdr:twoCellAnchor>
    <xdr:from>
      <xdr:col>26</xdr:col>
      <xdr:colOff>0</xdr:colOff>
      <xdr:row>22</xdr:row>
      <xdr:rowOff>115454</xdr:rowOff>
    </xdr:from>
    <xdr:to>
      <xdr:col>28</xdr:col>
      <xdr:colOff>508000</xdr:colOff>
      <xdr:row>24</xdr:row>
      <xdr:rowOff>115454</xdr:rowOff>
    </xdr:to>
    <xdr:sp macro="" textlink="">
      <xdr:nvSpPr>
        <xdr:cNvPr id="49" name="Free-form: Shape 48">
          <a:extLst>
            <a:ext uri="{FF2B5EF4-FFF2-40B4-BE49-F238E27FC236}">
              <a16:creationId xmlns:a16="http://schemas.microsoft.com/office/drawing/2014/main" id="{618B9C20-C40F-4C0A-9186-42EBBFCAEE65}"/>
            </a:ext>
          </a:extLst>
        </xdr:cNvPr>
        <xdr:cNvSpPr/>
      </xdr:nvSpPr>
      <xdr:spPr>
        <a:xfrm>
          <a:off x="15909636" y="5189681"/>
          <a:ext cx="1731819" cy="381000"/>
        </a:xfrm>
        <a:custGeom>
          <a:avLst/>
          <a:gdLst>
            <a:gd name="connsiteX0" fmla="*/ 0 w 1731819"/>
            <a:gd name="connsiteY0" fmla="*/ 0 h 381000"/>
            <a:gd name="connsiteX1" fmla="*/ 0 w 1731819"/>
            <a:gd name="connsiteY1" fmla="*/ 381000 h 381000"/>
            <a:gd name="connsiteX2" fmla="*/ 1731819 w 1731819"/>
            <a:gd name="connsiteY2" fmla="*/ 381000 h 381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31819" h="381000">
              <a:moveTo>
                <a:pt x="0" y="0"/>
              </a:moveTo>
              <a:lnTo>
                <a:pt x="0" y="381000"/>
              </a:lnTo>
              <a:lnTo>
                <a:pt x="1731819" y="38100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100">
              <a:solidFill>
                <a:schemeClr val="tx1"/>
              </a:solidFill>
              <a:latin typeface="General Sans Medium" pitchFamily="2" charset="0"/>
            </a:rPr>
            <a:t>Late Detection</a:t>
          </a:r>
        </a:p>
      </xdr:txBody>
    </xdr:sp>
    <xdr:clientData/>
  </xdr:twoCellAnchor>
  <xdr:twoCellAnchor>
    <xdr:from>
      <xdr:col>26</xdr:col>
      <xdr:colOff>0</xdr:colOff>
      <xdr:row>29</xdr:row>
      <xdr:rowOff>115455</xdr:rowOff>
    </xdr:from>
    <xdr:to>
      <xdr:col>28</xdr:col>
      <xdr:colOff>508000</xdr:colOff>
      <xdr:row>31</xdr:row>
      <xdr:rowOff>115455</xdr:rowOff>
    </xdr:to>
    <xdr:sp macro="" textlink="">
      <xdr:nvSpPr>
        <xdr:cNvPr id="50" name="Free-form: Shape 49">
          <a:extLst>
            <a:ext uri="{FF2B5EF4-FFF2-40B4-BE49-F238E27FC236}">
              <a16:creationId xmlns:a16="http://schemas.microsoft.com/office/drawing/2014/main" id="{03CFEDFE-CEC5-404A-ABC1-620DA352C273}"/>
            </a:ext>
          </a:extLst>
        </xdr:cNvPr>
        <xdr:cNvSpPr/>
      </xdr:nvSpPr>
      <xdr:spPr>
        <a:xfrm>
          <a:off x="15909636" y="6523182"/>
          <a:ext cx="1731819" cy="381000"/>
        </a:xfrm>
        <a:custGeom>
          <a:avLst/>
          <a:gdLst>
            <a:gd name="connsiteX0" fmla="*/ 0 w 1731819"/>
            <a:gd name="connsiteY0" fmla="*/ 0 h 381000"/>
            <a:gd name="connsiteX1" fmla="*/ 0 w 1731819"/>
            <a:gd name="connsiteY1" fmla="*/ 381000 h 381000"/>
            <a:gd name="connsiteX2" fmla="*/ 1731819 w 1731819"/>
            <a:gd name="connsiteY2" fmla="*/ 381000 h 381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31819" h="381000">
              <a:moveTo>
                <a:pt x="0" y="0"/>
              </a:moveTo>
              <a:lnTo>
                <a:pt x="0" y="381000"/>
              </a:lnTo>
              <a:lnTo>
                <a:pt x="1731819" y="38100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100">
              <a:solidFill>
                <a:schemeClr val="tx1"/>
              </a:solidFill>
              <a:latin typeface="General Sans Medium" pitchFamily="2" charset="0"/>
            </a:rPr>
            <a:t>Early Detection</a:t>
          </a:r>
        </a:p>
      </xdr:txBody>
    </xdr:sp>
    <xdr:clientData/>
  </xdr:twoCellAnchor>
  <xdr:twoCellAnchor>
    <xdr:from>
      <xdr:col>26</xdr:col>
      <xdr:colOff>11545</xdr:colOff>
      <xdr:row>35</xdr:row>
      <xdr:rowOff>138545</xdr:rowOff>
    </xdr:from>
    <xdr:to>
      <xdr:col>28</xdr:col>
      <xdr:colOff>519545</xdr:colOff>
      <xdr:row>37</xdr:row>
      <xdr:rowOff>138545</xdr:rowOff>
    </xdr:to>
    <xdr:sp macro="" textlink="">
      <xdr:nvSpPr>
        <xdr:cNvPr id="51" name="Free-form: Shape 50">
          <a:extLst>
            <a:ext uri="{FF2B5EF4-FFF2-40B4-BE49-F238E27FC236}">
              <a16:creationId xmlns:a16="http://schemas.microsoft.com/office/drawing/2014/main" id="{CA0C9B46-37F2-4340-93AD-98D61A1318E3}"/>
            </a:ext>
          </a:extLst>
        </xdr:cNvPr>
        <xdr:cNvSpPr/>
      </xdr:nvSpPr>
      <xdr:spPr>
        <a:xfrm>
          <a:off x="15921181" y="7689272"/>
          <a:ext cx="1731819" cy="381000"/>
        </a:xfrm>
        <a:custGeom>
          <a:avLst/>
          <a:gdLst>
            <a:gd name="connsiteX0" fmla="*/ 0 w 1731819"/>
            <a:gd name="connsiteY0" fmla="*/ 0 h 381000"/>
            <a:gd name="connsiteX1" fmla="*/ 0 w 1731819"/>
            <a:gd name="connsiteY1" fmla="*/ 381000 h 381000"/>
            <a:gd name="connsiteX2" fmla="*/ 1731819 w 1731819"/>
            <a:gd name="connsiteY2" fmla="*/ 381000 h 381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31819" h="381000">
              <a:moveTo>
                <a:pt x="0" y="0"/>
              </a:moveTo>
              <a:lnTo>
                <a:pt x="0" y="381000"/>
              </a:lnTo>
              <a:lnTo>
                <a:pt x="1731819" y="38100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100">
              <a:solidFill>
                <a:schemeClr val="tx1"/>
              </a:solidFill>
              <a:latin typeface="General Sans Medium" pitchFamily="2" charset="0"/>
            </a:rPr>
            <a:t>Late Detection</a:t>
          </a:r>
        </a:p>
      </xdr:txBody>
    </xdr:sp>
    <xdr:clientData/>
  </xdr:twoCellAnchor>
  <xdr:twoCellAnchor>
    <xdr:from>
      <xdr:col>24</xdr:col>
      <xdr:colOff>5773</xdr:colOff>
      <xdr:row>8</xdr:row>
      <xdr:rowOff>115454</xdr:rowOff>
    </xdr:from>
    <xdr:to>
      <xdr:col>26</xdr:col>
      <xdr:colOff>11546</xdr:colOff>
      <xdr:row>10</xdr:row>
      <xdr:rowOff>109682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820B0E5-3332-4BCF-9434-FB2733AA676B}"/>
            </a:ext>
          </a:extLst>
        </xdr:cNvPr>
        <xdr:cNvCxnSpPr>
          <a:stCxn id="30" idx="6"/>
          <a:endCxn id="46" idx="1"/>
        </xdr:cNvCxnSpPr>
      </xdr:nvCxnSpPr>
      <xdr:spPr>
        <a:xfrm flipV="1">
          <a:off x="14691591" y="2522681"/>
          <a:ext cx="1229591" cy="37522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5773</xdr:colOff>
      <xdr:row>10</xdr:row>
      <xdr:rowOff>109682</xdr:rowOff>
    </xdr:from>
    <xdr:to>
      <xdr:col>26</xdr:col>
      <xdr:colOff>5773</xdr:colOff>
      <xdr:row>14</xdr:row>
      <xdr:rowOff>115455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DE54E68B-2167-429F-8D08-6AFDABF1FB5A}"/>
            </a:ext>
          </a:extLst>
        </xdr:cNvPr>
        <xdr:cNvCxnSpPr>
          <a:stCxn id="30" idx="6"/>
          <a:endCxn id="47" idx="1"/>
        </xdr:cNvCxnSpPr>
      </xdr:nvCxnSpPr>
      <xdr:spPr>
        <a:xfrm>
          <a:off x="14691591" y="2897909"/>
          <a:ext cx="1223818" cy="76777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583046</xdr:colOff>
      <xdr:row>18</xdr:row>
      <xdr:rowOff>132773</xdr:rowOff>
    </xdr:from>
    <xdr:to>
      <xdr:col>26</xdr:col>
      <xdr:colOff>5773</xdr:colOff>
      <xdr:row>21</xdr:row>
      <xdr:rowOff>34636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24D1C73-AE2F-4E43-99D5-B9CF3877726E}"/>
            </a:ext>
          </a:extLst>
        </xdr:cNvPr>
        <xdr:cNvCxnSpPr>
          <a:stCxn id="31" idx="6"/>
          <a:endCxn id="48" idx="1"/>
        </xdr:cNvCxnSpPr>
      </xdr:nvCxnSpPr>
      <xdr:spPr>
        <a:xfrm flipV="1">
          <a:off x="14656955" y="4445000"/>
          <a:ext cx="1258454" cy="47336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583046</xdr:colOff>
      <xdr:row>21</xdr:row>
      <xdr:rowOff>34636</xdr:rowOff>
    </xdr:from>
    <xdr:to>
      <xdr:col>26</xdr:col>
      <xdr:colOff>0</xdr:colOff>
      <xdr:row>24</xdr:row>
      <xdr:rowOff>115454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C9020AD0-C7E3-43AB-8B24-C044499B2360}"/>
            </a:ext>
          </a:extLst>
        </xdr:cNvPr>
        <xdr:cNvCxnSpPr>
          <a:stCxn id="31" idx="6"/>
          <a:endCxn id="49" idx="1"/>
        </xdr:cNvCxnSpPr>
      </xdr:nvCxnSpPr>
      <xdr:spPr>
        <a:xfrm>
          <a:off x="14656955" y="4918363"/>
          <a:ext cx="1252681" cy="65231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</xdr:colOff>
      <xdr:row>31</xdr:row>
      <xdr:rowOff>115455</xdr:rowOff>
    </xdr:from>
    <xdr:to>
      <xdr:col>26</xdr:col>
      <xdr:colOff>0</xdr:colOff>
      <xdr:row>34</xdr:row>
      <xdr:rowOff>173182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FF00427F-3978-4BC9-A951-2883E0D40E9B}"/>
            </a:ext>
          </a:extLst>
        </xdr:cNvPr>
        <xdr:cNvCxnSpPr>
          <a:stCxn id="32" idx="6"/>
          <a:endCxn id="50" idx="1"/>
        </xdr:cNvCxnSpPr>
      </xdr:nvCxnSpPr>
      <xdr:spPr>
        <a:xfrm flipV="1">
          <a:off x="14685819" y="6904182"/>
          <a:ext cx="1223817" cy="62922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</xdr:colOff>
      <xdr:row>34</xdr:row>
      <xdr:rowOff>173182</xdr:rowOff>
    </xdr:from>
    <xdr:to>
      <xdr:col>26</xdr:col>
      <xdr:colOff>11545</xdr:colOff>
      <xdr:row>37</xdr:row>
      <xdr:rowOff>138545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E8177D75-E0DC-4F91-B378-E285FB695201}"/>
            </a:ext>
          </a:extLst>
        </xdr:cNvPr>
        <xdr:cNvCxnSpPr>
          <a:stCxn id="32" idx="6"/>
          <a:endCxn id="51" idx="1"/>
        </xdr:cNvCxnSpPr>
      </xdr:nvCxnSpPr>
      <xdr:spPr>
        <a:xfrm>
          <a:off x="14685819" y="7533409"/>
          <a:ext cx="1235362" cy="53686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109684</xdr:colOff>
      <xdr:row>7</xdr:row>
      <xdr:rowOff>109682</xdr:rowOff>
    </xdr:from>
    <xdr:to>
      <xdr:col>31</xdr:col>
      <xdr:colOff>470482</xdr:colOff>
      <xdr:row>9</xdr:row>
      <xdr:rowOff>106795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6F2B8B09-BC83-46E0-8E36-20287C0C21A1}"/>
            </a:ext>
          </a:extLst>
        </xdr:cNvPr>
        <xdr:cNvSpPr/>
      </xdr:nvSpPr>
      <xdr:spPr>
        <a:xfrm rot="16200000">
          <a:off x="19070208" y="2335067"/>
          <a:ext cx="378113" cy="360798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98139</xdr:colOff>
      <xdr:row>13</xdr:row>
      <xdr:rowOff>115455</xdr:rowOff>
    </xdr:from>
    <xdr:to>
      <xdr:col>31</xdr:col>
      <xdr:colOff>458937</xdr:colOff>
      <xdr:row>15</xdr:row>
      <xdr:rowOff>112568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AE2618B3-42B4-4080-BEC3-70C520869D9F}"/>
            </a:ext>
          </a:extLst>
        </xdr:cNvPr>
        <xdr:cNvSpPr/>
      </xdr:nvSpPr>
      <xdr:spPr>
        <a:xfrm rot="16200000">
          <a:off x="19058663" y="3483840"/>
          <a:ext cx="378113" cy="360798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109684</xdr:colOff>
      <xdr:row>17</xdr:row>
      <xdr:rowOff>132772</xdr:rowOff>
    </xdr:from>
    <xdr:to>
      <xdr:col>31</xdr:col>
      <xdr:colOff>470482</xdr:colOff>
      <xdr:row>19</xdr:row>
      <xdr:rowOff>129885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42CCDA0E-882A-4951-988E-3D1CC3059C31}"/>
            </a:ext>
          </a:extLst>
        </xdr:cNvPr>
        <xdr:cNvSpPr/>
      </xdr:nvSpPr>
      <xdr:spPr>
        <a:xfrm rot="16200000">
          <a:off x="19070208" y="4263157"/>
          <a:ext cx="378113" cy="360798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138549</xdr:colOff>
      <xdr:row>23</xdr:row>
      <xdr:rowOff>115454</xdr:rowOff>
    </xdr:from>
    <xdr:to>
      <xdr:col>31</xdr:col>
      <xdr:colOff>499347</xdr:colOff>
      <xdr:row>25</xdr:row>
      <xdr:rowOff>112567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27A95095-423E-43D2-AEBC-0C2B7915D2D0}"/>
            </a:ext>
          </a:extLst>
        </xdr:cNvPr>
        <xdr:cNvSpPr/>
      </xdr:nvSpPr>
      <xdr:spPr>
        <a:xfrm rot="16200000">
          <a:off x="19099073" y="5388839"/>
          <a:ext cx="378113" cy="360798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127004</xdr:colOff>
      <xdr:row>30</xdr:row>
      <xdr:rowOff>127000</xdr:rowOff>
    </xdr:from>
    <xdr:to>
      <xdr:col>31</xdr:col>
      <xdr:colOff>487802</xdr:colOff>
      <xdr:row>32</xdr:row>
      <xdr:rowOff>124113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E5EC8C9-E3AB-437E-95B5-6F8D3EF5D73C}"/>
            </a:ext>
          </a:extLst>
        </xdr:cNvPr>
        <xdr:cNvSpPr/>
      </xdr:nvSpPr>
      <xdr:spPr>
        <a:xfrm rot="16200000">
          <a:off x="19087528" y="6733885"/>
          <a:ext cx="378113" cy="360798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155867</xdr:colOff>
      <xdr:row>36</xdr:row>
      <xdr:rowOff>138544</xdr:rowOff>
    </xdr:from>
    <xdr:to>
      <xdr:col>31</xdr:col>
      <xdr:colOff>516665</xdr:colOff>
      <xdr:row>38</xdr:row>
      <xdr:rowOff>135657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ECC98E74-74A8-4DC0-891E-083165F7136F}"/>
            </a:ext>
          </a:extLst>
        </xdr:cNvPr>
        <xdr:cNvSpPr/>
      </xdr:nvSpPr>
      <xdr:spPr>
        <a:xfrm rot="16200000">
          <a:off x="19116391" y="7888429"/>
          <a:ext cx="378113" cy="360798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519546</xdr:colOff>
      <xdr:row>8</xdr:row>
      <xdr:rowOff>108239</xdr:rowOff>
    </xdr:from>
    <xdr:to>
      <xdr:col>31</xdr:col>
      <xdr:colOff>109684</xdr:colOff>
      <xdr:row>8</xdr:row>
      <xdr:rowOff>115454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7AD55ED3-C8D8-4886-893C-5C08FF8DBAD3}"/>
            </a:ext>
          </a:extLst>
        </xdr:cNvPr>
        <xdr:cNvCxnSpPr>
          <a:stCxn id="46" idx="2"/>
          <a:endCxn id="70" idx="0"/>
        </xdr:cNvCxnSpPr>
      </xdr:nvCxnSpPr>
      <xdr:spPr>
        <a:xfrm flipV="1">
          <a:off x="17653001" y="2515466"/>
          <a:ext cx="1425865" cy="72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513773</xdr:colOff>
      <xdr:row>14</xdr:row>
      <xdr:rowOff>114012</xdr:rowOff>
    </xdr:from>
    <xdr:to>
      <xdr:col>31</xdr:col>
      <xdr:colOff>98139</xdr:colOff>
      <xdr:row>14</xdr:row>
      <xdr:rowOff>115455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5490B9A-4264-4706-874F-0BA25D45985E}"/>
            </a:ext>
          </a:extLst>
        </xdr:cNvPr>
        <xdr:cNvCxnSpPr>
          <a:stCxn id="47" idx="2"/>
          <a:endCxn id="71" idx="0"/>
        </xdr:cNvCxnSpPr>
      </xdr:nvCxnSpPr>
      <xdr:spPr>
        <a:xfrm flipV="1">
          <a:off x="17647228" y="3664239"/>
          <a:ext cx="1420093" cy="144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513773</xdr:colOff>
      <xdr:row>18</xdr:row>
      <xdr:rowOff>131329</xdr:rowOff>
    </xdr:from>
    <xdr:to>
      <xdr:col>31</xdr:col>
      <xdr:colOff>109684</xdr:colOff>
      <xdr:row>18</xdr:row>
      <xdr:rowOff>132773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D8288A8F-D632-41BE-AD39-95C1C4EBFB7E}"/>
            </a:ext>
          </a:extLst>
        </xdr:cNvPr>
        <xdr:cNvCxnSpPr>
          <a:stCxn id="48" idx="2"/>
          <a:endCxn id="72" idx="0"/>
        </xdr:cNvCxnSpPr>
      </xdr:nvCxnSpPr>
      <xdr:spPr>
        <a:xfrm flipV="1">
          <a:off x="17647228" y="4443556"/>
          <a:ext cx="1431638" cy="144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508000</xdr:colOff>
      <xdr:row>24</xdr:row>
      <xdr:rowOff>114011</xdr:rowOff>
    </xdr:from>
    <xdr:to>
      <xdr:col>31</xdr:col>
      <xdr:colOff>138549</xdr:colOff>
      <xdr:row>24</xdr:row>
      <xdr:rowOff>115454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276B3BFB-1D00-40D1-9A2F-14FE312BDB60}"/>
            </a:ext>
          </a:extLst>
        </xdr:cNvPr>
        <xdr:cNvCxnSpPr>
          <a:stCxn id="49" idx="2"/>
          <a:endCxn id="73" idx="0"/>
        </xdr:cNvCxnSpPr>
      </xdr:nvCxnSpPr>
      <xdr:spPr>
        <a:xfrm flipV="1">
          <a:off x="17641455" y="5569238"/>
          <a:ext cx="1466276" cy="144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508000</xdr:colOff>
      <xdr:row>31</xdr:row>
      <xdr:rowOff>115455</xdr:rowOff>
    </xdr:from>
    <xdr:to>
      <xdr:col>31</xdr:col>
      <xdr:colOff>127004</xdr:colOff>
      <xdr:row>31</xdr:row>
      <xdr:rowOff>125557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1E48DD2F-CDEB-41F4-AE3B-88CB88543A02}"/>
            </a:ext>
          </a:extLst>
        </xdr:cNvPr>
        <xdr:cNvCxnSpPr>
          <a:stCxn id="50" idx="2"/>
          <a:endCxn id="74" idx="0"/>
        </xdr:cNvCxnSpPr>
      </xdr:nvCxnSpPr>
      <xdr:spPr>
        <a:xfrm>
          <a:off x="17641455" y="6904182"/>
          <a:ext cx="1454731" cy="1010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519545</xdr:colOff>
      <xdr:row>37</xdr:row>
      <xdr:rowOff>137101</xdr:rowOff>
    </xdr:from>
    <xdr:to>
      <xdr:col>31</xdr:col>
      <xdr:colOff>155867</xdr:colOff>
      <xdr:row>37</xdr:row>
      <xdr:rowOff>138545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65A973E2-966C-4F10-9095-03577289A9AD}"/>
            </a:ext>
          </a:extLst>
        </xdr:cNvPr>
        <xdr:cNvCxnSpPr>
          <a:stCxn id="51" idx="2"/>
          <a:endCxn id="75" idx="0"/>
        </xdr:cNvCxnSpPr>
      </xdr:nvCxnSpPr>
      <xdr:spPr>
        <a:xfrm flipV="1">
          <a:off x="17653000" y="8068828"/>
          <a:ext cx="1472049" cy="144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2200274</xdr:colOff>
      <xdr:row>6</xdr:row>
      <xdr:rowOff>19050</xdr:rowOff>
    </xdr:from>
    <xdr:to>
      <xdr:col>3</xdr:col>
      <xdr:colOff>2146300</xdr:colOff>
      <xdr:row>31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77D7B-8993-B6FC-3AE8-5860D158F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463550</xdr:colOff>
      <xdr:row>6</xdr:row>
      <xdr:rowOff>6350</xdr:rowOff>
    </xdr:from>
    <xdr:to>
      <xdr:col>10</xdr:col>
      <xdr:colOff>209550</xdr:colOff>
      <xdr:row>31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8B592-CB3A-41FD-8DF3-B32FE5E49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1682750</xdr:colOff>
      <xdr:row>22</xdr:row>
      <xdr:rowOff>184150</xdr:rowOff>
    </xdr:from>
    <xdr:to>
      <xdr:col>5</xdr:col>
      <xdr:colOff>1955800</xdr:colOff>
      <xdr:row>29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663E15C-64E7-0414-858C-3A9D47697549}"/>
            </a:ext>
          </a:extLst>
        </xdr:cNvPr>
        <xdr:cNvSpPr/>
      </xdr:nvSpPr>
      <xdr:spPr>
        <a:xfrm>
          <a:off x="12763500" y="6153150"/>
          <a:ext cx="273050" cy="1301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1270000</xdr:colOff>
      <xdr:row>5</xdr:row>
      <xdr:rowOff>25400</xdr:rowOff>
    </xdr:from>
    <xdr:to>
      <xdr:col>5</xdr:col>
      <xdr:colOff>1819275</xdr:colOff>
      <xdr:row>22</xdr:row>
      <xdr:rowOff>184150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D473358-41CC-9D56-9A06-03B3E25E032E}"/>
            </a:ext>
          </a:extLst>
        </xdr:cNvPr>
        <xdr:cNvCxnSpPr>
          <a:endCxn id="4" idx="0"/>
        </xdr:cNvCxnSpPr>
      </xdr:nvCxnSpPr>
      <xdr:spPr>
        <a:xfrm>
          <a:off x="12350750" y="2755900"/>
          <a:ext cx="549275" cy="33972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D547-AF49-4BC9-9AC8-0F27FDC04736}">
  <dimension ref="A1:AH39"/>
  <sheetViews>
    <sheetView tabSelected="1" zoomScale="110" zoomScaleNormal="110" workbookViewId="0">
      <selection activeCell="L13" sqref="L13"/>
    </sheetView>
  </sheetViews>
  <sheetFormatPr defaultRowHeight="15" x14ac:dyDescent="0.35"/>
  <cols>
    <col min="1" max="18" width="8.7265625" style="1"/>
    <col min="19" max="19" width="10.08984375" style="1" bestFit="1" customWidth="1"/>
    <col min="20" max="16384" width="8.7265625" style="1"/>
  </cols>
  <sheetData>
    <row r="1" spans="1:34" s="2" customFormat="1" ht="77" customHeight="1" x14ac:dyDescent="0.35">
      <c r="C1" s="3" t="s">
        <v>58</v>
      </c>
    </row>
    <row r="2" spans="1:34" s="2" customFormat="1" ht="22.5" customHeight="1" x14ac:dyDescent="0.35">
      <c r="C2" s="5" t="s">
        <v>0</v>
      </c>
      <c r="D2" s="6"/>
      <c r="E2" s="6"/>
      <c r="F2" s="7" t="s">
        <v>1</v>
      </c>
      <c r="G2" s="4"/>
      <c r="H2" s="4"/>
      <c r="I2" s="4"/>
      <c r="J2" s="4"/>
      <c r="K2" s="4"/>
      <c r="L2" s="4"/>
    </row>
    <row r="3" spans="1:34" s="2" customFormat="1" x14ac:dyDescent="0.35"/>
    <row r="4" spans="1:34" s="2" customFormat="1" x14ac:dyDescent="0.35"/>
    <row r="5" spans="1:34" x14ac:dyDescent="0.35">
      <c r="A5" s="8"/>
      <c r="B5" s="8"/>
      <c r="C5" s="8"/>
      <c r="D5" s="8"/>
      <c r="E5" s="8"/>
    </row>
    <row r="6" spans="1:34" x14ac:dyDescent="0.35">
      <c r="A6" s="9"/>
      <c r="B6" s="9" t="s">
        <v>2</v>
      </c>
      <c r="C6" s="9"/>
      <c r="D6" s="9"/>
      <c r="E6" s="9"/>
    </row>
    <row r="7" spans="1:34" x14ac:dyDescent="0.35">
      <c r="A7" s="8"/>
      <c r="B7" s="8"/>
      <c r="C7" s="8"/>
      <c r="D7" s="8"/>
      <c r="E7" s="8"/>
      <c r="AG7" s="1" t="s">
        <v>14</v>
      </c>
      <c r="AH7" s="1" t="s">
        <v>9</v>
      </c>
    </row>
    <row r="8" spans="1:34" x14ac:dyDescent="0.35">
      <c r="A8" s="8"/>
      <c r="B8" s="8"/>
      <c r="C8" s="8"/>
      <c r="D8" s="8"/>
      <c r="E8" s="8"/>
    </row>
    <row r="9" spans="1:34" x14ac:dyDescent="0.35">
      <c r="A9" s="8"/>
      <c r="B9" s="8"/>
      <c r="C9" s="8" t="s">
        <v>3</v>
      </c>
      <c r="D9" s="8"/>
      <c r="E9" s="8"/>
      <c r="AG9" s="19">
        <f>RPedC</f>
        <v>3030</v>
      </c>
      <c r="AH9" s="18">
        <f>RPedLE</f>
        <v>7</v>
      </c>
    </row>
    <row r="10" spans="1:34" x14ac:dyDescent="0.35">
      <c r="A10" s="8"/>
      <c r="B10" s="8"/>
      <c r="C10" s="8"/>
      <c r="D10" s="8"/>
      <c r="E10" s="8"/>
      <c r="AA10" s="17">
        <f>RPed</f>
        <v>0.35000000000000003</v>
      </c>
      <c r="AG10" s="20"/>
      <c r="AH10" s="21"/>
    </row>
    <row r="11" spans="1:34" x14ac:dyDescent="0.35">
      <c r="A11" s="8"/>
      <c r="B11" s="8"/>
      <c r="C11" s="8"/>
      <c r="D11" s="8"/>
      <c r="E11" s="8"/>
      <c r="AG11" s="20"/>
      <c r="AH11" s="21"/>
    </row>
    <row r="12" spans="1:34" x14ac:dyDescent="0.35">
      <c r="A12" s="8"/>
      <c r="B12" s="8"/>
      <c r="C12" s="8" t="s">
        <v>4</v>
      </c>
      <c r="D12" s="8"/>
      <c r="E12" s="8"/>
      <c r="S12" s="22">
        <f>AA10*AG9+AA16*AG15</f>
        <v>8873.5</v>
      </c>
      <c r="AG12" s="20"/>
      <c r="AH12" s="21"/>
    </row>
    <row r="13" spans="1:34" x14ac:dyDescent="0.35">
      <c r="A13" s="8"/>
      <c r="B13" s="8"/>
      <c r="C13" s="8"/>
      <c r="D13" s="8"/>
      <c r="E13" s="8"/>
      <c r="S13" s="23">
        <f>AA10*AH9+AA16*AH15</f>
        <v>3.4249999999999998</v>
      </c>
      <c r="T13" s="1" t="s">
        <v>13</v>
      </c>
      <c r="AG13" s="20"/>
      <c r="AH13" s="21"/>
    </row>
    <row r="14" spans="1:34" x14ac:dyDescent="0.35">
      <c r="A14" s="8"/>
      <c r="B14" s="8"/>
      <c r="C14" s="8"/>
      <c r="D14" s="8"/>
      <c r="E14" s="8"/>
      <c r="AG14" s="20"/>
      <c r="AH14" s="21"/>
    </row>
    <row r="15" spans="1:34" x14ac:dyDescent="0.35">
      <c r="A15" s="8"/>
      <c r="B15" s="8"/>
      <c r="C15" s="8" t="s">
        <v>5</v>
      </c>
      <c r="D15" s="8"/>
      <c r="E15" s="8"/>
      <c r="AG15" s="19">
        <f>RPldC</f>
        <v>12020</v>
      </c>
      <c r="AH15" s="18">
        <f>RPldLE</f>
        <v>1.5</v>
      </c>
    </row>
    <row r="16" spans="1:34" x14ac:dyDescent="0.35">
      <c r="A16" s="8"/>
      <c r="B16" s="8"/>
      <c r="C16" s="8"/>
      <c r="D16" s="8"/>
      <c r="E16" s="8"/>
      <c r="AA16" s="17">
        <f>1-AA10</f>
        <v>0.64999999999999991</v>
      </c>
      <c r="AG16" s="20"/>
      <c r="AH16" s="21"/>
    </row>
    <row r="17" spans="1:34" x14ac:dyDescent="0.35">
      <c r="A17" s="8"/>
      <c r="B17" s="8"/>
      <c r="C17" s="8"/>
      <c r="D17" s="8"/>
      <c r="E17" s="8"/>
      <c r="AG17" s="20"/>
      <c r="AH17" s="21"/>
    </row>
    <row r="18" spans="1:34" x14ac:dyDescent="0.35">
      <c r="A18" s="8"/>
      <c r="B18" s="8"/>
      <c r="C18" s="8" t="s">
        <v>6</v>
      </c>
      <c r="D18" s="8"/>
      <c r="E18" s="8"/>
      <c r="AG18" s="20"/>
      <c r="AH18" s="21"/>
    </row>
    <row r="19" spans="1:34" x14ac:dyDescent="0.35">
      <c r="A19" s="8"/>
      <c r="B19" s="8"/>
      <c r="C19" s="8"/>
      <c r="D19" s="8"/>
      <c r="E19" s="8"/>
      <c r="AG19" s="19">
        <f>PCedC</f>
        <v>3900</v>
      </c>
      <c r="AH19" s="18">
        <f>PCedLE</f>
        <v>7</v>
      </c>
    </row>
    <row r="20" spans="1:34" x14ac:dyDescent="0.35">
      <c r="A20" s="8"/>
      <c r="B20" s="8"/>
      <c r="C20" s="8"/>
      <c r="D20" s="8"/>
      <c r="E20" s="8"/>
      <c r="AA20" s="17">
        <f>PCed</f>
        <v>0.4</v>
      </c>
      <c r="AG20" s="20"/>
      <c r="AH20" s="21"/>
    </row>
    <row r="21" spans="1:34" x14ac:dyDescent="0.35">
      <c r="A21" s="8"/>
      <c r="B21" s="8"/>
      <c r="C21" s="8"/>
      <c r="D21" s="8"/>
      <c r="E21" s="8"/>
      <c r="AG21" s="20"/>
      <c r="AH21" s="21"/>
    </row>
    <row r="22" spans="1:34" x14ac:dyDescent="0.35">
      <c r="A22" s="8"/>
      <c r="B22" s="8"/>
      <c r="C22" s="8"/>
      <c r="D22" s="8"/>
      <c r="E22" s="8"/>
      <c r="AG22" s="20"/>
      <c r="AH22" s="21"/>
    </row>
    <row r="23" spans="1:34" x14ac:dyDescent="0.35">
      <c r="A23" s="8"/>
      <c r="B23" s="8"/>
      <c r="C23" s="8" t="s">
        <v>12</v>
      </c>
      <c r="D23" s="8"/>
      <c r="E23" s="8"/>
      <c r="S23" s="24">
        <f>AA20*AG19+AA26*AG25</f>
        <v>9240</v>
      </c>
      <c r="AG23" s="20"/>
      <c r="AH23" s="21"/>
    </row>
    <row r="24" spans="1:34" x14ac:dyDescent="0.35">
      <c r="A24" s="8"/>
      <c r="B24" s="8"/>
      <c r="C24" s="8"/>
      <c r="D24" s="8"/>
      <c r="E24" s="8"/>
      <c r="S24" s="23">
        <f>AA20*AH19+AA26*AH25</f>
        <v>3.7</v>
      </c>
      <c r="T24" s="1" t="s">
        <v>13</v>
      </c>
      <c r="AG24" s="20"/>
      <c r="AH24" s="21"/>
    </row>
    <row r="25" spans="1:34" x14ac:dyDescent="0.35">
      <c r="A25" s="8"/>
      <c r="B25" s="8"/>
      <c r="C25" s="8"/>
      <c r="D25" s="8"/>
      <c r="E25" s="8"/>
      <c r="AG25" s="19">
        <f>PCldC</f>
        <v>12800</v>
      </c>
      <c r="AH25" s="18">
        <f>PCldLE</f>
        <v>1.5</v>
      </c>
    </row>
    <row r="26" spans="1:34" x14ac:dyDescent="0.35">
      <c r="A26" s="8"/>
      <c r="B26" s="8"/>
      <c r="C26" s="8"/>
      <c r="D26" s="8"/>
      <c r="E26" s="8"/>
      <c r="AA26" s="17">
        <f>1-AA20</f>
        <v>0.6</v>
      </c>
      <c r="AG26" s="20"/>
      <c r="AH26" s="21"/>
    </row>
    <row r="27" spans="1:34" x14ac:dyDescent="0.35">
      <c r="A27" s="8"/>
      <c r="B27" s="8"/>
      <c r="C27" s="8"/>
      <c r="D27" s="8"/>
      <c r="E27" s="8"/>
      <c r="AG27" s="20"/>
      <c r="AH27" s="21"/>
    </row>
    <row r="28" spans="1:34" x14ac:dyDescent="0.35">
      <c r="A28" s="8"/>
      <c r="B28" s="10"/>
      <c r="C28" s="8" t="s">
        <v>7</v>
      </c>
      <c r="D28" s="8"/>
      <c r="E28" s="8"/>
      <c r="AG28" s="20"/>
      <c r="AH28" s="21"/>
    </row>
    <row r="29" spans="1:34" x14ac:dyDescent="0.35">
      <c r="A29" s="8"/>
      <c r="B29" s="11"/>
      <c r="C29" s="8" t="s">
        <v>8</v>
      </c>
      <c r="D29" s="8"/>
      <c r="E29" s="8"/>
      <c r="AG29" s="20"/>
      <c r="AH29" s="21"/>
    </row>
    <row r="30" spans="1:34" x14ac:dyDescent="0.35">
      <c r="A30" s="8"/>
      <c r="B30" s="12"/>
      <c r="C30" s="8" t="s">
        <v>9</v>
      </c>
      <c r="D30" s="8"/>
      <c r="E30" s="8"/>
      <c r="AG30" s="20"/>
      <c r="AH30" s="21"/>
    </row>
    <row r="31" spans="1:34" x14ac:dyDescent="0.35">
      <c r="A31" s="8"/>
      <c r="B31" s="13"/>
      <c r="C31" s="8" t="s">
        <v>10</v>
      </c>
      <c r="D31" s="8"/>
      <c r="E31" s="8"/>
      <c r="AG31" s="20"/>
      <c r="AH31" s="21"/>
    </row>
    <row r="32" spans="1:34" x14ac:dyDescent="0.35">
      <c r="A32" s="8"/>
      <c r="B32" s="14"/>
      <c r="C32" s="8" t="s">
        <v>11</v>
      </c>
      <c r="D32" s="8"/>
      <c r="E32" s="8"/>
      <c r="AG32" s="19">
        <f>HCedC</f>
        <v>6200</v>
      </c>
      <c r="AH32" s="18">
        <f>HCedLE</f>
        <v>7</v>
      </c>
    </row>
    <row r="33" spans="1:34" x14ac:dyDescent="0.35">
      <c r="A33" s="8"/>
      <c r="B33" s="8"/>
      <c r="C33" s="8"/>
      <c r="D33" s="8"/>
      <c r="E33" s="8"/>
      <c r="AA33" s="17">
        <f>HCed</f>
        <v>0.45</v>
      </c>
      <c r="AG33" s="20"/>
      <c r="AH33" s="21"/>
    </row>
    <row r="34" spans="1:34" x14ac:dyDescent="0.35">
      <c r="A34" s="8"/>
      <c r="B34" s="8"/>
      <c r="C34" s="8"/>
      <c r="D34" s="8"/>
      <c r="E34" s="8"/>
      <c r="AG34" s="20"/>
      <c r="AH34" s="21"/>
    </row>
    <row r="35" spans="1:34" x14ac:dyDescent="0.35">
      <c r="A35" s="8"/>
      <c r="B35" s="8"/>
      <c r="C35" s="8"/>
      <c r="D35" s="8"/>
      <c r="E35" s="8"/>
      <c r="AG35" s="20"/>
      <c r="AH35" s="21"/>
    </row>
    <row r="36" spans="1:34" x14ac:dyDescent="0.35">
      <c r="A36" s="8"/>
      <c r="B36" s="8"/>
      <c r="C36" s="8"/>
      <c r="D36" s="8"/>
      <c r="E36" s="8"/>
      <c r="AG36" s="20"/>
      <c r="AH36" s="21"/>
    </row>
    <row r="37" spans="1:34" x14ac:dyDescent="0.35">
      <c r="S37" s="24">
        <f>AA33*AG32+AA39*AG38</f>
        <v>10710</v>
      </c>
      <c r="AG37" s="20"/>
      <c r="AH37" s="21"/>
    </row>
    <row r="38" spans="1:34" x14ac:dyDescent="0.35">
      <c r="S38" s="23">
        <f>AA33*AH32+AA39*AH38</f>
        <v>3.9750000000000001</v>
      </c>
      <c r="T38" s="1" t="s">
        <v>13</v>
      </c>
      <c r="AG38" s="19">
        <f>HCldC</f>
        <v>14400</v>
      </c>
      <c r="AH38" s="18">
        <f>HCldLE</f>
        <v>1.5</v>
      </c>
    </row>
    <row r="39" spans="1:34" x14ac:dyDescent="0.35">
      <c r="AA39" s="17">
        <f>1-AA33</f>
        <v>0.55000000000000004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652C-E1F9-4F90-9988-C0DE8F95FE89}">
  <dimension ref="A1:K23"/>
  <sheetViews>
    <sheetView zoomScale="130" zoomScaleNormal="130" workbookViewId="0">
      <selection activeCell="L29" sqref="L29"/>
    </sheetView>
  </sheetViews>
  <sheetFormatPr defaultRowHeight="15" x14ac:dyDescent="0.35"/>
  <cols>
    <col min="1" max="1" width="50.1796875" style="1" customWidth="1"/>
    <col min="2" max="11" width="12.1796875" style="1" customWidth="1"/>
    <col min="12" max="16384" width="8.7265625" style="1"/>
  </cols>
  <sheetData>
    <row r="1" spans="1:5" x14ac:dyDescent="0.35">
      <c r="A1" s="16" t="s">
        <v>15</v>
      </c>
      <c r="B1" s="16" t="s">
        <v>16</v>
      </c>
      <c r="C1" s="16" t="s">
        <v>17</v>
      </c>
      <c r="D1" s="16" t="s">
        <v>18</v>
      </c>
    </row>
    <row r="2" spans="1:5" x14ac:dyDescent="0.35">
      <c r="A2" s="1" t="s">
        <v>19</v>
      </c>
      <c r="B2" s="1" t="s">
        <v>20</v>
      </c>
      <c r="C2" s="17">
        <f>ROUNDUP(E2,2)</f>
        <v>0.35000000000000003</v>
      </c>
      <c r="E2" s="1">
        <f>1-EXP(-0.43*1)</f>
        <v>0.34949090527668347</v>
      </c>
    </row>
    <row r="3" spans="1:5" x14ac:dyDescent="0.35">
      <c r="A3" s="1" t="s">
        <v>21</v>
      </c>
      <c r="B3" s="1" t="s">
        <v>22</v>
      </c>
      <c r="C3" s="17">
        <v>0.4</v>
      </c>
    </row>
    <row r="4" spans="1:5" x14ac:dyDescent="0.35">
      <c r="A4" s="1" t="s">
        <v>23</v>
      </c>
      <c r="B4" s="1" t="s">
        <v>24</v>
      </c>
      <c r="C4" s="17">
        <v>0.45</v>
      </c>
    </row>
    <row r="5" spans="1:5" x14ac:dyDescent="0.35">
      <c r="A5" s="1" t="s">
        <v>25</v>
      </c>
      <c r="B5" s="1" t="s">
        <v>26</v>
      </c>
      <c r="C5" s="19">
        <v>3030</v>
      </c>
    </row>
    <row r="6" spans="1:5" x14ac:dyDescent="0.35">
      <c r="A6" s="1" t="s">
        <v>27</v>
      </c>
      <c r="B6" s="1" t="s">
        <v>28</v>
      </c>
      <c r="C6" s="19">
        <v>12020</v>
      </c>
    </row>
    <row r="7" spans="1:5" x14ac:dyDescent="0.35">
      <c r="A7" s="1" t="s">
        <v>29</v>
      </c>
      <c r="B7" s="1" t="s">
        <v>30</v>
      </c>
      <c r="C7" s="19">
        <v>3900</v>
      </c>
    </row>
    <row r="8" spans="1:5" x14ac:dyDescent="0.35">
      <c r="A8" s="1" t="s">
        <v>31</v>
      </c>
      <c r="B8" s="1" t="s">
        <v>32</v>
      </c>
      <c r="C8" s="19">
        <v>12800</v>
      </c>
    </row>
    <row r="9" spans="1:5" x14ac:dyDescent="0.35">
      <c r="A9" s="1" t="s">
        <v>33</v>
      </c>
      <c r="B9" s="1" t="s">
        <v>34</v>
      </c>
      <c r="C9" s="19">
        <v>6200</v>
      </c>
    </row>
    <row r="10" spans="1:5" x14ac:dyDescent="0.35">
      <c r="A10" s="1" t="s">
        <v>35</v>
      </c>
      <c r="B10" s="1" t="s">
        <v>36</v>
      </c>
      <c r="C10" s="19">
        <v>14400</v>
      </c>
    </row>
    <row r="11" spans="1:5" x14ac:dyDescent="0.35">
      <c r="A11" s="1" t="s">
        <v>37</v>
      </c>
      <c r="B11" s="1" t="s">
        <v>38</v>
      </c>
      <c r="C11" s="18">
        <v>7</v>
      </c>
    </row>
    <row r="12" spans="1:5" x14ac:dyDescent="0.35">
      <c r="A12" s="1" t="s">
        <v>39</v>
      </c>
      <c r="B12" s="1" t="s">
        <v>40</v>
      </c>
      <c r="C12" s="18">
        <v>1.5</v>
      </c>
    </row>
    <row r="13" spans="1:5" x14ac:dyDescent="0.35">
      <c r="A13" s="1" t="s">
        <v>41</v>
      </c>
      <c r="B13" s="1" t="s">
        <v>42</v>
      </c>
      <c r="C13" s="18">
        <v>7</v>
      </c>
    </row>
    <row r="14" spans="1:5" x14ac:dyDescent="0.35">
      <c r="A14" s="1" t="s">
        <v>43</v>
      </c>
      <c r="B14" s="1" t="s">
        <v>44</v>
      </c>
      <c r="C14" s="18">
        <v>1.5</v>
      </c>
    </row>
    <row r="15" spans="1:5" x14ac:dyDescent="0.35">
      <c r="A15" s="1" t="s">
        <v>45</v>
      </c>
      <c r="B15" s="1" t="s">
        <v>46</v>
      </c>
      <c r="C15" s="18">
        <v>7</v>
      </c>
    </row>
    <row r="16" spans="1:5" x14ac:dyDescent="0.35">
      <c r="A16" s="1" t="s">
        <v>47</v>
      </c>
      <c r="B16" s="1" t="s">
        <v>48</v>
      </c>
      <c r="C16" s="18">
        <v>1.5</v>
      </c>
    </row>
    <row r="19" spans="1:11" x14ac:dyDescent="0.35">
      <c r="A19" s="1" t="s">
        <v>56</v>
      </c>
    </row>
    <row r="21" spans="1:11" x14ac:dyDescent="0.35">
      <c r="A21" s="35" t="str">
        <f>B3</f>
        <v>PCed</v>
      </c>
      <c r="B21" s="1" t="s">
        <v>57</v>
      </c>
      <c r="C21" s="15">
        <v>0.36</v>
      </c>
      <c r="D21" s="15">
        <v>0.37</v>
      </c>
      <c r="E21" s="15">
        <v>0.38</v>
      </c>
      <c r="F21" s="15">
        <v>0.39</v>
      </c>
      <c r="G21" s="37">
        <v>0.4</v>
      </c>
      <c r="H21" s="15">
        <v>0.41</v>
      </c>
      <c r="I21" s="15">
        <v>0.42</v>
      </c>
      <c r="J21" s="15">
        <v>0.43</v>
      </c>
      <c r="K21" s="15">
        <v>0.44</v>
      </c>
    </row>
    <row r="22" spans="1:11" x14ac:dyDescent="0.35">
      <c r="A22" s="1" t="s">
        <v>50</v>
      </c>
      <c r="B22" s="36">
        <f>Results!F3</f>
        <v>1332.7272727272709</v>
      </c>
      <c r="C22" s="36">
        <f t="dataTable" ref="C22:K23" dt2D="0" dtr="1" r1="C3"/>
        <v>13136.363636363598</v>
      </c>
      <c r="D22" s="36">
        <v>5759.0909090908926</v>
      </c>
      <c r="E22" s="36">
        <v>3299.9999999999991</v>
      </c>
      <c r="F22" s="36">
        <v>2070.4545454545437</v>
      </c>
      <c r="G22" s="38">
        <v>1332.7272727272709</v>
      </c>
      <c r="H22" s="36">
        <v>840.90909090909076</v>
      </c>
      <c r="I22" s="36">
        <v>489.61038961038929</v>
      </c>
      <c r="J22" s="36">
        <v>226.13636363636365</v>
      </c>
      <c r="K22" s="36">
        <v>21.212121212121207</v>
      </c>
    </row>
    <row r="23" spans="1:11" x14ac:dyDescent="0.35">
      <c r="A23" s="1" t="s">
        <v>51</v>
      </c>
      <c r="B23" s="36">
        <f>Results!F4</f>
        <v>5345.4545454545469</v>
      </c>
      <c r="C23" s="36">
        <v>2250.5050505050499</v>
      </c>
      <c r="D23" s="36">
        <v>2734.0909090909095</v>
      </c>
      <c r="E23" s="36">
        <v>3355.8441558441536</v>
      </c>
      <c r="F23" s="36">
        <v>4184.8484848484841</v>
      </c>
      <c r="G23" s="38">
        <v>5345.4545454545469</v>
      </c>
      <c r="H23" s="36">
        <v>7086.3636363636297</v>
      </c>
      <c r="I23" s="36">
        <v>9987.8787878787862</v>
      </c>
      <c r="J23" s="36">
        <v>15790.909090909045</v>
      </c>
      <c r="K23" s="36">
        <v>33199.999999999905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9A22-A6BD-4A17-B45F-7EF13BA17F04}">
  <dimension ref="A1:F4"/>
  <sheetViews>
    <sheetView zoomScale="120" zoomScaleNormal="120" workbookViewId="0">
      <selection activeCell="M2" sqref="M2"/>
    </sheetView>
  </sheetViews>
  <sheetFormatPr defaultRowHeight="15" x14ac:dyDescent="0.35"/>
  <cols>
    <col min="1" max="6" width="31.7265625" style="1" customWidth="1"/>
    <col min="7" max="16384" width="8.7265625" style="1"/>
  </cols>
  <sheetData>
    <row r="1" spans="1:6" s="25" customFormat="1" ht="50" customHeight="1" x14ac:dyDescent="0.35">
      <c r="A1" s="26"/>
      <c r="B1" s="33" t="s">
        <v>10</v>
      </c>
      <c r="C1" s="33" t="s">
        <v>52</v>
      </c>
      <c r="D1" s="33" t="s">
        <v>53</v>
      </c>
      <c r="E1" s="33" t="s">
        <v>54</v>
      </c>
      <c r="F1" s="33" t="s">
        <v>55</v>
      </c>
    </row>
    <row r="2" spans="1:6" s="25" customFormat="1" ht="50" customHeight="1" x14ac:dyDescent="0.35">
      <c r="A2" s="32" t="s">
        <v>49</v>
      </c>
      <c r="B2" s="27">
        <f>'Decision Model'!S12</f>
        <v>8873.5</v>
      </c>
      <c r="C2" s="28">
        <f>'Decision Model'!S13</f>
        <v>3.4249999999999998</v>
      </c>
      <c r="D2" s="29"/>
      <c r="E2" s="29"/>
      <c r="F2" s="29"/>
    </row>
    <row r="3" spans="1:6" s="25" customFormat="1" ht="50" customHeight="1" x14ac:dyDescent="0.35">
      <c r="A3" s="32" t="s">
        <v>50</v>
      </c>
      <c r="B3" s="27">
        <f>'Decision Model'!S23</f>
        <v>9240</v>
      </c>
      <c r="C3" s="28">
        <f>'Decision Model'!S24</f>
        <v>3.7</v>
      </c>
      <c r="D3" s="30">
        <f>B3-B2</f>
        <v>366.5</v>
      </c>
      <c r="E3" s="31">
        <f>C3-C2</f>
        <v>0.27500000000000036</v>
      </c>
      <c r="F3" s="34">
        <f>D3/E3</f>
        <v>1332.7272727272709</v>
      </c>
    </row>
    <row r="4" spans="1:6" s="25" customFormat="1" ht="50" customHeight="1" x14ac:dyDescent="0.35">
      <c r="A4" s="32" t="s">
        <v>51</v>
      </c>
      <c r="B4" s="27">
        <f>'Decision Model'!S37</f>
        <v>10710</v>
      </c>
      <c r="C4" s="28">
        <f>'Decision Model'!S38</f>
        <v>3.9750000000000001</v>
      </c>
      <c r="D4" s="30">
        <f>B4-B3</f>
        <v>1470</v>
      </c>
      <c r="E4" s="31">
        <f>C4-C3</f>
        <v>0.27499999999999991</v>
      </c>
      <c r="F4" s="34">
        <f>D4/E4</f>
        <v>5345.4545454545469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Decision Model</vt:lpstr>
      <vt:lpstr>Parameters</vt:lpstr>
      <vt:lpstr>Results</vt:lpstr>
      <vt:lpstr>HCed</vt:lpstr>
      <vt:lpstr>HCedC</vt:lpstr>
      <vt:lpstr>HCedLE</vt:lpstr>
      <vt:lpstr>HCldC</vt:lpstr>
      <vt:lpstr>HCldLE</vt:lpstr>
      <vt:lpstr>PCed</vt:lpstr>
      <vt:lpstr>PCedC</vt:lpstr>
      <vt:lpstr>PCedLE</vt:lpstr>
      <vt:lpstr>PCldC</vt:lpstr>
      <vt:lpstr>PCldLE</vt:lpstr>
      <vt:lpstr>RPed</vt:lpstr>
      <vt:lpstr>RPedC</vt:lpstr>
      <vt:lpstr>RPedLE</vt:lpstr>
      <vt:lpstr>RPldC</vt:lpstr>
      <vt:lpstr>RPldLE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von Hein</dc:creator>
  <cp:lastModifiedBy>Mirko von Hein</cp:lastModifiedBy>
  <dcterms:created xsi:type="dcterms:W3CDTF">2025-04-25T08:35:45Z</dcterms:created>
  <dcterms:modified xsi:type="dcterms:W3CDTF">2025-04-27T09:20:10Z</dcterms:modified>
</cp:coreProperties>
</file>