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ivateinterimname-my.sharepoint.com/personal/mirko_vonhein_privateinterimname_onmicrosoft_com/Documents/YouTube/research/Budget Impact Model Tutorial/"/>
    </mc:Choice>
  </mc:AlternateContent>
  <xr:revisionPtr revIDLastSave="666" documentId="8_{6AB18599-1081-449D-A64C-98D970D80E98}" xr6:coauthVersionLast="47" xr6:coauthVersionMax="47" xr10:uidLastSave="{21FFDE8D-0123-408A-B717-28634C12A6BD}"/>
  <bookViews>
    <workbookView xWindow="-110" yWindow="-110" windowWidth="38620" windowHeight="21100" xr2:uid="{3BF3EB13-19F0-41E9-80B6-29429769E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1" l="1"/>
  <c r="R29" i="1"/>
  <c r="R28" i="1"/>
  <c r="R27" i="1"/>
  <c r="R26" i="1"/>
  <c r="R25" i="1"/>
  <c r="S17" i="1" a="1"/>
  <c r="S17" i="1" s="1"/>
  <c r="M47" i="1"/>
  <c r="M48" i="1"/>
  <c r="M49" i="1"/>
  <c r="M50" i="1"/>
  <c r="M46" i="1"/>
  <c r="K40" i="1"/>
  <c r="K36" i="1"/>
  <c r="K37" i="1"/>
  <c r="K38" i="1"/>
  <c r="K39" i="1"/>
  <c r="K35" i="1"/>
  <c r="M7" i="1"/>
  <c r="M8" i="1" s="1"/>
  <c r="M9" i="1" s="1"/>
  <c r="M10" i="1" s="1"/>
  <c r="M12" i="1" s="1"/>
  <c r="L21" i="1" s="1"/>
  <c r="G57" i="1"/>
  <c r="F57" i="1"/>
  <c r="G52" i="1"/>
  <c r="F52" i="1"/>
  <c r="G45" i="1"/>
  <c r="F45" i="1"/>
  <c r="G38" i="1"/>
  <c r="F38" i="1"/>
  <c r="G32" i="1"/>
  <c r="F32" i="1"/>
  <c r="G26" i="1"/>
  <c r="G59" i="1" s="1"/>
  <c r="F26" i="1"/>
  <c r="F59" i="1" s="1"/>
  <c r="S18" i="1" l="1" a="1"/>
  <c r="S18" i="1" s="1"/>
  <c r="L22" i="1"/>
  <c r="L23" i="1" s="1"/>
  <c r="L24" i="1" s="1"/>
  <c r="L25" i="1" s="1"/>
  <c r="L26" i="1" s="1"/>
  <c r="W17" i="1"/>
  <c r="X17" i="1"/>
  <c r="V17" i="1"/>
  <c r="U17" i="1"/>
  <c r="T17" i="1"/>
  <c r="X18" i="1" l="1"/>
  <c r="T18" i="1"/>
  <c r="U18" i="1"/>
  <c r="W18" i="1"/>
  <c r="V18" i="1"/>
  <c r="S10" i="1" a="1"/>
  <c r="V10" i="1" s="1"/>
  <c r="V37" i="1" s="1"/>
  <c r="V44" i="1"/>
  <c r="V36" i="1"/>
  <c r="V52" i="1"/>
  <c r="V51" i="1"/>
  <c r="V47" i="1" l="1"/>
  <c r="V53" i="1"/>
  <c r="V46" i="1"/>
  <c r="V45" i="1"/>
  <c r="U10" i="1"/>
  <c r="U44" i="1" s="1"/>
  <c r="T10" i="1"/>
  <c r="X10" i="1"/>
  <c r="X45" i="1" s="1"/>
  <c r="X72" i="1" s="1"/>
  <c r="S10" i="1"/>
  <c r="V55" i="1"/>
  <c r="V56" i="1"/>
  <c r="V34" i="1"/>
  <c r="V32" i="1"/>
  <c r="V54" i="1"/>
  <c r="V48" i="1"/>
  <c r="V75" i="1" s="1"/>
  <c r="V49" i="1"/>
  <c r="V76" i="1" s="1"/>
  <c r="V35" i="1"/>
  <c r="W10" i="1"/>
  <c r="W46" i="1" s="1"/>
  <c r="V33" i="1"/>
  <c r="U45" i="1"/>
  <c r="U51" i="1"/>
  <c r="U54" i="1"/>
  <c r="U32" i="1"/>
  <c r="U47" i="1"/>
  <c r="U52" i="1"/>
  <c r="U35" i="1"/>
  <c r="U53" i="1"/>
  <c r="U46" i="1"/>
  <c r="U48" i="1"/>
  <c r="U37" i="1"/>
  <c r="U36" i="1"/>
  <c r="W33" i="1"/>
  <c r="W44" i="1"/>
  <c r="T54" i="1"/>
  <c r="T32" i="1"/>
  <c r="T47" i="1"/>
  <c r="T35" i="1"/>
  <c r="T34" i="1"/>
  <c r="T44" i="1"/>
  <c r="T48" i="1"/>
  <c r="Y10" i="1"/>
  <c r="T46" i="1"/>
  <c r="T49" i="1"/>
  <c r="T37" i="1"/>
  <c r="T36" i="1"/>
  <c r="X49" i="1"/>
  <c r="X36" i="1"/>
  <c r="X52" i="1"/>
  <c r="X54" i="1"/>
  <c r="X32" i="1"/>
  <c r="X37" i="1"/>
  <c r="X53" i="1"/>
  <c r="X34" i="1"/>
  <c r="X47" i="1"/>
  <c r="X44" i="1"/>
  <c r="X46" i="1"/>
  <c r="X73" i="1" s="1"/>
  <c r="X51" i="1"/>
  <c r="X33" i="1"/>
  <c r="S54" i="1"/>
  <c r="S37" i="1"/>
  <c r="S52" i="1"/>
  <c r="S35" i="1"/>
  <c r="S53" i="1"/>
  <c r="S32" i="1"/>
  <c r="S36" i="1"/>
  <c r="S34" i="1"/>
  <c r="S33" i="1"/>
  <c r="S51" i="1"/>
  <c r="U71" i="1" l="1"/>
  <c r="S71" i="1"/>
  <c r="U73" i="1"/>
  <c r="S72" i="1"/>
  <c r="S74" i="1"/>
  <c r="S63" i="1"/>
  <c r="S66" i="1" s="1"/>
  <c r="U74" i="1"/>
  <c r="W34" i="1"/>
  <c r="Y34" i="1" s="1"/>
  <c r="V73" i="1"/>
  <c r="T71" i="1"/>
  <c r="T64" i="1"/>
  <c r="W45" i="1"/>
  <c r="W72" i="1" s="1"/>
  <c r="U49" i="1"/>
  <c r="U64" i="1" s="1"/>
  <c r="Y54" i="1"/>
  <c r="W48" i="1"/>
  <c r="W32" i="1"/>
  <c r="W63" i="1" s="1"/>
  <c r="W66" i="1" s="1"/>
  <c r="V72" i="1"/>
  <c r="U33" i="1"/>
  <c r="U72" i="1" s="1"/>
  <c r="V64" i="1"/>
  <c r="S73" i="1"/>
  <c r="T74" i="1"/>
  <c r="W56" i="1"/>
  <c r="W55" i="1"/>
  <c r="W54" i="1"/>
  <c r="V63" i="1"/>
  <c r="V66" i="1" s="1"/>
  <c r="W52" i="1"/>
  <c r="S56" i="1"/>
  <c r="S76" i="1" s="1"/>
  <c r="S55" i="1"/>
  <c r="S75" i="1" s="1"/>
  <c r="T56" i="1"/>
  <c r="T55" i="1"/>
  <c r="W53" i="1"/>
  <c r="W73" i="1" s="1"/>
  <c r="W37" i="1"/>
  <c r="Y37" i="1" s="1"/>
  <c r="T33" i="1"/>
  <c r="T53" i="1"/>
  <c r="Y53" i="1" s="1"/>
  <c r="V71" i="1"/>
  <c r="T76" i="1"/>
  <c r="T75" i="1"/>
  <c r="T63" i="1"/>
  <c r="X71" i="1"/>
  <c r="W51" i="1"/>
  <c r="W71" i="1" s="1"/>
  <c r="W35" i="1"/>
  <c r="Y35" i="1" s="1"/>
  <c r="W36" i="1"/>
  <c r="Y36" i="1" s="1"/>
  <c r="X55" i="1"/>
  <c r="X56" i="1"/>
  <c r="X76" i="1" s="1"/>
  <c r="W47" i="1"/>
  <c r="W74" i="1" s="1"/>
  <c r="X35" i="1"/>
  <c r="X74" i="1" s="1"/>
  <c r="U55" i="1"/>
  <c r="U75" i="1" s="1"/>
  <c r="U56" i="1"/>
  <c r="X48" i="1"/>
  <c r="X75" i="1" s="1"/>
  <c r="W49" i="1"/>
  <c r="W76" i="1" s="1"/>
  <c r="T45" i="1"/>
  <c r="T51" i="1"/>
  <c r="T52" i="1"/>
  <c r="Y52" i="1" s="1"/>
  <c r="U34" i="1"/>
  <c r="V74" i="1"/>
  <c r="Y44" i="1"/>
  <c r="Y46" i="1"/>
  <c r="U67" i="1" l="1"/>
  <c r="Y74" i="1"/>
  <c r="W75" i="1"/>
  <c r="X64" i="1"/>
  <c r="Y55" i="1"/>
  <c r="Y45" i="1"/>
  <c r="X63" i="1"/>
  <c r="X66" i="1" s="1"/>
  <c r="W64" i="1"/>
  <c r="Y64" i="1" s="1"/>
  <c r="Y49" i="1"/>
  <c r="S64" i="1"/>
  <c r="V65" i="1"/>
  <c r="V67" i="1"/>
  <c r="V68" i="1" s="1"/>
  <c r="Y71" i="1"/>
  <c r="Y75" i="1"/>
  <c r="Y72" i="1"/>
  <c r="U63" i="1"/>
  <c r="U66" i="1" s="1"/>
  <c r="Y76" i="1"/>
  <c r="Y48" i="1"/>
  <c r="Y63" i="1"/>
  <c r="T66" i="1"/>
  <c r="Y66" i="1" s="1"/>
  <c r="Y33" i="1"/>
  <c r="Y47" i="1"/>
  <c r="T73" i="1"/>
  <c r="Y73" i="1" s="1"/>
  <c r="Y56" i="1"/>
  <c r="Y51" i="1"/>
  <c r="U76" i="1"/>
  <c r="T65" i="1"/>
  <c r="T67" i="1"/>
  <c r="Y32" i="1"/>
  <c r="T72" i="1"/>
  <c r="U65" i="1" l="1"/>
  <c r="Y65" i="1" s="1"/>
  <c r="U68" i="1"/>
  <c r="S79" i="1" a="1"/>
  <c r="S65" i="1"/>
  <c r="S67" i="1"/>
  <c r="S68" i="1" s="1"/>
  <c r="W65" i="1"/>
  <c r="W67" i="1"/>
  <c r="W68" i="1" s="1"/>
  <c r="X65" i="1"/>
  <c r="X67" i="1"/>
  <c r="X68" i="1" s="1"/>
  <c r="T68" i="1"/>
  <c r="Y68" i="1" s="1"/>
  <c r="Y67" i="1"/>
  <c r="S83" i="1" l="1"/>
  <c r="W83" i="1"/>
  <c r="X83" i="1"/>
  <c r="U84" i="1"/>
  <c r="V79" i="1"/>
  <c r="W84" i="1"/>
  <c r="U80" i="1"/>
  <c r="X81" i="1"/>
  <c r="T84" i="1"/>
  <c r="V81" i="1"/>
  <c r="T81" i="1"/>
  <c r="T80" i="1"/>
  <c r="T79" i="1"/>
  <c r="T82" i="1"/>
  <c r="S79" i="1"/>
  <c r="S80" i="1"/>
  <c r="V84" i="1"/>
  <c r="X79" i="1"/>
  <c r="U81" i="1"/>
  <c r="W80" i="1"/>
  <c r="W79" i="1"/>
  <c r="X80" i="1"/>
  <c r="W81" i="1"/>
  <c r="S81" i="1"/>
  <c r="V80" i="1"/>
  <c r="U79" i="1"/>
  <c r="X84" i="1"/>
  <c r="V83" i="1"/>
  <c r="U83" i="1"/>
  <c r="V82" i="1"/>
  <c r="X82" i="1"/>
  <c r="U82" i="1"/>
  <c r="S82" i="1"/>
  <c r="W82" i="1"/>
  <c r="S84" i="1"/>
  <c r="T83" i="1"/>
  <c r="Y81" i="1" l="1"/>
  <c r="Y82" i="1"/>
  <c r="Y79" i="1"/>
  <c r="Y80" i="1"/>
  <c r="Y84" i="1"/>
  <c r="Y83" i="1"/>
</calcChain>
</file>

<file path=xl/sharedStrings.xml><?xml version="1.0" encoding="utf-8"?>
<sst xmlns="http://schemas.openxmlformats.org/spreadsheetml/2006/main" count="187" uniqueCount="78">
  <si>
    <t>SCENARIO &amp; OBJECTIVE</t>
  </si>
  <si>
    <t>- There are two drugs to reat diabetes: Treatment A, which has just been reimbursed, and Treatment B, which is the current standard of care.</t>
  </si>
  <si>
    <t>- We want to determine the budget impacct of introducing Drug A to the treatment mix</t>
  </si>
  <si>
    <t>- To achieve this, we need to compare a World WITH Treatment A against a World WITHOUT Treatment A</t>
  </si>
  <si>
    <t>- We want to calculate the budget impact on a national level for England, with a time horizon of 5 years</t>
  </si>
  <si>
    <t>COSTS</t>
  </si>
  <si>
    <t>Treatment-Related Costs</t>
  </si>
  <si>
    <t>Drug Acquisition Costs</t>
  </si>
  <si>
    <t>Cost</t>
  </si>
  <si>
    <t>Frequency</t>
  </si>
  <si>
    <t>A</t>
  </si>
  <si>
    <t>B</t>
  </si>
  <si>
    <t>Treatment A (new treatment)</t>
  </si>
  <si>
    <t>Treatment B (standard of care)</t>
  </si>
  <si>
    <t>Cost per Year (per patient)</t>
  </si>
  <si>
    <t>Administration Costs</t>
  </si>
  <si>
    <t>Nurse Cost for Injection</t>
  </si>
  <si>
    <t>Monitoring Costs</t>
  </si>
  <si>
    <t>Blood Pressure Monitoring + Lab Test</t>
  </si>
  <si>
    <t>Adverse Event Costs</t>
  </si>
  <si>
    <t>Injection Site Reaction</t>
  </si>
  <si>
    <t>Rare Severe Side Effect</t>
  </si>
  <si>
    <t>Condition-Related Costs</t>
  </si>
  <si>
    <t>Hospitalisation Costs</t>
  </si>
  <si>
    <t>Hospitalisation due to cardiovasular event</t>
  </si>
  <si>
    <t>Outpatient Visits</t>
  </si>
  <si>
    <t>Endocrinologist OP visit</t>
  </si>
  <si>
    <t>Total Cost per Year (per patient)</t>
  </si>
  <si>
    <t>EPIDEMIOLOGY</t>
  </si>
  <si>
    <t>Cacade Step</t>
  </si>
  <si>
    <t>Assumption</t>
  </si>
  <si>
    <t>Population Size</t>
  </si>
  <si>
    <t>Total Population of England</t>
  </si>
  <si>
    <t>Diabetes Prevalence</t>
  </si>
  <si>
    <t>Type 2 Diabetes Cases</t>
  </si>
  <si>
    <t>On Drug Therapy</t>
  </si>
  <si>
    <t>Second-line therapy</t>
  </si>
  <si>
    <t>Prevalent Patient Population</t>
  </si>
  <si>
    <t>Annual Incidence</t>
  </si>
  <si>
    <t>ELIGIBLE PATIENT POPULATION</t>
  </si>
  <si>
    <t>Year</t>
  </si>
  <si>
    <t>Eligible Patients</t>
  </si>
  <si>
    <t>Year 0 (Baseline)</t>
  </si>
  <si>
    <t>Year 1 (2026)</t>
  </si>
  <si>
    <t>Year 2 (2027)</t>
  </si>
  <si>
    <t>Year 3 (2028)</t>
  </si>
  <si>
    <t>Year 4 (2029)</t>
  </si>
  <si>
    <t>Year 5 (2030)</t>
  </si>
  <si>
    <t>MARKET SHARES</t>
  </si>
  <si>
    <t>World WITHOUT New Treatment (Current Practice)</t>
  </si>
  <si>
    <t>Treatment A</t>
  </si>
  <si>
    <t>Treatment B</t>
  </si>
  <si>
    <t>World WITH New Treatment (Future Practice)</t>
  </si>
  <si>
    <t>ENGINE</t>
  </si>
  <si>
    <t>Transpose Patient Numbers</t>
  </si>
  <si>
    <t>Time</t>
  </si>
  <si>
    <t>Year 0</t>
  </si>
  <si>
    <t>Year 1</t>
  </si>
  <si>
    <t>Year 2</t>
  </si>
  <si>
    <t>Year 3</t>
  </si>
  <si>
    <t>Year 4</t>
  </si>
  <si>
    <t>Year 5</t>
  </si>
  <si>
    <t>TOTAL</t>
  </si>
  <si>
    <t>Baseline</t>
  </si>
  <si>
    <t>Eligibile Patients</t>
  </si>
  <si>
    <t>Transpose Market Shares (World WITH new Treatment)</t>
  </si>
  <si>
    <t>Cost Type</t>
  </si>
  <si>
    <t>Treatment</t>
  </si>
  <si>
    <t>Comparison</t>
  </si>
  <si>
    <t>World WITHOUT Total</t>
  </si>
  <si>
    <t>World WITH Total</t>
  </si>
  <si>
    <t>Budget Impact (Total)</t>
  </si>
  <si>
    <t>World WITHOUT (per patient)</t>
  </si>
  <si>
    <t>World WITH (per patient)</t>
  </si>
  <si>
    <t>Budget Impact (per patient)</t>
  </si>
  <si>
    <t>Detailed Results (Total)</t>
  </si>
  <si>
    <t>Detailed Results (per patient)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</si>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</sst>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&quot;£&quot;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0" xfId="0" applyFill="1"/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3" fillId="6" borderId="0" xfId="0" applyFont="1" applyFill="1"/>
    <xf numFmtId="0" fontId="3" fillId="3" borderId="0" xfId="0" applyFont="1" applyFill="1"/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9" fontId="0" fillId="3" borderId="0" xfId="1" applyFont="1" applyFill="1" applyBorder="1" applyAlignment="1">
      <alignment horizontal="left"/>
    </xf>
    <xf numFmtId="164" fontId="3" fillId="6" borderId="0" xfId="0" applyNumberFormat="1" applyFont="1" applyFill="1" applyAlignment="1">
      <alignment horizontal="left"/>
    </xf>
    <xf numFmtId="0" fontId="0" fillId="3" borderId="9" xfId="0" applyFill="1" applyBorder="1"/>
    <xf numFmtId="3" fontId="0" fillId="3" borderId="0" xfId="0" applyNumberFormat="1" applyFill="1"/>
    <xf numFmtId="9" fontId="0" fillId="3" borderId="0" xfId="1" applyFont="1" applyFill="1" applyBorder="1"/>
    <xf numFmtId="0" fontId="0" fillId="2" borderId="0" xfId="0" applyFill="1"/>
    <xf numFmtId="0" fontId="2" fillId="2" borderId="0" xfId="0" applyFont="1" applyFill="1"/>
    <xf numFmtId="3" fontId="0" fillId="4" borderId="0" xfId="0" applyNumberFormat="1" applyFill="1"/>
    <xf numFmtId="9" fontId="0" fillId="4" borderId="0" xfId="1" applyFont="1" applyFill="1" applyBorder="1"/>
    <xf numFmtId="9" fontId="3" fillId="6" borderId="0" xfId="1" applyFont="1" applyFill="1" applyBorder="1"/>
    <xf numFmtId="3" fontId="3" fillId="6" borderId="0" xfId="0" applyNumberFormat="1" applyFont="1" applyFill="1"/>
    <xf numFmtId="0" fontId="4" fillId="2" borderId="0" xfId="0" applyFont="1" applyFill="1"/>
    <xf numFmtId="0" fontId="3" fillId="3" borderId="9" xfId="0" applyFont="1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3" fontId="0" fillId="4" borderId="12" xfId="0" applyNumberFormat="1" applyFill="1" applyBorder="1" applyAlignment="1">
      <alignment horizontal="center"/>
    </xf>
    <xf numFmtId="3" fontId="0" fillId="4" borderId="0" xfId="0" applyNumberForma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9" fontId="0" fillId="3" borderId="12" xfId="1" applyFont="1" applyFill="1" applyBorder="1" applyAlignment="1">
      <alignment horizontal="center"/>
    </xf>
    <xf numFmtId="9" fontId="0" fillId="3" borderId="0" xfId="1" applyFont="1" applyFill="1" applyBorder="1" applyAlignment="1">
      <alignment horizontal="center"/>
    </xf>
    <xf numFmtId="9" fontId="0" fillId="4" borderId="12" xfId="1" applyFont="1" applyFill="1" applyBorder="1" applyAlignment="1">
      <alignment horizontal="center"/>
    </xf>
    <xf numFmtId="9" fontId="0" fillId="4" borderId="0" xfId="1" applyFont="1" applyFill="1" applyBorder="1" applyAlignment="1">
      <alignment horizontal="center"/>
    </xf>
    <xf numFmtId="165" fontId="0" fillId="3" borderId="14" xfId="0" applyNumberFormat="1" applyFill="1" applyBorder="1" applyAlignment="1">
      <alignment horizontal="center"/>
    </xf>
    <xf numFmtId="165" fontId="0" fillId="3" borderId="10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5" fontId="0" fillId="3" borderId="15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0" fillId="4" borderId="10" xfId="0" applyFill="1" applyBorder="1"/>
    <xf numFmtId="165" fontId="0" fillId="4" borderId="14" xfId="0" applyNumberFormat="1" applyFill="1" applyBorder="1" applyAlignment="1">
      <alignment horizontal="center"/>
    </xf>
    <xf numFmtId="165" fontId="0" fillId="4" borderId="10" xfId="0" applyNumberFormat="1" applyFill="1" applyBorder="1" applyAlignment="1">
      <alignment horizontal="center"/>
    </xf>
    <xf numFmtId="165" fontId="0" fillId="4" borderId="15" xfId="0" applyNumberFormat="1" applyFill="1" applyBorder="1" applyAlignment="1">
      <alignment horizontal="center"/>
    </xf>
    <xf numFmtId="165" fontId="0" fillId="4" borderId="11" xfId="0" applyNumberFormat="1" applyFill="1" applyBorder="1" applyAlignment="1">
      <alignment horizontal="center"/>
    </xf>
    <xf numFmtId="165" fontId="3" fillId="6" borderId="15" xfId="0" applyNumberFormat="1" applyFont="1" applyFill="1" applyBorder="1" applyAlignment="1">
      <alignment horizontal="center"/>
    </xf>
    <xf numFmtId="165" fontId="3" fillId="6" borderId="11" xfId="0" applyNumberFormat="1" applyFont="1" applyFill="1" applyBorder="1" applyAlignment="1">
      <alignment horizontal="center"/>
    </xf>
    <xf numFmtId="0" fontId="3" fillId="5" borderId="9" xfId="0" applyFont="1" applyFill="1" applyBorder="1"/>
    <xf numFmtId="0" fontId="0" fillId="5" borderId="9" xfId="0" applyFill="1" applyBorder="1"/>
    <xf numFmtId="0" fontId="3" fillId="3" borderId="12" xfId="0" applyFont="1" applyFill="1" applyBorder="1"/>
    <xf numFmtId="0" fontId="3" fillId="3" borderId="12" xfId="0" applyFont="1" applyFill="1" applyBorder="1" applyAlignment="1">
      <alignment horizontal="left"/>
    </xf>
    <xf numFmtId="0" fontId="0" fillId="7" borderId="0" xfId="0" applyFill="1"/>
    <xf numFmtId="0" fontId="3" fillId="7" borderId="0" xfId="0" applyFont="1" applyFill="1"/>
    <xf numFmtId="0" fontId="0" fillId="7" borderId="2" xfId="0" applyFill="1" applyBorder="1"/>
    <xf numFmtId="0" fontId="2" fillId="2" borderId="0" xfId="0" applyFont="1" applyFill="1" applyAlignment="1">
      <alignment horizontal="left"/>
    </xf>
    <xf numFmtId="0" fontId="0" fillId="4" borderId="0" xfId="0" quotePrefix="1" applyFill="1" applyAlignment="1">
      <alignment horizontal="left" wrapText="1"/>
    </xf>
    <xf numFmtId="0" fontId="0" fillId="4" borderId="0" xfId="0" quotePrefix="1" applyFill="1" applyAlignment="1">
      <alignment horizontal="left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8" borderId="0" xfId="0" applyFill="1"/>
    <xf numFmtId="0" fontId="3" fillId="8" borderId="0" xfId="0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Budget Impact</a:t>
            </a:r>
            <a:r>
              <a:rPr lang="en-GB" b="1" baseline="0"/>
              <a:t> Results (Total)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World WITHOUT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Sheet1!$T$63:$X$63</c:f>
              <c:numCache>
                <c:formatCode>"£"#,##0</c:formatCode>
                <c:ptCount val="5"/>
                <c:pt idx="0">
                  <c:v>768438000</c:v>
                </c:pt>
                <c:pt idx="1">
                  <c:v>867438000</c:v>
                </c:pt>
                <c:pt idx="2">
                  <c:v>966438000</c:v>
                </c:pt>
                <c:pt idx="3">
                  <c:v>1065438000</c:v>
                </c:pt>
                <c:pt idx="4">
                  <c:v>1164438000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0-45A6-9F13-8865AC61D994}"/>
            </c:ext>
          </c:extLst>
        </c:ser>
        <c:ser>
          <c:idx val="1"/>
          <c:order val="1"/>
          <c:tx>
            <c:v>World WITH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Sheet1!$T$64:$X$64</c:f>
              <c:numCache>
                <c:formatCode>"£"#,##0</c:formatCode>
                <c:ptCount val="5"/>
                <c:pt idx="0">
                  <c:v>805695600</c:v>
                </c:pt>
                <c:pt idx="1">
                  <c:v>972582000</c:v>
                </c:pt>
                <c:pt idx="2">
                  <c:v>1153868400</c:v>
                </c:pt>
                <c:pt idx="3">
                  <c:v>1375383600</c:v>
                </c:pt>
                <c:pt idx="4">
                  <c:v>1616098800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0-45A6-9F13-8865AC61D994}"/>
            </c:ext>
          </c:extLst>
        </c:ser>
        <c:ser>
          <c:idx val="2"/>
          <c:order val="2"/>
          <c:tx>
            <c:v>Budget Impact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Sheet1!$T$65:$X$65</c:f>
              <c:numCache>
                <c:formatCode>"£"#,##0</c:formatCode>
                <c:ptCount val="5"/>
                <c:pt idx="0">
                  <c:v>37257600</c:v>
                </c:pt>
                <c:pt idx="1">
                  <c:v>105144000</c:v>
                </c:pt>
                <c:pt idx="2">
                  <c:v>187430400</c:v>
                </c:pt>
                <c:pt idx="3">
                  <c:v>309945600</c:v>
                </c:pt>
                <c:pt idx="4">
                  <c:v>451660800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80-45A6-9F13-8865AC61D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999392"/>
        <c:axId val="942004672"/>
      </c:barChart>
      <c:catAx>
        <c:axId val="941999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04672"/>
        <c:crosses val="autoZero"/>
        <c:auto val="1"/>
        <c:lblAlgn val="ctr"/>
        <c:lblOffset val="100"/>
        <c:noMultiLvlLbl val="0"/>
      </c:catAx>
      <c:valAx>
        <c:axId val="9420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99392"/>
        <c:crosses val="autoZero"/>
        <c:crossBetween val="between"/>
        <c:majorUnit val="500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Budget Impact</a:t>
            </a:r>
            <a:r>
              <a:rPr lang="en-GB" b="1" baseline="0"/>
              <a:t> Results (per patient)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World WITHOUT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Sheet1!$T$66:$X$66</c:f>
              <c:numCache>
                <c:formatCode>"£"#,##0</c:formatCode>
                <c:ptCount val="5"/>
                <c:pt idx="0">
                  <c:v>660</c:v>
                </c:pt>
                <c:pt idx="1">
                  <c:v>660</c:v>
                </c:pt>
                <c:pt idx="2">
                  <c:v>660</c:v>
                </c:pt>
                <c:pt idx="3">
                  <c:v>660</c:v>
                </c:pt>
                <c:pt idx="4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5-494A-BBFE-DF429A12A5E4}"/>
            </c:ext>
          </c:extLst>
        </c:ser>
        <c:ser>
          <c:idx val="1"/>
          <c:order val="1"/>
          <c:tx>
            <c:v>World WITH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Sheet1!$T$67:$X$67</c:f>
              <c:numCache>
                <c:formatCode>"£"#,##0</c:formatCode>
                <c:ptCount val="5"/>
                <c:pt idx="0">
                  <c:v>692</c:v>
                </c:pt>
                <c:pt idx="1">
                  <c:v>740</c:v>
                </c:pt>
                <c:pt idx="2">
                  <c:v>788</c:v>
                </c:pt>
                <c:pt idx="3">
                  <c:v>852</c:v>
                </c:pt>
                <c:pt idx="4">
                  <c:v>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5-494A-BBFE-DF429A12A5E4}"/>
            </c:ext>
          </c:extLst>
        </c:ser>
        <c:ser>
          <c:idx val="2"/>
          <c:order val="2"/>
          <c:tx>
            <c:v>Budget Impact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Sheet1!$T$68:$X$68</c:f>
              <c:numCache>
                <c:formatCode>"£"#,##0</c:formatCode>
                <c:ptCount val="5"/>
                <c:pt idx="0">
                  <c:v>32</c:v>
                </c:pt>
                <c:pt idx="1">
                  <c:v>80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15-494A-BBFE-DF429A12A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999392"/>
        <c:axId val="942004672"/>
      </c:barChart>
      <c:catAx>
        <c:axId val="941999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04672"/>
        <c:crosses val="autoZero"/>
        <c:auto val="1"/>
        <c:lblAlgn val="ctr"/>
        <c:lblOffset val="100"/>
        <c:noMultiLvlLbl val="0"/>
      </c:catAx>
      <c:valAx>
        <c:axId val="9420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99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5-Year</a:t>
            </a:r>
            <a:r>
              <a:rPr lang="en-GB" sz="1400" baseline="0"/>
              <a:t> Budget Impact Results Per Patient by Cost Type</a:t>
            </a:r>
            <a:endParaRPr lang="en-GB" sz="1400"/>
          </a:p>
        </c:rich>
      </c:tx>
      <c:layout>
        <c:manualLayout>
          <c:xMode val="edge"/>
          <c:yMode val="edge"/>
          <c:x val="0.12280365322657803"/>
          <c:y val="2.4032047776467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5.6417664880087301E-2"/>
          <c:y val="0.14855810867153238"/>
          <c:w val="0.89077970891644098"/>
          <c:h val="0.561581333974187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Sheet1!$R$79</c:f>
              <c:strCache>
                <c:ptCount val="1"/>
                <c:pt idx="0">
                  <c:v>Drug Acquisition Costs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Sheet1!$Y$79</c:f>
              <c:numCache>
                <c:formatCode>"£"#,##0</c:formatCode>
                <c:ptCount val="1"/>
                <c:pt idx="0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2-42A8-9D8C-21AF5748D917}"/>
            </c:ext>
          </c:extLst>
        </c:ser>
        <c:ser>
          <c:idx val="1"/>
          <c:order val="1"/>
          <c:tx>
            <c:strRef>
              <c:f>Sheet1!$R$80</c:f>
              <c:strCache>
                <c:ptCount val="1"/>
                <c:pt idx="0">
                  <c:v>Administration Costs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Sheet1!$Y$80</c:f>
              <c:numCache>
                <c:formatCode>"£"#,##0</c:formatCode>
                <c:ptCount val="1"/>
                <c:pt idx="0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32-42A8-9D8C-21AF5748D917}"/>
            </c:ext>
          </c:extLst>
        </c:ser>
        <c:ser>
          <c:idx val="2"/>
          <c:order val="2"/>
          <c:tx>
            <c:strRef>
              <c:f>Sheet1!$R$81</c:f>
              <c:strCache>
                <c:ptCount val="1"/>
                <c:pt idx="0">
                  <c:v>Monitoring Costs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Sheet1!$Y$81</c:f>
              <c:numCache>
                <c:formatCode>"£"#,##0</c:formatCode>
                <c:ptCount val="1"/>
                <c:pt idx="0">
                  <c:v>107.5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32-42A8-9D8C-21AF5748D917}"/>
            </c:ext>
          </c:extLst>
        </c:ser>
        <c:ser>
          <c:idx val="3"/>
          <c:order val="3"/>
          <c:tx>
            <c:strRef>
              <c:f>Sheet1!$R$82</c:f>
              <c:strCache>
                <c:ptCount val="1"/>
                <c:pt idx="0">
                  <c:v>Adverse Event Costs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Sheet1!$Y$82</c:f>
              <c:numCache>
                <c:formatCode>"£"#,##0</c:formatCode>
                <c:ptCount val="1"/>
                <c:pt idx="0">
                  <c:v>-118.25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32-42A8-9D8C-21AF5748D917}"/>
            </c:ext>
          </c:extLst>
        </c:ser>
        <c:ser>
          <c:idx val="4"/>
          <c:order val="4"/>
          <c:tx>
            <c:strRef>
              <c:f>Sheet1!$R$83</c:f>
              <c:strCache>
                <c:ptCount val="1"/>
                <c:pt idx="0">
                  <c:v>Hospitalisation Costs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Sheet1!$Y$83</c:f>
              <c:numCache>
                <c:formatCode>"£"#,##0</c:formatCode>
                <c:ptCount val="1"/>
                <c:pt idx="0">
                  <c:v>-161.25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32-42A8-9D8C-21AF5748D917}"/>
            </c:ext>
          </c:extLst>
        </c:ser>
        <c:ser>
          <c:idx val="5"/>
          <c:order val="5"/>
          <c:tx>
            <c:strRef>
              <c:f>Sheet1!$R$84</c:f>
              <c:strCache>
                <c:ptCount val="1"/>
                <c:pt idx="0">
                  <c:v>Outpatient Visits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Sheet1!$Y$84</c:f>
              <c:numCache>
                <c:formatCode>"£"#,##0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32-42A8-9D8C-21AF5748D9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72183615"/>
        <c:axId val="1872185055"/>
      </c:barChart>
      <c:catAx>
        <c:axId val="1872183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85055"/>
        <c:crosses val="autoZero"/>
        <c:auto val="1"/>
        <c:lblAlgn val="ctr"/>
        <c:lblOffset val="100"/>
        <c:noMultiLvlLbl val="0"/>
      </c:catAx>
      <c:valAx>
        <c:axId val="18721850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183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9605302828198462E-2"/>
          <c:y val="0.84679474928140397"/>
          <c:w val="0.86603816434394809"/>
          <c:h val="0.1291732029421281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Market Share / Uptake of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Sheet1!$L$44</c:f>
              <c:strCache>
                <c:ptCount val="1"/>
                <c:pt idx="0">
                  <c:v>Treatment 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Sheet1!$K$46:$K$50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Sheet1!$L$46:$L$50</c:f>
              <c:numCache>
                <c:formatCode>0%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0-428F-ADDC-AF8CDE3EA241}"/>
            </c:ext>
          </c:extLst>
        </c:ser>
        <c:ser>
          <c:idx val="1"/>
          <c:order val="1"/>
          <c:tx>
            <c:strRef>
              <c:f>Sheet1!$M$44</c:f>
              <c:strCache>
                <c:ptCount val="1"/>
                <c:pt idx="0">
                  <c:v>Treatment B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Sheet1!$K$46:$K$50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Sheet1!$M$46:$M$50</c:f>
              <c:numCache>
                <c:formatCode>0%</c:formatCode>
                <c:ptCount val="5"/>
                <c:pt idx="0">
                  <c:v>0.9</c:v>
                </c:pt>
                <c:pt idx="1">
                  <c:v>0.75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40-428F-ADDC-AF8CDE3EA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230976"/>
        <c:axId val="1563231456"/>
      </c:areaChart>
      <c:catAx>
        <c:axId val="15632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31456"/>
        <c:crosses val="autoZero"/>
        <c:auto val="1"/>
        <c:lblAlgn val="ctr"/>
        <c:lblOffset val="100"/>
        <c:noMultiLvlLbl val="0"/>
      </c:catAx>
      <c:valAx>
        <c:axId val="1563231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3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all" spc="100" normalizeH="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rPr>
              <a:t>Eligible Patient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all" spc="100" normalizeH="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Sheet1!$L$20</c:f>
              <c:strCache>
                <c:ptCount val="1"/>
                <c:pt idx="0">
                  <c:v>Eligible Patients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Sheet1!$K$22:$K$26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Sheet1!$L$22:$L$26</c:f>
              <c:numCache>
                <c:formatCode>#,##0</c:formatCode>
                <c:ptCount val="5"/>
                <c:pt idx="0">
                  <c:v>1164300</c:v>
                </c:pt>
                <c:pt idx="1">
                  <c:v>1314300</c:v>
                </c:pt>
                <c:pt idx="2">
                  <c:v>1464300</c:v>
                </c:pt>
                <c:pt idx="3">
                  <c:v>1614300</c:v>
                </c:pt>
                <c:pt idx="4">
                  <c:v>1764300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6-4525-BA40-4AF5566378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095133808"/>
        <c:axId val="1095135248"/>
      </c:lineChart>
      <c:catAx>
        <c:axId val="109513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135248"/>
        <c:crosses val="autoZero"/>
        <c:auto val="1"/>
        <c:lblAlgn val="ctr"/>
        <c:lblOffset val="100"/>
        <c:noMultiLvlLbl val="0"/>
      </c:catAx>
      <c:valAx>
        <c:axId val="1095135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09513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bg1">
            <a:lumMod val="95000"/>
          </a:schemeClr>
        </a:gs>
        <a:gs pos="100000">
          <a:schemeClr val="accent1">
            <a:lumMod val="75000"/>
          </a:schemeClr>
        </a:gs>
      </a:gsLst>
      <a:lin ang="5400000" scaled="1"/>
    </a:gra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10583</xdr:colOff>
      <xdr:row>3</xdr:row>
      <xdr:rowOff>176213</xdr:rowOff>
    </xdr:from>
    <xdr:to>
      <xdr:col>35</xdr:col>
      <xdr:colOff>592666</xdr:colOff>
      <xdr:row>20</xdr:row>
      <xdr:rowOff>179916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37AC9A-C836-9C06-8DFA-17AF8C94F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23</xdr:row>
      <xdr:rowOff>0</xdr:rowOff>
    </xdr:from>
    <xdr:to>
      <xdr:col>35</xdr:col>
      <xdr:colOff>582083</xdr:colOff>
      <xdr:row>40</xdr:row>
      <xdr:rowOff>3703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D9584-D966-4996-9D22-BD510C164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13229</xdr:colOff>
      <xdr:row>42</xdr:row>
      <xdr:rowOff>14817</xdr:rowOff>
    </xdr:from>
    <xdr:to>
      <xdr:col>35</xdr:col>
      <xdr:colOff>603251</xdr:colOff>
      <xdr:row>59</xdr:row>
      <xdr:rowOff>31749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EF272-E514-98CC-8E1D-7302B2817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17276</xdr:colOff>
      <xdr:row>61</xdr:row>
      <xdr:rowOff>9630</xdr:rowOff>
    </xdr:from>
    <xdr:to>
      <xdr:col>35</xdr:col>
      <xdr:colOff>586441</xdr:colOff>
      <xdr:row>78</xdr:row>
      <xdr:rowOff>37354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A34FA8-BA0A-B243-1A0D-45F0DB401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186837</xdr:colOff>
      <xdr:row>80</xdr:row>
      <xdr:rowOff>6106</xdr:rowOff>
    </xdr:from>
    <xdr:to>
      <xdr:col>35</xdr:col>
      <xdr:colOff>556847</xdr:colOff>
      <xdr:row>97</xdr:row>
      <xdr:rowOff>24423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0C14E3-CD27-BACD-4D10-F7DBC6EF0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7AB9-C57E-4720-90A2-1E82E55F0969}">
  <dimension ref="A1:BB107"/>
  <sheetViews>
    <sheetView tabSelected="1" zoomScale="90" zoomScaleNormal="90" workbookViewId="0">
      <selection activeCell="A4" sqref="A4"/>
    </sheetView>
  </sheetViews>
  <sheetFormatPr defaultRowHeight="14.5" x14ac:dyDescent="0.35"/>
  <cols>
    <col min="1" max="1" width="2.7265625" style="62" customWidth="1"/>
    <col min="2" max="2" width="2.7265625" customWidth="1"/>
    <col min="3" max="3" width="38.08984375" customWidth="1"/>
    <col min="4" max="4" width="8.90625" bestFit="1" customWidth="1"/>
    <col min="8" max="8" width="2.7265625" customWidth="1"/>
    <col min="9" max="9" width="2.7265625" style="62" customWidth="1"/>
    <col min="10" max="10" width="2.7265625" customWidth="1"/>
    <col min="11" max="11" width="24.1796875" customWidth="1"/>
    <col min="12" max="12" width="13.54296875" customWidth="1"/>
    <col min="13" max="13" width="18.453125" customWidth="1"/>
    <col min="14" max="14" width="2.7265625" customWidth="1"/>
    <col min="15" max="15" width="2.7265625" style="62" customWidth="1"/>
    <col min="16" max="16" width="2.7265625" customWidth="1"/>
    <col min="18" max="18" width="25.453125" customWidth="1"/>
    <col min="19" max="25" width="15.26953125" customWidth="1"/>
    <col min="26" max="26" width="2.7265625" customWidth="1"/>
    <col min="27" max="27" width="2.7265625" style="62" customWidth="1"/>
    <col min="28" max="28" width="2.7265625" customWidth="1"/>
    <col min="37" max="37" width="2.7265625" customWidth="1"/>
  </cols>
  <sheetData>
    <row r="1" spans="2:54" s="63" customFormat="1" ht="15" thickBot="1" x14ac:dyDescent="0.4">
      <c r="BB1" s="72"/>
    </row>
    <row r="2" spans="2:54" x14ac:dyDescent="0.35">
      <c r="B2" s="1"/>
      <c r="C2" s="2"/>
      <c r="D2" s="2"/>
      <c r="E2" s="2"/>
      <c r="F2" s="2"/>
      <c r="G2" s="2"/>
      <c r="H2" s="3"/>
      <c r="J2" s="1"/>
      <c r="K2" s="2"/>
      <c r="L2" s="2"/>
      <c r="M2" s="2"/>
      <c r="N2" s="3"/>
      <c r="P2" s="1"/>
      <c r="Q2" s="2"/>
      <c r="R2" s="2"/>
      <c r="S2" s="2"/>
      <c r="T2" s="2"/>
      <c r="U2" s="2"/>
      <c r="V2" s="2"/>
      <c r="W2" s="2"/>
      <c r="X2" s="2"/>
      <c r="Y2" s="2"/>
      <c r="Z2" s="3"/>
      <c r="AB2" s="1"/>
      <c r="AC2" s="2"/>
      <c r="AD2" s="2"/>
      <c r="AE2" s="2"/>
      <c r="AF2" s="2"/>
      <c r="AG2" s="2"/>
      <c r="AH2" s="2"/>
      <c r="AI2" s="2"/>
      <c r="AJ2" s="2"/>
      <c r="AK2" s="3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71"/>
    </row>
    <row r="3" spans="2:54" x14ac:dyDescent="0.35">
      <c r="B3" s="4"/>
      <c r="C3" s="65" t="s">
        <v>0</v>
      </c>
      <c r="D3" s="65"/>
      <c r="E3" s="65"/>
      <c r="F3" s="65"/>
      <c r="G3" s="65"/>
      <c r="H3" s="5"/>
      <c r="J3" s="4"/>
      <c r="K3" s="24" t="s">
        <v>28</v>
      </c>
      <c r="L3" s="23"/>
      <c r="M3" s="23"/>
      <c r="N3" s="5"/>
      <c r="P3" s="4"/>
      <c r="Q3" s="24" t="s">
        <v>53</v>
      </c>
      <c r="R3" s="29"/>
      <c r="S3" s="29"/>
      <c r="T3" s="29"/>
      <c r="U3" s="29"/>
      <c r="V3" s="29"/>
      <c r="W3" s="29"/>
      <c r="X3" s="29"/>
      <c r="Y3" s="29"/>
      <c r="Z3" s="5"/>
      <c r="AB3" s="4"/>
      <c r="AC3" s="65" t="s">
        <v>77</v>
      </c>
      <c r="AD3" s="65"/>
      <c r="AE3" s="65"/>
      <c r="AF3" s="65"/>
      <c r="AG3" s="65"/>
      <c r="AH3" s="65"/>
      <c r="AI3" s="65"/>
      <c r="AJ3" s="65"/>
      <c r="AK3" s="5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71"/>
    </row>
    <row r="4" spans="2:54" x14ac:dyDescent="0.35">
      <c r="B4" s="4"/>
      <c r="C4" s="6"/>
      <c r="D4" s="6"/>
      <c r="E4" s="6"/>
      <c r="F4" s="6"/>
      <c r="G4" s="6"/>
      <c r="H4" s="5"/>
      <c r="J4" s="4"/>
      <c r="K4" s="6"/>
      <c r="L4" s="6"/>
      <c r="M4" s="6"/>
      <c r="N4" s="5"/>
      <c r="P4" s="4"/>
      <c r="Q4" s="6"/>
      <c r="R4" s="6"/>
      <c r="S4" s="6"/>
      <c r="T4" s="6"/>
      <c r="U4" s="6"/>
      <c r="V4" s="6"/>
      <c r="W4" s="6"/>
      <c r="X4" s="6"/>
      <c r="Y4" s="6"/>
      <c r="Z4" s="5"/>
      <c r="AB4" s="4"/>
      <c r="AC4" s="6"/>
      <c r="AD4" s="6"/>
      <c r="AE4" s="6"/>
      <c r="AF4" s="6"/>
      <c r="AG4" s="6"/>
      <c r="AH4" s="6"/>
      <c r="AI4" s="6"/>
      <c r="AJ4" s="6"/>
      <c r="AK4" s="5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71"/>
    </row>
    <row r="5" spans="2:54" x14ac:dyDescent="0.35">
      <c r="B5" s="4"/>
      <c r="C5" s="66" t="s">
        <v>1</v>
      </c>
      <c r="D5" s="66"/>
      <c r="E5" s="66"/>
      <c r="F5" s="66"/>
      <c r="G5" s="66"/>
      <c r="H5" s="5"/>
      <c r="J5" s="4"/>
      <c r="K5" s="20" t="s">
        <v>29</v>
      </c>
      <c r="L5" s="20" t="s">
        <v>30</v>
      </c>
      <c r="M5" s="20" t="s">
        <v>31</v>
      </c>
      <c r="N5" s="5"/>
      <c r="P5" s="4"/>
      <c r="Q5" s="58" t="s">
        <v>54</v>
      </c>
      <c r="R5" s="59"/>
      <c r="S5" s="59"/>
      <c r="T5" s="59"/>
      <c r="U5" s="59"/>
      <c r="V5" s="59"/>
      <c r="W5" s="59"/>
      <c r="X5" s="59"/>
      <c r="Y5" s="59"/>
      <c r="Z5" s="5"/>
      <c r="AB5" s="4"/>
      <c r="AC5" s="6"/>
      <c r="AD5" s="6"/>
      <c r="AE5" s="6"/>
      <c r="AF5" s="6"/>
      <c r="AG5" s="6"/>
      <c r="AH5" s="6"/>
      <c r="AI5" s="6"/>
      <c r="AJ5" s="6"/>
      <c r="AK5" s="5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71"/>
    </row>
    <row r="6" spans="2:54" x14ac:dyDescent="0.35">
      <c r="B6" s="4"/>
      <c r="C6" s="66"/>
      <c r="D6" s="66"/>
      <c r="E6" s="66"/>
      <c r="F6" s="66"/>
      <c r="G6" s="66"/>
      <c r="H6" s="5"/>
      <c r="J6" s="4"/>
      <c r="K6" s="10" t="s">
        <v>32</v>
      </c>
      <c r="L6" s="10"/>
      <c r="M6" s="25">
        <v>57500000</v>
      </c>
      <c r="N6" s="5"/>
      <c r="P6" s="4"/>
      <c r="Q6" s="6"/>
      <c r="R6" s="6"/>
      <c r="S6" s="6"/>
      <c r="T6" s="6"/>
      <c r="U6" s="6"/>
      <c r="V6" s="6"/>
      <c r="W6" s="6"/>
      <c r="X6" s="6"/>
      <c r="Y6" s="6"/>
      <c r="Z6" s="5"/>
      <c r="AB6" s="4"/>
      <c r="AC6" s="6"/>
      <c r="AD6" s="6"/>
      <c r="AE6" s="6"/>
      <c r="AF6" s="6"/>
      <c r="AG6" s="6"/>
      <c r="AH6" s="6"/>
      <c r="AI6" s="6"/>
      <c r="AJ6" s="6"/>
      <c r="AK6" s="5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71"/>
    </row>
    <row r="7" spans="2:54" x14ac:dyDescent="0.35">
      <c r="B7" s="4"/>
      <c r="C7" s="10"/>
      <c r="D7" s="10"/>
      <c r="E7" s="10"/>
      <c r="F7" s="10"/>
      <c r="G7" s="10"/>
      <c r="H7" s="5"/>
      <c r="J7" s="4"/>
      <c r="K7" s="6" t="s">
        <v>33</v>
      </c>
      <c r="L7" s="22">
        <v>7.0000000000000007E-2</v>
      </c>
      <c r="M7" s="21">
        <f>M6*L7</f>
        <v>4025000.0000000005</v>
      </c>
      <c r="N7" s="5"/>
      <c r="P7" s="4"/>
      <c r="Q7" s="6"/>
      <c r="R7" s="6"/>
      <c r="S7" s="60" t="s">
        <v>55</v>
      </c>
      <c r="T7" s="6"/>
      <c r="U7" s="6"/>
      <c r="V7" s="6"/>
      <c r="W7" s="6"/>
      <c r="X7" s="6"/>
      <c r="Y7" s="6"/>
      <c r="Z7" s="5"/>
      <c r="AB7" s="4"/>
      <c r="AC7" s="6"/>
      <c r="AD7" s="6"/>
      <c r="AE7" s="6"/>
      <c r="AF7" s="6"/>
      <c r="AG7" s="6"/>
      <c r="AH7" s="6"/>
      <c r="AI7" s="6"/>
      <c r="AJ7" s="6"/>
      <c r="AK7" s="5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71"/>
    </row>
    <row r="8" spans="2:54" x14ac:dyDescent="0.35">
      <c r="B8" s="4"/>
      <c r="C8" s="67" t="s">
        <v>2</v>
      </c>
      <c r="D8" s="67"/>
      <c r="E8" s="67"/>
      <c r="F8" s="67"/>
      <c r="G8" s="67"/>
      <c r="H8" s="5"/>
      <c r="J8" s="4"/>
      <c r="K8" s="10" t="s">
        <v>34</v>
      </c>
      <c r="L8" s="26">
        <v>0.9</v>
      </c>
      <c r="M8" s="25">
        <f>M7*L8</f>
        <v>3622500.0000000005</v>
      </c>
      <c r="N8" s="5"/>
      <c r="P8" s="4"/>
      <c r="Q8" s="6"/>
      <c r="R8" s="6"/>
      <c r="S8" s="34" t="s">
        <v>56</v>
      </c>
      <c r="T8" s="35" t="s">
        <v>57</v>
      </c>
      <c r="U8" s="35" t="s">
        <v>58</v>
      </c>
      <c r="V8" s="35" t="s">
        <v>59</v>
      </c>
      <c r="W8" s="35" t="s">
        <v>60</v>
      </c>
      <c r="X8" s="35" t="s">
        <v>61</v>
      </c>
      <c r="Y8" s="68" t="s">
        <v>62</v>
      </c>
      <c r="Z8" s="5"/>
      <c r="AB8" s="4"/>
      <c r="AC8" s="6"/>
      <c r="AD8" s="6"/>
      <c r="AE8" s="6"/>
      <c r="AF8" s="6"/>
      <c r="AG8" s="6"/>
      <c r="AH8" s="6"/>
      <c r="AI8" s="6"/>
      <c r="AJ8" s="6"/>
      <c r="AK8" s="5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71"/>
    </row>
    <row r="9" spans="2:54" x14ac:dyDescent="0.35">
      <c r="B9" s="4"/>
      <c r="C9" s="10"/>
      <c r="D9" s="10"/>
      <c r="E9" s="10"/>
      <c r="F9" s="10"/>
      <c r="G9" s="10"/>
      <c r="H9" s="5"/>
      <c r="J9" s="4"/>
      <c r="K9" s="6" t="s">
        <v>35</v>
      </c>
      <c r="L9" s="22">
        <v>0.7</v>
      </c>
      <c r="M9" s="21">
        <f>M8*L9</f>
        <v>2535750</v>
      </c>
      <c r="N9" s="5"/>
      <c r="P9" s="4"/>
      <c r="Q9" s="6"/>
      <c r="R9" s="20"/>
      <c r="S9" s="36" t="s">
        <v>63</v>
      </c>
      <c r="T9" s="37">
        <v>2026</v>
      </c>
      <c r="U9" s="37">
        <v>2027</v>
      </c>
      <c r="V9" s="37">
        <v>2028</v>
      </c>
      <c r="W9" s="37">
        <v>2029</v>
      </c>
      <c r="X9" s="37">
        <v>2030</v>
      </c>
      <c r="Y9" s="69"/>
      <c r="Z9" s="5"/>
      <c r="AB9" s="4"/>
      <c r="AC9" s="6"/>
      <c r="AD9" s="6"/>
      <c r="AE9" s="6"/>
      <c r="AF9" s="6"/>
      <c r="AG9" s="6"/>
      <c r="AH9" s="6"/>
      <c r="AI9" s="6"/>
      <c r="AJ9" s="6"/>
      <c r="AK9" s="5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71"/>
    </row>
    <row r="10" spans="2:54" x14ac:dyDescent="0.35">
      <c r="B10" s="4"/>
      <c r="C10" s="66" t="s">
        <v>3</v>
      </c>
      <c r="D10" s="66"/>
      <c r="E10" s="66"/>
      <c r="F10" s="66"/>
      <c r="G10" s="66"/>
      <c r="H10" s="5"/>
      <c r="J10" s="4"/>
      <c r="K10" s="10" t="s">
        <v>36</v>
      </c>
      <c r="L10" s="26">
        <v>0.4</v>
      </c>
      <c r="M10" s="25">
        <f>M9*L10</f>
        <v>1014300</v>
      </c>
      <c r="N10" s="5"/>
      <c r="P10" s="4"/>
      <c r="Q10" s="6"/>
      <c r="R10" s="10" t="s">
        <v>64</v>
      </c>
      <c r="S10" s="38">
        <f t="array" ref="S10:X10">TRANSPOSE(L21:L26)</f>
        <v>1014300</v>
      </c>
      <c r="T10" s="39">
        <v>1164300</v>
      </c>
      <c r="U10" s="39">
        <v>1314300</v>
      </c>
      <c r="V10" s="39">
        <v>1464300</v>
      </c>
      <c r="W10" s="39">
        <v>1614300</v>
      </c>
      <c r="X10" s="39">
        <v>1764300</v>
      </c>
      <c r="Y10" s="40">
        <f>SUM(T10:X10)</f>
        <v>7321500</v>
      </c>
      <c r="Z10" s="5"/>
      <c r="AB10" s="4"/>
      <c r="AC10" s="6"/>
      <c r="AD10" s="6"/>
      <c r="AE10" s="6"/>
      <c r="AF10" s="6"/>
      <c r="AG10" s="6"/>
      <c r="AH10" s="6"/>
      <c r="AI10" s="6"/>
      <c r="AJ10" s="6"/>
      <c r="AK10" s="5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71"/>
    </row>
    <row r="11" spans="2:54" x14ac:dyDescent="0.35">
      <c r="B11" s="4"/>
      <c r="C11" s="66"/>
      <c r="D11" s="66"/>
      <c r="E11" s="66"/>
      <c r="F11" s="66"/>
      <c r="G11" s="66"/>
      <c r="H11" s="5"/>
      <c r="J11" s="4"/>
      <c r="K11" s="6"/>
      <c r="L11" s="22"/>
      <c r="M11" s="21"/>
      <c r="N11" s="5"/>
      <c r="P11" s="4"/>
      <c r="Q11" s="6"/>
      <c r="R11" s="6"/>
      <c r="S11" s="6"/>
      <c r="T11" s="6"/>
      <c r="U11" s="6"/>
      <c r="V11" s="6"/>
      <c r="W11" s="6"/>
      <c r="X11" s="6"/>
      <c r="Y11" s="6"/>
      <c r="Z11" s="5"/>
      <c r="AB11" s="4"/>
      <c r="AC11" s="6"/>
      <c r="AD11" s="6"/>
      <c r="AE11" s="6"/>
      <c r="AF11" s="6"/>
      <c r="AG11" s="6"/>
      <c r="AH11" s="6"/>
      <c r="AI11" s="6"/>
      <c r="AJ11" s="6"/>
      <c r="AK11" s="5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71"/>
    </row>
    <row r="12" spans="2:54" x14ac:dyDescent="0.35">
      <c r="B12" s="4"/>
      <c r="C12" s="10"/>
      <c r="D12" s="10"/>
      <c r="E12" s="10"/>
      <c r="F12" s="10"/>
      <c r="G12" s="10"/>
      <c r="H12" s="5"/>
      <c r="J12" s="4"/>
      <c r="K12" s="13" t="s">
        <v>37</v>
      </c>
      <c r="L12" s="27"/>
      <c r="M12" s="28">
        <f>M10</f>
        <v>1014300</v>
      </c>
      <c r="N12" s="5"/>
      <c r="P12" s="4"/>
      <c r="Q12" s="58" t="s">
        <v>65</v>
      </c>
      <c r="R12" s="59"/>
      <c r="S12" s="59"/>
      <c r="T12" s="59"/>
      <c r="U12" s="59"/>
      <c r="V12" s="59"/>
      <c r="W12" s="59"/>
      <c r="X12" s="59"/>
      <c r="Y12" s="59"/>
      <c r="Z12" s="5"/>
      <c r="AB12" s="4"/>
      <c r="AC12" s="6"/>
      <c r="AD12" s="6"/>
      <c r="AE12" s="6"/>
      <c r="AF12" s="6"/>
      <c r="AG12" s="6"/>
      <c r="AH12" s="6"/>
      <c r="AI12" s="6"/>
      <c r="AJ12" s="6"/>
      <c r="AK12" s="5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71"/>
    </row>
    <row r="13" spans="2:54" x14ac:dyDescent="0.35">
      <c r="B13" s="4"/>
      <c r="C13" s="66" t="s">
        <v>4</v>
      </c>
      <c r="D13" s="66"/>
      <c r="E13" s="66"/>
      <c r="F13" s="66"/>
      <c r="G13" s="66"/>
      <c r="H13" s="5"/>
      <c r="J13" s="4"/>
      <c r="K13" s="6"/>
      <c r="L13" s="6"/>
      <c r="M13" s="21"/>
      <c r="N13" s="5"/>
      <c r="P13" s="4"/>
      <c r="Q13" s="6"/>
      <c r="R13" s="6"/>
      <c r="S13" s="6"/>
      <c r="T13" s="6"/>
      <c r="U13" s="6"/>
      <c r="V13" s="6"/>
      <c r="W13" s="6"/>
      <c r="X13" s="6"/>
      <c r="Y13" s="6"/>
      <c r="Z13" s="5"/>
      <c r="AB13" s="4"/>
      <c r="AC13" s="6"/>
      <c r="AD13" s="6"/>
      <c r="AE13" s="6"/>
      <c r="AF13" s="6"/>
      <c r="AG13" s="6"/>
      <c r="AH13" s="6"/>
      <c r="AI13" s="6"/>
      <c r="AJ13" s="6"/>
      <c r="AK13" s="5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71"/>
    </row>
    <row r="14" spans="2:54" x14ac:dyDescent="0.35">
      <c r="B14" s="4"/>
      <c r="C14" s="66"/>
      <c r="D14" s="66"/>
      <c r="E14" s="66"/>
      <c r="F14" s="66"/>
      <c r="G14" s="66"/>
      <c r="H14" s="5"/>
      <c r="J14" s="4"/>
      <c r="K14" s="13" t="s">
        <v>38</v>
      </c>
      <c r="L14" s="13"/>
      <c r="M14" s="28">
        <v>150000</v>
      </c>
      <c r="N14" s="5"/>
      <c r="P14" s="4"/>
      <c r="Q14" s="6"/>
      <c r="R14" s="6"/>
      <c r="S14" s="60" t="s">
        <v>55</v>
      </c>
      <c r="T14" s="6"/>
      <c r="U14" s="6"/>
      <c r="V14" s="6"/>
      <c r="W14" s="6"/>
      <c r="X14" s="6"/>
      <c r="Y14" s="6"/>
      <c r="Z14" s="5"/>
      <c r="AB14" s="4"/>
      <c r="AC14" s="6"/>
      <c r="AD14" s="6"/>
      <c r="AE14" s="6"/>
      <c r="AF14" s="6"/>
      <c r="AG14" s="6"/>
      <c r="AH14" s="6"/>
      <c r="AI14" s="6"/>
      <c r="AJ14" s="6"/>
      <c r="AK14" s="5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71"/>
    </row>
    <row r="15" spans="2:54" ht="15" thickBot="1" x14ac:dyDescent="0.4">
      <c r="B15" s="7"/>
      <c r="C15" s="8"/>
      <c r="D15" s="8"/>
      <c r="E15" s="8"/>
      <c r="F15" s="8"/>
      <c r="G15" s="8"/>
      <c r="H15" s="9"/>
      <c r="J15" s="7"/>
      <c r="K15" s="8"/>
      <c r="L15" s="8"/>
      <c r="M15" s="8"/>
      <c r="N15" s="9"/>
      <c r="P15" s="4"/>
      <c r="Q15" s="6"/>
      <c r="R15" s="6"/>
      <c r="S15" s="34" t="s">
        <v>56</v>
      </c>
      <c r="T15" s="35" t="s">
        <v>57</v>
      </c>
      <c r="U15" s="35" t="s">
        <v>58</v>
      </c>
      <c r="V15" s="35" t="s">
        <v>59</v>
      </c>
      <c r="W15" s="35" t="s">
        <v>60</v>
      </c>
      <c r="X15" s="35" t="s">
        <v>61</v>
      </c>
      <c r="Y15" s="68"/>
      <c r="Z15" s="5"/>
      <c r="AB15" s="4"/>
      <c r="AC15" s="6"/>
      <c r="AD15" s="6"/>
      <c r="AE15" s="6"/>
      <c r="AF15" s="6"/>
      <c r="AG15" s="6"/>
      <c r="AH15" s="6"/>
      <c r="AI15" s="6"/>
      <c r="AJ15" s="6"/>
      <c r="AK15" s="5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71"/>
    </row>
    <row r="16" spans="2:54" ht="15" thickBot="1" x14ac:dyDescent="0.4">
      <c r="B16" s="62"/>
      <c r="C16" s="62"/>
      <c r="D16" s="62"/>
      <c r="E16" s="62"/>
      <c r="F16" s="62"/>
      <c r="G16" s="62"/>
      <c r="H16" s="62"/>
      <c r="J16" s="62"/>
      <c r="K16" s="62"/>
      <c r="L16" s="62"/>
      <c r="M16" s="62"/>
      <c r="N16" s="62"/>
      <c r="P16" s="4"/>
      <c r="Q16" s="6"/>
      <c r="R16" s="20"/>
      <c r="S16" s="36" t="s">
        <v>63</v>
      </c>
      <c r="T16" s="37">
        <v>2026</v>
      </c>
      <c r="U16" s="37">
        <v>2027</v>
      </c>
      <c r="V16" s="37">
        <v>2028</v>
      </c>
      <c r="W16" s="37">
        <v>2029</v>
      </c>
      <c r="X16" s="37">
        <v>2030</v>
      </c>
      <c r="Y16" s="68"/>
      <c r="Z16" s="5"/>
      <c r="AB16" s="4"/>
      <c r="AC16" s="6"/>
      <c r="AD16" s="6"/>
      <c r="AE16" s="6"/>
      <c r="AF16" s="6"/>
      <c r="AG16" s="6"/>
      <c r="AH16" s="6"/>
      <c r="AI16" s="6"/>
      <c r="AJ16" s="6"/>
      <c r="AK16" s="5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71"/>
    </row>
    <row r="17" spans="2:54" x14ac:dyDescent="0.35">
      <c r="B17" s="1"/>
      <c r="C17" s="2"/>
      <c r="D17" s="2"/>
      <c r="E17" s="2"/>
      <c r="F17" s="2"/>
      <c r="G17" s="2"/>
      <c r="H17" s="3"/>
      <c r="J17" s="1"/>
      <c r="K17" s="2"/>
      <c r="L17" s="2"/>
      <c r="M17" s="2"/>
      <c r="N17" s="3"/>
      <c r="P17" s="4"/>
      <c r="Q17" s="6"/>
      <c r="R17" s="10" t="s">
        <v>50</v>
      </c>
      <c r="S17" s="43">
        <f t="array" ref="S17:X17">TRANSPOSE(L45:L50)</f>
        <v>0</v>
      </c>
      <c r="T17" s="44">
        <v>0.1</v>
      </c>
      <c r="U17" s="44">
        <v>0.25</v>
      </c>
      <c r="V17" s="44">
        <v>0.4</v>
      </c>
      <c r="W17" s="44">
        <v>0.6</v>
      </c>
      <c r="X17" s="44">
        <v>0.8</v>
      </c>
      <c r="Y17" s="6"/>
      <c r="Z17" s="5"/>
      <c r="AB17" s="4"/>
      <c r="AC17" s="6"/>
      <c r="AD17" s="6"/>
      <c r="AE17" s="6"/>
      <c r="AF17" s="6"/>
      <c r="AG17" s="6"/>
      <c r="AH17" s="6"/>
      <c r="AI17" s="6"/>
      <c r="AJ17" s="6"/>
      <c r="AK17" s="5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71"/>
    </row>
    <row r="18" spans="2:54" x14ac:dyDescent="0.35">
      <c r="B18" s="4"/>
      <c r="C18" s="65" t="s">
        <v>5</v>
      </c>
      <c r="D18" s="65"/>
      <c r="E18" s="65"/>
      <c r="F18" s="65"/>
      <c r="G18" s="65"/>
      <c r="H18" s="5"/>
      <c r="J18" s="4"/>
      <c r="K18" s="65" t="s">
        <v>39</v>
      </c>
      <c r="L18" s="65"/>
      <c r="M18" s="65"/>
      <c r="N18" s="5"/>
      <c r="P18" s="4"/>
      <c r="Q18" s="6"/>
      <c r="R18" s="6" t="s">
        <v>51</v>
      </c>
      <c r="S18" s="41">
        <f t="array" ref="S18:X18">TRANSPOSE(M45:M50)</f>
        <v>1</v>
      </c>
      <c r="T18" s="42">
        <v>0.9</v>
      </c>
      <c r="U18" s="42">
        <v>0.75</v>
      </c>
      <c r="V18" s="42">
        <v>0.6</v>
      </c>
      <c r="W18" s="42">
        <v>0.4</v>
      </c>
      <c r="X18" s="42">
        <v>0.19999999999999996</v>
      </c>
      <c r="Y18" s="6"/>
      <c r="Z18" s="5"/>
      <c r="AB18" s="4"/>
      <c r="AC18" s="6"/>
      <c r="AD18" s="6"/>
      <c r="AE18" s="6"/>
      <c r="AF18" s="6"/>
      <c r="AG18" s="6"/>
      <c r="AH18" s="6"/>
      <c r="AI18" s="6"/>
      <c r="AJ18" s="6"/>
      <c r="AK18" s="5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71"/>
    </row>
    <row r="19" spans="2:54" x14ac:dyDescent="0.35">
      <c r="B19" s="4"/>
      <c r="C19" s="6"/>
      <c r="D19" s="6"/>
      <c r="E19" s="6"/>
      <c r="F19" s="6"/>
      <c r="G19" s="6"/>
      <c r="H19" s="5"/>
      <c r="J19" s="4"/>
      <c r="K19" s="6"/>
      <c r="L19" s="6"/>
      <c r="M19" s="6"/>
      <c r="N19" s="5"/>
      <c r="P19" s="4"/>
      <c r="Q19" s="6"/>
      <c r="R19" s="6"/>
      <c r="S19" s="6"/>
      <c r="T19" s="6"/>
      <c r="U19" s="6"/>
      <c r="V19" s="6"/>
      <c r="W19" s="6"/>
      <c r="X19" s="6"/>
      <c r="Y19" s="6"/>
      <c r="Z19" s="5"/>
      <c r="AB19" s="4"/>
      <c r="AC19" s="6"/>
      <c r="AD19" s="6"/>
      <c r="AE19" s="6"/>
      <c r="AF19" s="6"/>
      <c r="AG19" s="6"/>
      <c r="AH19" s="6"/>
      <c r="AI19" s="6"/>
      <c r="AJ19" s="6"/>
      <c r="AK19" s="5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71"/>
    </row>
    <row r="20" spans="2:54" x14ac:dyDescent="0.35">
      <c r="B20" s="4"/>
      <c r="C20" s="58" t="s">
        <v>6</v>
      </c>
      <c r="D20" s="58"/>
      <c r="E20" s="58"/>
      <c r="F20" s="58"/>
      <c r="G20" s="58"/>
      <c r="H20" s="5"/>
      <c r="J20" s="4"/>
      <c r="K20" s="20" t="s">
        <v>40</v>
      </c>
      <c r="L20" s="20" t="s">
        <v>41</v>
      </c>
      <c r="M20" s="6"/>
      <c r="N20" s="5"/>
      <c r="P20" s="4"/>
      <c r="Q20" s="58" t="s">
        <v>49</v>
      </c>
      <c r="R20" s="59"/>
      <c r="S20" s="59"/>
      <c r="T20" s="59"/>
      <c r="U20" s="59"/>
      <c r="V20" s="59"/>
      <c r="W20" s="59"/>
      <c r="X20" s="59"/>
      <c r="Y20" s="59"/>
      <c r="Z20" s="5"/>
      <c r="AB20" s="4"/>
      <c r="AC20" s="6"/>
      <c r="AD20" s="6"/>
      <c r="AE20" s="6"/>
      <c r="AF20" s="6"/>
      <c r="AG20" s="6"/>
      <c r="AH20" s="6"/>
      <c r="AI20" s="6"/>
      <c r="AJ20" s="6"/>
      <c r="AK20" s="5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71"/>
    </row>
    <row r="21" spans="2:54" x14ac:dyDescent="0.35">
      <c r="B21" s="4"/>
      <c r="C21" s="6"/>
      <c r="D21" s="6"/>
      <c r="E21" s="6"/>
      <c r="F21" s="6"/>
      <c r="G21" s="6"/>
      <c r="H21" s="5"/>
      <c r="J21" s="4"/>
      <c r="K21" s="10" t="s">
        <v>42</v>
      </c>
      <c r="L21" s="25">
        <f>M12</f>
        <v>1014300</v>
      </c>
      <c r="M21" s="6"/>
      <c r="N21" s="5"/>
      <c r="P21" s="4"/>
      <c r="Q21" s="6"/>
      <c r="R21" s="6"/>
      <c r="S21" s="6"/>
      <c r="T21" s="6"/>
      <c r="U21" s="6"/>
      <c r="V21" s="6"/>
      <c r="W21" s="6"/>
      <c r="X21" s="6"/>
      <c r="Y21" s="6"/>
      <c r="Z21" s="5"/>
      <c r="AB21" s="4"/>
      <c r="AC21" s="6"/>
      <c r="AD21" s="6"/>
      <c r="AE21" s="6"/>
      <c r="AF21" s="6"/>
      <c r="AG21" s="6"/>
      <c r="AH21" s="6"/>
      <c r="AI21" s="6"/>
      <c r="AJ21" s="6"/>
      <c r="AK21" s="5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71"/>
    </row>
    <row r="22" spans="2:54" x14ac:dyDescent="0.35">
      <c r="B22" s="4"/>
      <c r="C22" s="14" t="s">
        <v>7</v>
      </c>
      <c r="D22" s="15" t="s">
        <v>8</v>
      </c>
      <c r="E22" s="16"/>
      <c r="F22" s="15" t="s">
        <v>9</v>
      </c>
      <c r="G22" s="15"/>
      <c r="H22" s="5"/>
      <c r="J22" s="4"/>
      <c r="K22" s="6" t="s">
        <v>43</v>
      </c>
      <c r="L22" s="21">
        <f>L21+$M$14</f>
        <v>1164300</v>
      </c>
      <c r="M22" s="6"/>
      <c r="N22" s="5"/>
      <c r="P22" s="4"/>
      <c r="Q22" s="6"/>
      <c r="R22" s="6"/>
      <c r="S22" s="61" t="s">
        <v>55</v>
      </c>
      <c r="T22" s="35"/>
      <c r="U22" s="35"/>
      <c r="V22" s="35"/>
      <c r="W22" s="35"/>
      <c r="X22" s="35"/>
      <c r="Y22" s="35"/>
      <c r="Z22" s="5"/>
      <c r="AB22" s="4"/>
      <c r="AC22" s="6"/>
      <c r="AD22" s="6"/>
      <c r="AE22" s="6"/>
      <c r="AF22" s="6"/>
      <c r="AG22" s="6"/>
      <c r="AH22" s="6"/>
      <c r="AI22" s="6"/>
      <c r="AJ22" s="6"/>
      <c r="AK22" s="5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71"/>
    </row>
    <row r="23" spans="2:54" x14ac:dyDescent="0.35">
      <c r="B23" s="4"/>
      <c r="C23" s="6"/>
      <c r="D23" s="16"/>
      <c r="E23" s="16"/>
      <c r="F23" s="16" t="s">
        <v>10</v>
      </c>
      <c r="G23" s="16" t="s">
        <v>11</v>
      </c>
      <c r="H23" s="5"/>
      <c r="J23" s="4"/>
      <c r="K23" s="10" t="s">
        <v>44</v>
      </c>
      <c r="L23" s="25">
        <f t="shared" ref="L23:L26" si="0">L22+$M$14</f>
        <v>1314300</v>
      </c>
      <c r="M23" s="6"/>
      <c r="N23" s="5"/>
      <c r="P23" s="4"/>
      <c r="Q23" s="6"/>
      <c r="R23" s="6"/>
      <c r="S23" s="34" t="s">
        <v>56</v>
      </c>
      <c r="T23" s="35" t="s">
        <v>57</v>
      </c>
      <c r="U23" s="35" t="s">
        <v>58</v>
      </c>
      <c r="V23" s="35" t="s">
        <v>59</v>
      </c>
      <c r="W23" s="35" t="s">
        <v>60</v>
      </c>
      <c r="X23" s="35" t="s">
        <v>61</v>
      </c>
      <c r="Y23" s="68" t="s">
        <v>62</v>
      </c>
      <c r="Z23" s="5"/>
      <c r="AB23" s="4"/>
      <c r="AC23" s="6"/>
      <c r="AD23" s="6"/>
      <c r="AE23" s="6"/>
      <c r="AF23" s="6"/>
      <c r="AG23" s="6"/>
      <c r="AH23" s="6"/>
      <c r="AI23" s="6"/>
      <c r="AJ23" s="6"/>
      <c r="AK23" s="5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71"/>
    </row>
    <row r="24" spans="2:54" x14ac:dyDescent="0.35">
      <c r="B24" s="4"/>
      <c r="C24" s="6" t="s">
        <v>12</v>
      </c>
      <c r="D24" s="17">
        <v>500</v>
      </c>
      <c r="E24" s="16"/>
      <c r="F24" s="16">
        <v>1</v>
      </c>
      <c r="G24" s="16">
        <v>0</v>
      </c>
      <c r="H24" s="5"/>
      <c r="J24" s="4"/>
      <c r="K24" s="6" t="s">
        <v>45</v>
      </c>
      <c r="L24" s="21">
        <f t="shared" si="0"/>
        <v>1464300</v>
      </c>
      <c r="M24" s="6"/>
      <c r="N24" s="5"/>
      <c r="P24" s="4"/>
      <c r="Q24" s="20" t="s">
        <v>67</v>
      </c>
      <c r="R24" s="20" t="s">
        <v>66</v>
      </c>
      <c r="S24" s="36" t="s">
        <v>63</v>
      </c>
      <c r="T24" s="37">
        <v>2026</v>
      </c>
      <c r="U24" s="37">
        <v>2027</v>
      </c>
      <c r="V24" s="37">
        <v>2028</v>
      </c>
      <c r="W24" s="37">
        <v>2029</v>
      </c>
      <c r="X24" s="37">
        <v>2030</v>
      </c>
      <c r="Y24" s="69"/>
      <c r="Z24" s="5"/>
      <c r="AB24" s="4"/>
      <c r="AC24" s="6"/>
      <c r="AD24" s="6"/>
      <c r="AE24" s="6"/>
      <c r="AF24" s="6"/>
      <c r="AG24" s="6"/>
      <c r="AH24" s="6"/>
      <c r="AI24" s="6"/>
      <c r="AJ24" s="6"/>
      <c r="AK24" s="5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71"/>
    </row>
    <row r="25" spans="2:54" x14ac:dyDescent="0.35">
      <c r="B25" s="4"/>
      <c r="C25" s="6" t="s">
        <v>13</v>
      </c>
      <c r="D25" s="17">
        <v>300</v>
      </c>
      <c r="E25" s="16"/>
      <c r="F25" s="16">
        <v>0</v>
      </c>
      <c r="G25" s="16">
        <v>1</v>
      </c>
      <c r="H25" s="5"/>
      <c r="J25" s="4"/>
      <c r="K25" s="10" t="s">
        <v>46</v>
      </c>
      <c r="L25" s="25">
        <f t="shared" si="0"/>
        <v>1614300</v>
      </c>
      <c r="M25" s="6"/>
      <c r="N25" s="5"/>
      <c r="P25" s="4"/>
      <c r="Q25" s="70" t="s">
        <v>10</v>
      </c>
      <c r="R25" s="51" t="str">
        <f>C22</f>
        <v>Drug Acquisition Costs</v>
      </c>
      <c r="S25" s="52">
        <v>0</v>
      </c>
      <c r="T25" s="53">
        <v>0</v>
      </c>
      <c r="U25" s="53">
        <v>0</v>
      </c>
      <c r="V25" s="53">
        <v>0</v>
      </c>
      <c r="W25" s="53">
        <v>0</v>
      </c>
      <c r="X25" s="53">
        <v>0</v>
      </c>
      <c r="Y25" s="53">
        <v>0</v>
      </c>
      <c r="Z25" s="5"/>
      <c r="AB25" s="4"/>
      <c r="AC25" s="6"/>
      <c r="AD25" s="6"/>
      <c r="AE25" s="6"/>
      <c r="AF25" s="6"/>
      <c r="AG25" s="6"/>
      <c r="AH25" s="6"/>
      <c r="AI25" s="6"/>
      <c r="AJ25" s="6"/>
      <c r="AK25" s="5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71"/>
    </row>
    <row r="26" spans="2:54" x14ac:dyDescent="0.35">
      <c r="B26" s="4"/>
      <c r="C26" s="10" t="s">
        <v>14</v>
      </c>
      <c r="D26" s="11"/>
      <c r="E26" s="11"/>
      <c r="F26" s="12">
        <f>D24</f>
        <v>500</v>
      </c>
      <c r="G26" s="12">
        <f>D25</f>
        <v>300</v>
      </c>
      <c r="H26" s="5"/>
      <c r="J26" s="4"/>
      <c r="K26" s="6" t="s">
        <v>47</v>
      </c>
      <c r="L26" s="21">
        <f t="shared" si="0"/>
        <v>1764300</v>
      </c>
      <c r="M26" s="6"/>
      <c r="N26" s="5"/>
      <c r="P26" s="4"/>
      <c r="Q26" s="68"/>
      <c r="R26" s="6" t="str">
        <f>C29</f>
        <v>Administration Costs</v>
      </c>
      <c r="S26" s="45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5"/>
      <c r="AB26" s="4"/>
      <c r="AC26" s="6"/>
      <c r="AD26" s="6"/>
      <c r="AE26" s="6"/>
      <c r="AF26" s="6"/>
      <c r="AG26" s="6"/>
      <c r="AH26" s="6"/>
      <c r="AI26" s="6"/>
      <c r="AJ26" s="6"/>
      <c r="AK26" s="5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71"/>
    </row>
    <row r="27" spans="2:54" ht="15" thickBot="1" x14ac:dyDescent="0.4">
      <c r="B27" s="4"/>
      <c r="C27" s="6"/>
      <c r="D27" s="6"/>
      <c r="E27" s="6"/>
      <c r="F27" s="6"/>
      <c r="G27" s="6"/>
      <c r="H27" s="5"/>
      <c r="J27" s="7"/>
      <c r="K27" s="8"/>
      <c r="L27" s="8"/>
      <c r="M27" s="8"/>
      <c r="N27" s="9"/>
      <c r="P27" s="4"/>
      <c r="Q27" s="68"/>
      <c r="R27" s="10" t="str">
        <f>C35</f>
        <v>Monitoring Costs</v>
      </c>
      <c r="S27" s="52">
        <v>0</v>
      </c>
      <c r="T27" s="53">
        <v>0</v>
      </c>
      <c r="U27" s="53">
        <v>0</v>
      </c>
      <c r="V27" s="53">
        <v>0</v>
      </c>
      <c r="W27" s="53">
        <v>0</v>
      </c>
      <c r="X27" s="53">
        <v>0</v>
      </c>
      <c r="Y27" s="53">
        <v>0</v>
      </c>
      <c r="Z27" s="5"/>
      <c r="AB27" s="4"/>
      <c r="AC27" s="6"/>
      <c r="AD27" s="6"/>
      <c r="AE27" s="6"/>
      <c r="AF27" s="6"/>
      <c r="AG27" s="6"/>
      <c r="AH27" s="6"/>
      <c r="AI27" s="6"/>
      <c r="AJ27" s="6"/>
      <c r="AK27" s="5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71"/>
    </row>
    <row r="28" spans="2:54" ht="15" thickBot="1" x14ac:dyDescent="0.4">
      <c r="B28" s="4"/>
      <c r="C28" s="6"/>
      <c r="D28" s="6"/>
      <c r="E28" s="6"/>
      <c r="F28" s="6"/>
      <c r="G28" s="6"/>
      <c r="H28" s="5"/>
      <c r="P28" s="4"/>
      <c r="Q28" s="68"/>
      <c r="R28" s="6" t="str">
        <f>C41</f>
        <v>Adverse Event Costs</v>
      </c>
      <c r="S28" s="45">
        <v>0</v>
      </c>
      <c r="T28" s="46">
        <v>0</v>
      </c>
      <c r="U28" s="46">
        <v>0</v>
      </c>
      <c r="V28" s="46">
        <v>0</v>
      </c>
      <c r="W28" s="46">
        <v>0</v>
      </c>
      <c r="X28" s="46">
        <v>0</v>
      </c>
      <c r="Y28" s="46">
        <v>0</v>
      </c>
      <c r="Z28" s="5"/>
      <c r="AB28" s="4"/>
      <c r="AC28" s="6"/>
      <c r="AD28" s="6"/>
      <c r="AE28" s="6"/>
      <c r="AF28" s="6"/>
      <c r="AG28" s="6"/>
      <c r="AH28" s="6"/>
      <c r="AI28" s="6"/>
      <c r="AJ28" s="6"/>
      <c r="AK28" s="5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71"/>
    </row>
    <row r="29" spans="2:54" x14ac:dyDescent="0.35">
      <c r="B29" s="4"/>
      <c r="C29" s="14" t="s">
        <v>15</v>
      </c>
      <c r="D29" s="15" t="s">
        <v>8</v>
      </c>
      <c r="E29" s="16"/>
      <c r="F29" s="15" t="s">
        <v>9</v>
      </c>
      <c r="G29" s="15"/>
      <c r="H29" s="5"/>
      <c r="J29" s="1"/>
      <c r="K29" s="2"/>
      <c r="L29" s="2"/>
      <c r="M29" s="2"/>
      <c r="N29" s="3"/>
      <c r="P29" s="4"/>
      <c r="Q29" s="68"/>
      <c r="R29" s="10" t="str">
        <f>C49</f>
        <v>Hospitalisation Costs</v>
      </c>
      <c r="S29" s="52">
        <v>0</v>
      </c>
      <c r="T29" s="53">
        <v>0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"/>
      <c r="AB29" s="4"/>
      <c r="AC29" s="6"/>
      <c r="AD29" s="6"/>
      <c r="AE29" s="6"/>
      <c r="AF29" s="6"/>
      <c r="AG29" s="6"/>
      <c r="AH29" s="6"/>
      <c r="AI29" s="6"/>
      <c r="AJ29" s="6"/>
      <c r="AK29" s="5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71"/>
    </row>
    <row r="30" spans="2:54" x14ac:dyDescent="0.35">
      <c r="B30" s="4"/>
      <c r="C30" s="6"/>
      <c r="D30" s="6"/>
      <c r="E30" s="6"/>
      <c r="F30" s="6" t="s">
        <v>10</v>
      </c>
      <c r="G30" s="6" t="s">
        <v>11</v>
      </c>
      <c r="H30" s="5"/>
      <c r="J30" s="4"/>
      <c r="K30" s="24" t="s">
        <v>48</v>
      </c>
      <c r="L30" s="24"/>
      <c r="M30" s="24"/>
      <c r="N30" s="5"/>
      <c r="P30" s="4"/>
      <c r="Q30" s="69"/>
      <c r="R30" s="20" t="str">
        <f>C54</f>
        <v>Outpatient Visits</v>
      </c>
      <c r="S30" s="45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5"/>
      <c r="AB30" s="4"/>
      <c r="AC30" s="6"/>
      <c r="AD30" s="6"/>
      <c r="AE30" s="6"/>
      <c r="AF30" s="6"/>
      <c r="AG30" s="6"/>
      <c r="AH30" s="6"/>
      <c r="AI30" s="6"/>
      <c r="AJ30" s="6"/>
      <c r="AK30" s="5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71"/>
    </row>
    <row r="31" spans="2:54" x14ac:dyDescent="0.35">
      <c r="B31" s="4"/>
      <c r="C31" s="6" t="s">
        <v>16</v>
      </c>
      <c r="D31" s="17">
        <v>50</v>
      </c>
      <c r="E31" s="6"/>
      <c r="F31" s="16">
        <v>4</v>
      </c>
      <c r="G31" s="16">
        <v>0</v>
      </c>
      <c r="H31" s="5"/>
      <c r="J31" s="4"/>
      <c r="K31" s="6"/>
      <c r="L31" s="6"/>
      <c r="M31" s="6"/>
      <c r="N31" s="5"/>
      <c r="P31" s="4"/>
      <c r="Q31" s="31"/>
      <c r="R31" s="31"/>
      <c r="S31" s="47"/>
      <c r="T31" s="48"/>
      <c r="U31" s="48"/>
      <c r="V31" s="48"/>
      <c r="W31" s="48"/>
      <c r="X31" s="48"/>
      <c r="Y31" s="48"/>
      <c r="Z31" s="5"/>
      <c r="AB31" s="4"/>
      <c r="AC31" s="6"/>
      <c r="AD31" s="6"/>
      <c r="AE31" s="6"/>
      <c r="AF31" s="6"/>
      <c r="AG31" s="6"/>
      <c r="AH31" s="6"/>
      <c r="AI31" s="6"/>
      <c r="AJ31" s="6"/>
      <c r="AK31" s="5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71"/>
    </row>
    <row r="32" spans="2:54" x14ac:dyDescent="0.35">
      <c r="B32" s="4"/>
      <c r="C32" s="10" t="s">
        <v>14</v>
      </c>
      <c r="D32" s="10"/>
      <c r="E32" s="10"/>
      <c r="F32" s="12">
        <f>D31*F31</f>
        <v>200</v>
      </c>
      <c r="G32" s="12">
        <f>D31*G31</f>
        <v>0</v>
      </c>
      <c r="H32" s="5"/>
      <c r="J32" s="4"/>
      <c r="K32" s="30" t="s">
        <v>49</v>
      </c>
      <c r="L32" s="20"/>
      <c r="M32" s="20"/>
      <c r="N32" s="5"/>
      <c r="P32" s="4"/>
      <c r="Q32" s="68" t="s">
        <v>11</v>
      </c>
      <c r="R32" s="10" t="s">
        <v>7</v>
      </c>
      <c r="S32" s="52">
        <f>S10*$G$26</f>
        <v>304290000</v>
      </c>
      <c r="T32" s="53">
        <f t="shared" ref="T32:X32" si="1">T10*$G$26</f>
        <v>349290000</v>
      </c>
      <c r="U32" s="53">
        <f t="shared" si="1"/>
        <v>394290000</v>
      </c>
      <c r="V32" s="53">
        <f t="shared" si="1"/>
        <v>439290000</v>
      </c>
      <c r="W32" s="53">
        <f t="shared" si="1"/>
        <v>484290000</v>
      </c>
      <c r="X32" s="53">
        <f t="shared" si="1"/>
        <v>529290000</v>
      </c>
      <c r="Y32" s="53">
        <f>SUM(T32:X32)</f>
        <v>2196450000</v>
      </c>
      <c r="Z32" s="5"/>
      <c r="AB32" s="4"/>
      <c r="AC32" s="6"/>
      <c r="AD32" s="6"/>
      <c r="AE32" s="6"/>
      <c r="AF32" s="6"/>
      <c r="AG32" s="6"/>
      <c r="AH32" s="6"/>
      <c r="AI32" s="6"/>
      <c r="AJ32" s="6"/>
      <c r="AK32" s="5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71"/>
    </row>
    <row r="33" spans="2:54" x14ac:dyDescent="0.35">
      <c r="B33" s="4"/>
      <c r="C33" s="6"/>
      <c r="D33" s="6"/>
      <c r="E33" s="6"/>
      <c r="F33" s="6"/>
      <c r="G33" s="6"/>
      <c r="H33" s="5"/>
      <c r="J33" s="4"/>
      <c r="K33" s="6"/>
      <c r="L33" s="6"/>
      <c r="M33" s="6"/>
      <c r="N33" s="5"/>
      <c r="P33" s="4"/>
      <c r="Q33" s="68"/>
      <c r="R33" s="6" t="s">
        <v>15</v>
      </c>
      <c r="S33" s="45">
        <f>S10*$G$32</f>
        <v>0</v>
      </c>
      <c r="T33" s="46">
        <f t="shared" ref="T33:X33" si="2">T10*$G$32</f>
        <v>0</v>
      </c>
      <c r="U33" s="46">
        <f t="shared" si="2"/>
        <v>0</v>
      </c>
      <c r="V33" s="46">
        <f t="shared" si="2"/>
        <v>0</v>
      </c>
      <c r="W33" s="46">
        <f t="shared" si="2"/>
        <v>0</v>
      </c>
      <c r="X33" s="46">
        <f t="shared" si="2"/>
        <v>0</v>
      </c>
      <c r="Y33" s="46">
        <f t="shared" ref="Y33:Y37" si="3">SUM(T33:X33)</f>
        <v>0</v>
      </c>
      <c r="Z33" s="5"/>
      <c r="AB33" s="4"/>
      <c r="AC33" s="6"/>
      <c r="AD33" s="6"/>
      <c r="AE33" s="6"/>
      <c r="AF33" s="6"/>
      <c r="AG33" s="6"/>
      <c r="AH33" s="6"/>
      <c r="AI33" s="6"/>
      <c r="AJ33" s="6"/>
      <c r="AK33" s="5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71"/>
    </row>
    <row r="34" spans="2:54" x14ac:dyDescent="0.35">
      <c r="B34" s="4"/>
      <c r="C34" s="6"/>
      <c r="D34" s="6"/>
      <c r="E34" s="6"/>
      <c r="F34" s="6"/>
      <c r="G34" s="6"/>
      <c r="H34" s="5"/>
      <c r="J34" s="4"/>
      <c r="K34" s="20"/>
      <c r="L34" s="20" t="s">
        <v>50</v>
      </c>
      <c r="M34" s="20" t="s">
        <v>51</v>
      </c>
      <c r="N34" s="5"/>
      <c r="P34" s="4"/>
      <c r="Q34" s="68"/>
      <c r="R34" s="10" t="s">
        <v>17</v>
      </c>
      <c r="S34" s="52">
        <f>S10*$G$38</f>
        <v>50715000</v>
      </c>
      <c r="T34" s="53">
        <f t="shared" ref="T34:X34" si="4">T10*$G$38</f>
        <v>58215000</v>
      </c>
      <c r="U34" s="53">
        <f t="shared" si="4"/>
        <v>65715000</v>
      </c>
      <c r="V34" s="53">
        <f t="shared" si="4"/>
        <v>73215000</v>
      </c>
      <c r="W34" s="53">
        <f t="shared" si="4"/>
        <v>80715000</v>
      </c>
      <c r="X34" s="53">
        <f t="shared" si="4"/>
        <v>88215000</v>
      </c>
      <c r="Y34" s="53">
        <f t="shared" si="3"/>
        <v>366075000</v>
      </c>
      <c r="Z34" s="5"/>
      <c r="AB34" s="4"/>
      <c r="AC34" s="6"/>
      <c r="AD34" s="6"/>
      <c r="AE34" s="6"/>
      <c r="AF34" s="6"/>
      <c r="AG34" s="6"/>
      <c r="AH34" s="6"/>
      <c r="AI34" s="6"/>
      <c r="AJ34" s="6"/>
      <c r="AK34" s="5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71"/>
    </row>
    <row r="35" spans="2:54" x14ac:dyDescent="0.35">
      <c r="B35" s="4"/>
      <c r="C35" s="14" t="s">
        <v>17</v>
      </c>
      <c r="D35" s="15" t="s">
        <v>8</v>
      </c>
      <c r="E35" s="16"/>
      <c r="F35" s="15" t="s">
        <v>9</v>
      </c>
      <c r="G35" s="15"/>
      <c r="H35" s="5"/>
      <c r="J35" s="4"/>
      <c r="K35" s="10" t="str">
        <f>K21</f>
        <v>Year 0 (Baseline)</v>
      </c>
      <c r="L35" s="26">
        <v>0</v>
      </c>
      <c r="M35" s="26">
        <v>1</v>
      </c>
      <c r="N35" s="5"/>
      <c r="P35" s="4"/>
      <c r="Q35" s="68"/>
      <c r="R35" s="6" t="s">
        <v>19</v>
      </c>
      <c r="S35" s="45">
        <f>S10*$G$45</f>
        <v>60858000</v>
      </c>
      <c r="T35" s="46">
        <f t="shared" ref="T35:X35" si="5">T10*$G$45</f>
        <v>69858000</v>
      </c>
      <c r="U35" s="46">
        <f t="shared" si="5"/>
        <v>78858000</v>
      </c>
      <c r="V35" s="46">
        <f t="shared" si="5"/>
        <v>87858000</v>
      </c>
      <c r="W35" s="46">
        <f t="shared" si="5"/>
        <v>96858000</v>
      </c>
      <c r="X35" s="46">
        <f t="shared" si="5"/>
        <v>105858000</v>
      </c>
      <c r="Y35" s="46">
        <f t="shared" si="3"/>
        <v>439290000</v>
      </c>
      <c r="Z35" s="5"/>
      <c r="AB35" s="4"/>
      <c r="AC35" s="6"/>
      <c r="AD35" s="6"/>
      <c r="AE35" s="6"/>
      <c r="AF35" s="6"/>
      <c r="AG35" s="6"/>
      <c r="AH35" s="6"/>
      <c r="AI35" s="6"/>
      <c r="AJ35" s="6"/>
      <c r="AK35" s="5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71"/>
    </row>
    <row r="36" spans="2:54" x14ac:dyDescent="0.35">
      <c r="B36" s="4"/>
      <c r="C36" s="6"/>
      <c r="D36" s="6"/>
      <c r="E36" s="6"/>
      <c r="F36" s="6" t="s">
        <v>10</v>
      </c>
      <c r="G36" s="6" t="s">
        <v>11</v>
      </c>
      <c r="H36" s="5"/>
      <c r="J36" s="4"/>
      <c r="K36" s="6" t="str">
        <f t="shared" ref="K36:K39" si="6">K22</f>
        <v>Year 1 (2026)</v>
      </c>
      <c r="L36" s="22">
        <v>0</v>
      </c>
      <c r="M36" s="22">
        <v>1</v>
      </c>
      <c r="N36" s="5"/>
      <c r="P36" s="4"/>
      <c r="Q36" s="68"/>
      <c r="R36" s="10" t="s">
        <v>23</v>
      </c>
      <c r="S36" s="52">
        <f>S10*$G$52</f>
        <v>76072500</v>
      </c>
      <c r="T36" s="53">
        <f t="shared" ref="T36:X36" si="7">T10*$G$52</f>
        <v>87322500</v>
      </c>
      <c r="U36" s="53">
        <f t="shared" si="7"/>
        <v>98572500</v>
      </c>
      <c r="V36" s="53">
        <f t="shared" si="7"/>
        <v>109822500</v>
      </c>
      <c r="W36" s="53">
        <f t="shared" si="7"/>
        <v>121072500</v>
      </c>
      <c r="X36" s="53">
        <f t="shared" si="7"/>
        <v>132322500</v>
      </c>
      <c r="Y36" s="53">
        <f t="shared" si="3"/>
        <v>549112500</v>
      </c>
      <c r="Z36" s="5"/>
      <c r="AB36" s="4"/>
      <c r="AC36" s="6"/>
      <c r="AD36" s="6"/>
      <c r="AE36" s="6"/>
      <c r="AF36" s="6"/>
      <c r="AG36" s="6"/>
      <c r="AH36" s="6"/>
      <c r="AI36" s="6"/>
      <c r="AJ36" s="6"/>
      <c r="AK36" s="5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71"/>
    </row>
    <row r="37" spans="2:54" x14ac:dyDescent="0.35">
      <c r="B37" s="4"/>
      <c r="C37" s="6" t="s">
        <v>18</v>
      </c>
      <c r="D37" s="17">
        <v>25</v>
      </c>
      <c r="E37" s="16"/>
      <c r="F37" s="16">
        <v>4</v>
      </c>
      <c r="G37" s="16">
        <v>2</v>
      </c>
      <c r="H37" s="5"/>
      <c r="J37" s="4"/>
      <c r="K37" s="10" t="str">
        <f t="shared" si="6"/>
        <v>Year 2 (2027)</v>
      </c>
      <c r="L37" s="26">
        <v>0</v>
      </c>
      <c r="M37" s="26">
        <v>1</v>
      </c>
      <c r="N37" s="5"/>
      <c r="P37" s="4"/>
      <c r="Q37" s="69"/>
      <c r="R37" s="20" t="s">
        <v>25</v>
      </c>
      <c r="S37" s="49">
        <f>S10*$G$57</f>
        <v>177502500</v>
      </c>
      <c r="T37" s="50">
        <f t="shared" ref="T37:X37" si="8">T10*$G$57</f>
        <v>203752500</v>
      </c>
      <c r="U37" s="50">
        <f t="shared" si="8"/>
        <v>230002500</v>
      </c>
      <c r="V37" s="50">
        <f t="shared" si="8"/>
        <v>256252500</v>
      </c>
      <c r="W37" s="50">
        <f t="shared" si="8"/>
        <v>282502500</v>
      </c>
      <c r="X37" s="50">
        <f t="shared" si="8"/>
        <v>308752500</v>
      </c>
      <c r="Y37" s="50">
        <f t="shared" si="3"/>
        <v>1281262500</v>
      </c>
      <c r="Z37" s="5"/>
      <c r="AB37" s="4"/>
      <c r="AC37" s="6"/>
      <c r="AD37" s="6"/>
      <c r="AE37" s="6"/>
      <c r="AF37" s="6"/>
      <c r="AG37" s="6"/>
      <c r="AH37" s="6"/>
      <c r="AI37" s="6"/>
      <c r="AJ37" s="6"/>
      <c r="AK37" s="5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71"/>
    </row>
    <row r="38" spans="2:54" x14ac:dyDescent="0.35">
      <c r="B38" s="4"/>
      <c r="C38" s="10" t="s">
        <v>14</v>
      </c>
      <c r="D38" s="10"/>
      <c r="E38" s="10"/>
      <c r="F38" s="12">
        <f>D37*F37</f>
        <v>100</v>
      </c>
      <c r="G38" s="12">
        <f>D37*G37</f>
        <v>50</v>
      </c>
      <c r="H38" s="5"/>
      <c r="J38" s="4"/>
      <c r="K38" s="6" t="str">
        <f t="shared" si="6"/>
        <v>Year 3 (2028)</v>
      </c>
      <c r="L38" s="22">
        <v>0</v>
      </c>
      <c r="M38" s="22">
        <v>1</v>
      </c>
      <c r="N38" s="5"/>
      <c r="P38" s="4"/>
      <c r="Q38" s="6"/>
      <c r="R38" s="6"/>
      <c r="S38" s="6"/>
      <c r="T38" s="6"/>
      <c r="U38" s="6"/>
      <c r="V38" s="6"/>
      <c r="W38" s="6"/>
      <c r="X38" s="6"/>
      <c r="Y38" s="6"/>
      <c r="Z38" s="5"/>
      <c r="AB38" s="4"/>
      <c r="AC38" s="6"/>
      <c r="AD38" s="6"/>
      <c r="AE38" s="6"/>
      <c r="AF38" s="6"/>
      <c r="AG38" s="6"/>
      <c r="AH38" s="6"/>
      <c r="AI38" s="6"/>
      <c r="AJ38" s="6"/>
      <c r="AK38" s="5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71"/>
    </row>
    <row r="39" spans="2:54" x14ac:dyDescent="0.35">
      <c r="B39" s="4"/>
      <c r="C39" s="6"/>
      <c r="D39" s="6"/>
      <c r="E39" s="6"/>
      <c r="F39" s="6"/>
      <c r="G39" s="6"/>
      <c r="H39" s="5"/>
      <c r="J39" s="4"/>
      <c r="K39" s="10" t="str">
        <f t="shared" si="6"/>
        <v>Year 4 (2029)</v>
      </c>
      <c r="L39" s="26">
        <v>0</v>
      </c>
      <c r="M39" s="26">
        <v>1</v>
      </c>
      <c r="N39" s="5"/>
      <c r="P39" s="4"/>
      <c r="Q39" s="58" t="s">
        <v>52</v>
      </c>
      <c r="R39" s="59"/>
      <c r="S39" s="59"/>
      <c r="T39" s="59"/>
      <c r="U39" s="59"/>
      <c r="V39" s="59"/>
      <c r="W39" s="59"/>
      <c r="X39" s="59"/>
      <c r="Y39" s="59"/>
      <c r="Z39" s="5"/>
      <c r="AB39" s="4"/>
      <c r="AC39" s="6"/>
      <c r="AD39" s="6"/>
      <c r="AE39" s="6"/>
      <c r="AF39" s="6"/>
      <c r="AG39" s="6"/>
      <c r="AH39" s="6"/>
      <c r="AI39" s="6"/>
      <c r="AJ39" s="6"/>
      <c r="AK39" s="5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71"/>
    </row>
    <row r="40" spans="2:54" x14ac:dyDescent="0.35">
      <c r="B40" s="4"/>
      <c r="C40" s="6"/>
      <c r="D40" s="6"/>
      <c r="E40" s="6"/>
      <c r="F40" s="6"/>
      <c r="G40" s="6"/>
      <c r="H40" s="5"/>
      <c r="J40" s="4"/>
      <c r="K40" s="6" t="str">
        <f>K26</f>
        <v>Year 5 (2030)</v>
      </c>
      <c r="L40" s="22">
        <v>0</v>
      </c>
      <c r="M40" s="22">
        <v>1</v>
      </c>
      <c r="N40" s="5"/>
      <c r="P40" s="4"/>
      <c r="Q40" s="6"/>
      <c r="R40" s="6"/>
      <c r="S40" s="6"/>
      <c r="T40" s="6"/>
      <c r="U40" s="6"/>
      <c r="V40" s="6"/>
      <c r="W40" s="6"/>
      <c r="X40" s="6"/>
      <c r="Y40" s="6"/>
      <c r="Z40" s="5"/>
      <c r="AB40" s="4"/>
      <c r="AC40" s="6"/>
      <c r="AD40" s="6"/>
      <c r="AE40" s="6"/>
      <c r="AF40" s="6"/>
      <c r="AG40" s="6"/>
      <c r="AH40" s="6"/>
      <c r="AI40" s="6"/>
      <c r="AJ40" s="6"/>
      <c r="AK40" s="5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71"/>
    </row>
    <row r="41" spans="2:54" x14ac:dyDescent="0.35">
      <c r="B41" s="4"/>
      <c r="C41" s="14" t="s">
        <v>19</v>
      </c>
      <c r="D41" s="15" t="s">
        <v>8</v>
      </c>
      <c r="E41" s="16"/>
      <c r="F41" s="15" t="s">
        <v>9</v>
      </c>
      <c r="G41" s="15"/>
      <c r="H41" s="5"/>
      <c r="J41" s="4"/>
      <c r="K41" s="6"/>
      <c r="L41" s="6"/>
      <c r="M41" s="6"/>
      <c r="N41" s="5"/>
      <c r="P41" s="4"/>
      <c r="Q41" s="6"/>
      <c r="R41" s="6"/>
      <c r="S41" s="60" t="s">
        <v>55</v>
      </c>
      <c r="T41" s="6"/>
      <c r="U41" s="6"/>
      <c r="V41" s="6"/>
      <c r="W41" s="6"/>
      <c r="X41" s="6"/>
      <c r="Y41" s="6"/>
      <c r="Z41" s="5"/>
      <c r="AB41" s="4"/>
      <c r="AC41" s="6"/>
      <c r="AD41" s="6"/>
      <c r="AE41" s="6"/>
      <c r="AF41" s="6"/>
      <c r="AG41" s="6"/>
      <c r="AH41" s="6"/>
      <c r="AI41" s="6"/>
      <c r="AJ41" s="6"/>
      <c r="AK41" s="5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71"/>
    </row>
    <row r="42" spans="2:54" x14ac:dyDescent="0.35">
      <c r="B42" s="4"/>
      <c r="C42" s="6"/>
      <c r="D42" s="6"/>
      <c r="E42" s="6"/>
      <c r="F42" s="6" t="s">
        <v>10</v>
      </c>
      <c r="G42" s="6" t="s">
        <v>11</v>
      </c>
      <c r="H42" s="5"/>
      <c r="J42" s="4"/>
      <c r="K42" s="30" t="s">
        <v>52</v>
      </c>
      <c r="L42" s="20"/>
      <c r="M42" s="20"/>
      <c r="N42" s="5"/>
      <c r="P42" s="4"/>
      <c r="Q42" s="6"/>
      <c r="R42" s="6"/>
      <c r="S42" s="34" t="s">
        <v>56</v>
      </c>
      <c r="T42" s="35" t="s">
        <v>57</v>
      </c>
      <c r="U42" s="35" t="s">
        <v>58</v>
      </c>
      <c r="V42" s="35" t="s">
        <v>59</v>
      </c>
      <c r="W42" s="35" t="s">
        <v>60</v>
      </c>
      <c r="X42" s="35" t="s">
        <v>61</v>
      </c>
      <c r="Y42" s="68" t="s">
        <v>62</v>
      </c>
      <c r="Z42" s="5"/>
      <c r="AB42" s="4"/>
      <c r="AC42" s="6"/>
      <c r="AD42" s="6"/>
      <c r="AE42" s="6"/>
      <c r="AF42" s="6"/>
      <c r="AG42" s="6"/>
      <c r="AH42" s="6"/>
      <c r="AI42" s="6"/>
      <c r="AJ42" s="6"/>
      <c r="AK42" s="5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71"/>
    </row>
    <row r="43" spans="2:54" x14ac:dyDescent="0.35">
      <c r="B43" s="4"/>
      <c r="C43" s="6" t="s">
        <v>20</v>
      </c>
      <c r="D43" s="17">
        <v>100</v>
      </c>
      <c r="E43" s="6"/>
      <c r="F43" s="18">
        <v>0.05</v>
      </c>
      <c r="G43" s="18">
        <v>0</v>
      </c>
      <c r="H43" s="5"/>
      <c r="J43" s="4"/>
      <c r="K43" s="6"/>
      <c r="L43" s="6"/>
      <c r="M43" s="6"/>
      <c r="N43" s="5"/>
      <c r="P43" s="4"/>
      <c r="Q43" s="20" t="s">
        <v>67</v>
      </c>
      <c r="R43" s="20" t="s">
        <v>66</v>
      </c>
      <c r="S43" s="36" t="s">
        <v>63</v>
      </c>
      <c r="T43" s="37">
        <v>2026</v>
      </c>
      <c r="U43" s="37">
        <v>2027</v>
      </c>
      <c r="V43" s="37">
        <v>2028</v>
      </c>
      <c r="W43" s="37">
        <v>2029</v>
      </c>
      <c r="X43" s="37">
        <v>2030</v>
      </c>
      <c r="Y43" s="69"/>
      <c r="Z43" s="5"/>
      <c r="AB43" s="4"/>
      <c r="AC43" s="6"/>
      <c r="AD43" s="6"/>
      <c r="AE43" s="6"/>
      <c r="AF43" s="6"/>
      <c r="AG43" s="6"/>
      <c r="AH43" s="6"/>
      <c r="AI43" s="6"/>
      <c r="AJ43" s="6"/>
      <c r="AK43" s="5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71"/>
    </row>
    <row r="44" spans="2:54" x14ac:dyDescent="0.35">
      <c r="B44" s="4"/>
      <c r="C44" s="6" t="s">
        <v>21</v>
      </c>
      <c r="D44" s="17">
        <v>3000</v>
      </c>
      <c r="E44" s="6"/>
      <c r="F44" s="18">
        <v>0</v>
      </c>
      <c r="G44" s="18">
        <v>0.02</v>
      </c>
      <c r="H44" s="5"/>
      <c r="J44" s="4"/>
      <c r="K44" s="20"/>
      <c r="L44" s="20" t="s">
        <v>50</v>
      </c>
      <c r="M44" s="20" t="s">
        <v>51</v>
      </c>
      <c r="N44" s="5"/>
      <c r="P44" s="4"/>
      <c r="Q44" s="70" t="s">
        <v>10</v>
      </c>
      <c r="R44" s="51" t="s">
        <v>7</v>
      </c>
      <c r="S44" s="52">
        <v>0</v>
      </c>
      <c r="T44" s="53">
        <f>T10*T17*$F$26</f>
        <v>58215000</v>
      </c>
      <c r="U44" s="53">
        <f t="shared" ref="U44:X44" si="9">U10*U17*$F$26</f>
        <v>164287500</v>
      </c>
      <c r="V44" s="53">
        <f t="shared" si="9"/>
        <v>292860000</v>
      </c>
      <c r="W44" s="53">
        <f t="shared" si="9"/>
        <v>484290000</v>
      </c>
      <c r="X44" s="53">
        <f t="shared" si="9"/>
        <v>705720000</v>
      </c>
      <c r="Y44" s="53">
        <f>SUM(T44:X44)</f>
        <v>1705372500</v>
      </c>
      <c r="Z44" s="5"/>
      <c r="AB44" s="4"/>
      <c r="AC44" s="6"/>
      <c r="AD44" s="6"/>
      <c r="AE44" s="6"/>
      <c r="AF44" s="6"/>
      <c r="AG44" s="6"/>
      <c r="AH44" s="6"/>
      <c r="AI44" s="6"/>
      <c r="AJ44" s="6"/>
      <c r="AK44" s="5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71"/>
    </row>
    <row r="45" spans="2:54" x14ac:dyDescent="0.35">
      <c r="B45" s="4"/>
      <c r="C45" s="10" t="s">
        <v>14</v>
      </c>
      <c r="D45" s="10"/>
      <c r="E45" s="10"/>
      <c r="F45" s="12">
        <f>D43*F43</f>
        <v>5</v>
      </c>
      <c r="G45" s="12">
        <f>D44*G44</f>
        <v>60</v>
      </c>
      <c r="H45" s="5"/>
      <c r="J45" s="4"/>
      <c r="K45" s="10" t="s">
        <v>42</v>
      </c>
      <c r="L45" s="26">
        <v>0</v>
      </c>
      <c r="M45" s="26">
        <v>1</v>
      </c>
      <c r="N45" s="5"/>
      <c r="P45" s="4"/>
      <c r="Q45" s="68"/>
      <c r="R45" s="6" t="s">
        <v>15</v>
      </c>
      <c r="S45" s="45">
        <v>0</v>
      </c>
      <c r="T45" s="46">
        <f>T10*T17*$F$32</f>
        <v>23286000</v>
      </c>
      <c r="U45" s="46">
        <f t="shared" ref="U45:X45" si="10">U10*U17*$F$32</f>
        <v>65715000</v>
      </c>
      <c r="V45" s="46">
        <f t="shared" si="10"/>
        <v>117144000</v>
      </c>
      <c r="W45" s="46">
        <f t="shared" si="10"/>
        <v>193716000</v>
      </c>
      <c r="X45" s="46">
        <f t="shared" si="10"/>
        <v>282288000</v>
      </c>
      <c r="Y45" s="46">
        <f t="shared" ref="Y45:Y49" si="11">SUM(T45:X45)</f>
        <v>682149000</v>
      </c>
      <c r="Z45" s="5"/>
      <c r="AB45" s="4"/>
      <c r="AC45" s="6"/>
      <c r="AD45" s="6"/>
      <c r="AE45" s="6"/>
      <c r="AF45" s="6"/>
      <c r="AG45" s="6"/>
      <c r="AH45" s="6"/>
      <c r="AI45" s="6"/>
      <c r="AJ45" s="6"/>
      <c r="AK45" s="5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71"/>
    </row>
    <row r="46" spans="2:54" x14ac:dyDescent="0.35">
      <c r="B46" s="4"/>
      <c r="C46" s="6"/>
      <c r="D46" s="6"/>
      <c r="E46" s="6"/>
      <c r="F46" s="6"/>
      <c r="G46" s="6"/>
      <c r="H46" s="5"/>
      <c r="J46" s="4"/>
      <c r="K46" s="6" t="s">
        <v>43</v>
      </c>
      <c r="L46" s="22">
        <v>0.1</v>
      </c>
      <c r="M46" s="22">
        <f>1-L46</f>
        <v>0.9</v>
      </c>
      <c r="N46" s="5"/>
      <c r="P46" s="4"/>
      <c r="Q46" s="68"/>
      <c r="R46" s="10" t="s">
        <v>17</v>
      </c>
      <c r="S46" s="52">
        <v>0</v>
      </c>
      <c r="T46" s="53">
        <f>T10*T17*$F$38</f>
        <v>11643000</v>
      </c>
      <c r="U46" s="53">
        <f t="shared" ref="U46:X46" si="12">U10*U17*$F$38</f>
        <v>32857500</v>
      </c>
      <c r="V46" s="53">
        <f t="shared" si="12"/>
        <v>58572000</v>
      </c>
      <c r="W46" s="53">
        <f t="shared" si="12"/>
        <v>96858000</v>
      </c>
      <c r="X46" s="53">
        <f t="shared" si="12"/>
        <v>141144000</v>
      </c>
      <c r="Y46" s="53">
        <f t="shared" si="11"/>
        <v>341074500</v>
      </c>
      <c r="Z46" s="5"/>
      <c r="AB46" s="4"/>
      <c r="AC46" s="6"/>
      <c r="AD46" s="6"/>
      <c r="AE46" s="6"/>
      <c r="AF46" s="6"/>
      <c r="AG46" s="6"/>
      <c r="AH46" s="6"/>
      <c r="AI46" s="6"/>
      <c r="AJ46" s="6"/>
      <c r="AK46" s="5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71"/>
    </row>
    <row r="47" spans="2:54" x14ac:dyDescent="0.35">
      <c r="B47" s="4"/>
      <c r="C47" s="58" t="s">
        <v>22</v>
      </c>
      <c r="D47" s="59"/>
      <c r="E47" s="59"/>
      <c r="F47" s="59"/>
      <c r="G47" s="59"/>
      <c r="H47" s="5"/>
      <c r="J47" s="4"/>
      <c r="K47" s="10" t="s">
        <v>44</v>
      </c>
      <c r="L47" s="26">
        <v>0.25</v>
      </c>
      <c r="M47" s="26">
        <f t="shared" ref="M47:M50" si="13">1-L47</f>
        <v>0.75</v>
      </c>
      <c r="N47" s="5"/>
      <c r="P47" s="4"/>
      <c r="Q47" s="68"/>
      <c r="R47" s="6" t="s">
        <v>19</v>
      </c>
      <c r="S47" s="45">
        <v>0</v>
      </c>
      <c r="T47" s="46">
        <f>T10*T17*$F$45</f>
        <v>582150</v>
      </c>
      <c r="U47" s="46">
        <f t="shared" ref="U47:X47" si="14">U10*U17*$F$45</f>
        <v>1642875</v>
      </c>
      <c r="V47" s="46">
        <f t="shared" si="14"/>
        <v>2928600</v>
      </c>
      <c r="W47" s="46">
        <f t="shared" si="14"/>
        <v>4842900</v>
      </c>
      <c r="X47" s="46">
        <f t="shared" si="14"/>
        <v>7057200</v>
      </c>
      <c r="Y47" s="46">
        <f t="shared" si="11"/>
        <v>17053725</v>
      </c>
      <c r="Z47" s="5"/>
      <c r="AB47" s="4"/>
      <c r="AC47" s="6"/>
      <c r="AD47" s="6"/>
      <c r="AE47" s="6"/>
      <c r="AF47" s="6"/>
      <c r="AG47" s="6"/>
      <c r="AH47" s="6"/>
      <c r="AI47" s="6"/>
      <c r="AJ47" s="6"/>
      <c r="AK47" s="5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71"/>
    </row>
    <row r="48" spans="2:54" x14ac:dyDescent="0.35">
      <c r="B48" s="4"/>
      <c r="C48" s="6"/>
      <c r="D48" s="6"/>
      <c r="E48" s="6"/>
      <c r="F48" s="6"/>
      <c r="G48" s="6"/>
      <c r="H48" s="5"/>
      <c r="J48" s="4"/>
      <c r="K48" s="6" t="s">
        <v>45</v>
      </c>
      <c r="L48" s="22">
        <v>0.4</v>
      </c>
      <c r="M48" s="22">
        <f t="shared" si="13"/>
        <v>0.6</v>
      </c>
      <c r="N48" s="5"/>
      <c r="P48" s="4"/>
      <c r="Q48" s="68"/>
      <c r="R48" s="10" t="s">
        <v>23</v>
      </c>
      <c r="S48" s="52">
        <v>0</v>
      </c>
      <c r="T48" s="53">
        <f>T10*T17*$F$52</f>
        <v>0</v>
      </c>
      <c r="U48" s="53">
        <f t="shared" ref="U48:X48" si="15">U10*U17*$F$52</f>
        <v>0</v>
      </c>
      <c r="V48" s="53">
        <f t="shared" si="15"/>
        <v>0</v>
      </c>
      <c r="W48" s="53">
        <f t="shared" si="15"/>
        <v>0</v>
      </c>
      <c r="X48" s="53">
        <f t="shared" si="15"/>
        <v>0</v>
      </c>
      <c r="Y48" s="53">
        <f t="shared" si="11"/>
        <v>0</v>
      </c>
      <c r="Z48" s="5"/>
      <c r="AB48" s="4"/>
      <c r="AC48" s="6"/>
      <c r="AD48" s="6"/>
      <c r="AE48" s="6"/>
      <c r="AF48" s="6"/>
      <c r="AG48" s="6"/>
      <c r="AH48" s="6"/>
      <c r="AI48" s="6"/>
      <c r="AJ48" s="6"/>
      <c r="AK48" s="5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71"/>
    </row>
    <row r="49" spans="2:54" x14ac:dyDescent="0.35">
      <c r="B49" s="4"/>
      <c r="C49" s="14" t="s">
        <v>23</v>
      </c>
      <c r="D49" s="15" t="s">
        <v>8</v>
      </c>
      <c r="E49" s="16"/>
      <c r="F49" s="15" t="s">
        <v>9</v>
      </c>
      <c r="G49" s="15"/>
      <c r="H49" s="5"/>
      <c r="J49" s="4"/>
      <c r="K49" s="10" t="s">
        <v>46</v>
      </c>
      <c r="L49" s="26">
        <v>0.6</v>
      </c>
      <c r="M49" s="26">
        <f t="shared" si="13"/>
        <v>0.4</v>
      </c>
      <c r="N49" s="5"/>
      <c r="P49" s="4"/>
      <c r="Q49" s="69"/>
      <c r="R49" s="20" t="s">
        <v>25</v>
      </c>
      <c r="S49" s="45">
        <v>0</v>
      </c>
      <c r="T49" s="46">
        <f>T10*T17*$F$57</f>
        <v>20375250</v>
      </c>
      <c r="U49" s="46">
        <f t="shared" ref="U49:X49" si="16">U10*U17*$F$57</f>
        <v>57500625</v>
      </c>
      <c r="V49" s="46">
        <f t="shared" si="16"/>
        <v>102501000</v>
      </c>
      <c r="W49" s="46">
        <f t="shared" si="16"/>
        <v>169501500</v>
      </c>
      <c r="X49" s="46">
        <f t="shared" si="16"/>
        <v>247002000</v>
      </c>
      <c r="Y49" s="46">
        <f t="shared" si="11"/>
        <v>596880375</v>
      </c>
      <c r="Z49" s="5"/>
      <c r="AB49" s="4"/>
      <c r="AC49" s="6"/>
      <c r="AD49" s="6"/>
      <c r="AE49" s="6"/>
      <c r="AF49" s="6"/>
      <c r="AG49" s="6"/>
      <c r="AH49" s="6"/>
      <c r="AI49" s="6"/>
      <c r="AJ49" s="6"/>
      <c r="AK49" s="5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71"/>
    </row>
    <row r="50" spans="2:54" x14ac:dyDescent="0.35">
      <c r="B50" s="4"/>
      <c r="C50" s="6"/>
      <c r="D50" s="6"/>
      <c r="E50" s="6"/>
      <c r="F50" s="6" t="s">
        <v>10</v>
      </c>
      <c r="G50" s="6" t="s">
        <v>11</v>
      </c>
      <c r="H50" s="5"/>
      <c r="J50" s="4"/>
      <c r="K50" s="6" t="s">
        <v>47</v>
      </c>
      <c r="L50" s="22">
        <v>0.8</v>
      </c>
      <c r="M50" s="22">
        <f t="shared" si="13"/>
        <v>0.19999999999999996</v>
      </c>
      <c r="N50" s="5"/>
      <c r="P50" s="4"/>
      <c r="Q50" s="31"/>
      <c r="R50" s="31"/>
      <c r="S50" s="47"/>
      <c r="T50" s="48"/>
      <c r="U50" s="48"/>
      <c r="V50" s="48"/>
      <c r="W50" s="48"/>
      <c r="X50" s="48"/>
      <c r="Y50" s="48"/>
      <c r="Z50" s="5"/>
      <c r="AB50" s="4"/>
      <c r="AC50" s="6"/>
      <c r="AD50" s="6"/>
      <c r="AE50" s="6"/>
      <c r="AF50" s="6"/>
      <c r="AG50" s="6"/>
      <c r="AH50" s="6"/>
      <c r="AI50" s="6"/>
      <c r="AJ50" s="6"/>
      <c r="AK50" s="5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71"/>
    </row>
    <row r="51" spans="2:54" ht="15" thickBot="1" x14ac:dyDescent="0.4">
      <c r="B51" s="4"/>
      <c r="C51" s="6" t="s">
        <v>24</v>
      </c>
      <c r="D51" s="17">
        <v>7500</v>
      </c>
      <c r="E51" s="6"/>
      <c r="F51" s="18">
        <v>0</v>
      </c>
      <c r="G51" s="18">
        <v>0.01</v>
      </c>
      <c r="H51" s="5"/>
      <c r="J51" s="7"/>
      <c r="K51" s="8"/>
      <c r="L51" s="8"/>
      <c r="M51" s="8"/>
      <c r="N51" s="9"/>
      <c r="P51" s="4"/>
      <c r="Q51" s="68" t="s">
        <v>11</v>
      </c>
      <c r="R51" s="10" t="s">
        <v>7</v>
      </c>
      <c r="S51" s="52">
        <f>S10*S18*$G$26</f>
        <v>304290000</v>
      </c>
      <c r="T51" s="53">
        <f t="shared" ref="T51:X51" si="17">T10*T18*$G$26</f>
        <v>314361000</v>
      </c>
      <c r="U51" s="53">
        <f t="shared" si="17"/>
        <v>295717500</v>
      </c>
      <c r="V51" s="53">
        <f t="shared" si="17"/>
        <v>263574000</v>
      </c>
      <c r="W51" s="53">
        <f t="shared" si="17"/>
        <v>193716000</v>
      </c>
      <c r="X51" s="53">
        <f t="shared" si="17"/>
        <v>105857999.99999999</v>
      </c>
      <c r="Y51" s="53">
        <f>SUM(T51:X51)</f>
        <v>1173226500</v>
      </c>
      <c r="Z51" s="5"/>
      <c r="AB51" s="4"/>
      <c r="AC51" s="6"/>
      <c r="AD51" s="6"/>
      <c r="AE51" s="6"/>
      <c r="AF51" s="6"/>
      <c r="AG51" s="6"/>
      <c r="AH51" s="6"/>
      <c r="AI51" s="6"/>
      <c r="AJ51" s="6"/>
      <c r="AK51" s="5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71"/>
    </row>
    <row r="52" spans="2:54" x14ac:dyDescent="0.35">
      <c r="B52" s="4"/>
      <c r="C52" s="10" t="s">
        <v>14</v>
      </c>
      <c r="D52" s="10"/>
      <c r="E52" s="10"/>
      <c r="F52" s="12">
        <f>D51*F51</f>
        <v>0</v>
      </c>
      <c r="G52" s="12">
        <f>D51*G51</f>
        <v>75</v>
      </c>
      <c r="H52" s="5"/>
      <c r="J52" s="62"/>
      <c r="K52" s="62"/>
      <c r="L52" s="62"/>
      <c r="M52" s="62"/>
      <c r="N52" s="62"/>
      <c r="P52" s="4"/>
      <c r="Q52" s="68"/>
      <c r="R52" s="6" t="s">
        <v>15</v>
      </c>
      <c r="S52" s="45">
        <f>S10*S18*$G$32</f>
        <v>0</v>
      </c>
      <c r="T52" s="46">
        <f t="shared" ref="T52:X52" si="18">T10*T18*$G$32</f>
        <v>0</v>
      </c>
      <c r="U52" s="46">
        <f t="shared" si="18"/>
        <v>0</v>
      </c>
      <c r="V52" s="46">
        <f t="shared" si="18"/>
        <v>0</v>
      </c>
      <c r="W52" s="46">
        <f t="shared" si="18"/>
        <v>0</v>
      </c>
      <c r="X52" s="46">
        <f t="shared" si="18"/>
        <v>0</v>
      </c>
      <c r="Y52" s="46">
        <f t="shared" ref="Y52:Y56" si="19">SUM(T52:X52)</f>
        <v>0</v>
      </c>
      <c r="Z52" s="5"/>
      <c r="AB52" s="4"/>
      <c r="AC52" s="6"/>
      <c r="AD52" s="6"/>
      <c r="AE52" s="6"/>
      <c r="AF52" s="6"/>
      <c r="AG52" s="6"/>
      <c r="AH52" s="6"/>
      <c r="AI52" s="6"/>
      <c r="AJ52" s="6"/>
      <c r="AK52" s="5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71"/>
    </row>
    <row r="53" spans="2:54" x14ac:dyDescent="0.35">
      <c r="B53" s="4"/>
      <c r="C53" s="6"/>
      <c r="D53" s="6"/>
      <c r="E53" s="6"/>
      <c r="F53" s="6"/>
      <c r="G53" s="6"/>
      <c r="H53" s="5"/>
      <c r="J53" s="62"/>
      <c r="K53" s="62"/>
      <c r="L53" s="62"/>
      <c r="M53" s="62"/>
      <c r="N53" s="62"/>
      <c r="P53" s="4"/>
      <c r="Q53" s="68"/>
      <c r="R53" s="10" t="s">
        <v>17</v>
      </c>
      <c r="S53" s="52">
        <f>S10*S18*$G$38</f>
        <v>50715000</v>
      </c>
      <c r="T53" s="53">
        <f t="shared" ref="T53:X53" si="20">T10*T18*$G$38</f>
        <v>52393500</v>
      </c>
      <c r="U53" s="53">
        <f t="shared" si="20"/>
        <v>49286250</v>
      </c>
      <c r="V53" s="53">
        <f t="shared" si="20"/>
        <v>43929000</v>
      </c>
      <c r="W53" s="53">
        <f t="shared" si="20"/>
        <v>32286000</v>
      </c>
      <c r="X53" s="53">
        <f t="shared" si="20"/>
        <v>17642999.999999996</v>
      </c>
      <c r="Y53" s="53">
        <f t="shared" si="19"/>
        <v>195537750</v>
      </c>
      <c r="Z53" s="5"/>
      <c r="AB53" s="4"/>
      <c r="AC53" s="6"/>
      <c r="AD53" s="6"/>
      <c r="AE53" s="6"/>
      <c r="AF53" s="6"/>
      <c r="AG53" s="6"/>
      <c r="AH53" s="6"/>
      <c r="AI53" s="6"/>
      <c r="AJ53" s="6"/>
      <c r="AK53" s="5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71"/>
    </row>
    <row r="54" spans="2:54" x14ac:dyDescent="0.35">
      <c r="B54" s="4"/>
      <c r="C54" s="14" t="s">
        <v>25</v>
      </c>
      <c r="D54" s="15" t="s">
        <v>8</v>
      </c>
      <c r="E54" s="16"/>
      <c r="F54" s="15" t="s">
        <v>9</v>
      </c>
      <c r="G54" s="15"/>
      <c r="H54" s="5"/>
      <c r="J54" s="62"/>
      <c r="K54" s="62"/>
      <c r="L54" s="62"/>
      <c r="M54" s="62"/>
      <c r="N54" s="62"/>
      <c r="P54" s="4"/>
      <c r="Q54" s="68"/>
      <c r="R54" s="6" t="s">
        <v>19</v>
      </c>
      <c r="S54" s="45">
        <f t="shared" ref="S54:X54" si="21">S10*S18*$G$45</f>
        <v>60858000</v>
      </c>
      <c r="T54" s="46">
        <f t="shared" si="21"/>
        <v>62872200</v>
      </c>
      <c r="U54" s="46">
        <f t="shared" si="21"/>
        <v>59143500</v>
      </c>
      <c r="V54" s="46">
        <f t="shared" si="21"/>
        <v>52714800</v>
      </c>
      <c r="W54" s="46">
        <f t="shared" si="21"/>
        <v>38743200</v>
      </c>
      <c r="X54" s="46">
        <f t="shared" si="21"/>
        <v>21171599.999999996</v>
      </c>
      <c r="Y54" s="46">
        <f t="shared" si="19"/>
        <v>234645300</v>
      </c>
      <c r="Z54" s="5"/>
      <c r="AB54" s="4"/>
      <c r="AC54" s="6"/>
      <c r="AD54" s="6"/>
      <c r="AE54" s="6"/>
      <c r="AF54" s="6"/>
      <c r="AG54" s="6"/>
      <c r="AH54" s="6"/>
      <c r="AI54" s="6"/>
      <c r="AJ54" s="6"/>
      <c r="AK54" s="5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71"/>
    </row>
    <row r="55" spans="2:54" x14ac:dyDescent="0.35">
      <c r="B55" s="4"/>
      <c r="C55" s="6"/>
      <c r="D55" s="6"/>
      <c r="E55" s="6"/>
      <c r="F55" s="16" t="s">
        <v>10</v>
      </c>
      <c r="G55" s="16" t="s">
        <v>11</v>
      </c>
      <c r="H55" s="5"/>
      <c r="J55" s="62"/>
      <c r="K55" s="62"/>
      <c r="L55" s="62"/>
      <c r="M55" s="62"/>
      <c r="N55" s="62"/>
      <c r="P55" s="4"/>
      <c r="Q55" s="68"/>
      <c r="R55" s="10" t="s">
        <v>23</v>
      </c>
      <c r="S55" s="52">
        <f>S10*S18*$G$52</f>
        <v>76072500</v>
      </c>
      <c r="T55" s="53">
        <f t="shared" ref="T55:X55" si="22">T10*T18*$G$52</f>
        <v>78590250</v>
      </c>
      <c r="U55" s="53">
        <f t="shared" si="22"/>
        <v>73929375</v>
      </c>
      <c r="V55" s="53">
        <f t="shared" si="22"/>
        <v>65893500</v>
      </c>
      <c r="W55" s="53">
        <f t="shared" si="22"/>
        <v>48429000</v>
      </c>
      <c r="X55" s="53">
        <f t="shared" si="22"/>
        <v>26464499.999999996</v>
      </c>
      <c r="Y55" s="53">
        <f t="shared" si="19"/>
        <v>293306625</v>
      </c>
      <c r="Z55" s="5"/>
      <c r="AB55" s="4"/>
      <c r="AC55" s="6"/>
      <c r="AD55" s="6"/>
      <c r="AE55" s="6"/>
      <c r="AF55" s="6"/>
      <c r="AG55" s="6"/>
      <c r="AH55" s="6"/>
      <c r="AI55" s="6"/>
      <c r="AJ55" s="6"/>
      <c r="AK55" s="5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71"/>
    </row>
    <row r="56" spans="2:54" x14ac:dyDescent="0.35">
      <c r="B56" s="4"/>
      <c r="C56" s="6" t="s">
        <v>26</v>
      </c>
      <c r="D56" s="17">
        <v>175</v>
      </c>
      <c r="E56" s="6"/>
      <c r="F56" s="16">
        <v>1</v>
      </c>
      <c r="G56" s="16">
        <v>1</v>
      </c>
      <c r="H56" s="5"/>
      <c r="J56" s="62"/>
      <c r="K56" s="62"/>
      <c r="L56" s="62"/>
      <c r="M56" s="62"/>
      <c r="N56" s="62"/>
      <c r="P56" s="4"/>
      <c r="Q56" s="69"/>
      <c r="R56" s="20" t="s">
        <v>25</v>
      </c>
      <c r="S56" s="49">
        <f>S10*S18*$G$57</f>
        <v>177502500</v>
      </c>
      <c r="T56" s="50">
        <f t="shared" ref="T56:X56" si="23">T10*T18*$G$57</f>
        <v>183377250</v>
      </c>
      <c r="U56" s="50">
        <f t="shared" si="23"/>
        <v>172501875</v>
      </c>
      <c r="V56" s="50">
        <f t="shared" si="23"/>
        <v>153751500</v>
      </c>
      <c r="W56" s="50">
        <f t="shared" si="23"/>
        <v>113001000</v>
      </c>
      <c r="X56" s="50">
        <f t="shared" si="23"/>
        <v>61750499.999999993</v>
      </c>
      <c r="Y56" s="50">
        <f t="shared" si="19"/>
        <v>684382125</v>
      </c>
      <c r="Z56" s="5"/>
      <c r="AB56" s="4"/>
      <c r="AC56" s="6"/>
      <c r="AD56" s="6"/>
      <c r="AE56" s="6"/>
      <c r="AF56" s="6"/>
      <c r="AG56" s="6"/>
      <c r="AH56" s="6"/>
      <c r="AI56" s="6"/>
      <c r="AJ56" s="6"/>
      <c r="AK56" s="5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71"/>
    </row>
    <row r="57" spans="2:54" x14ac:dyDescent="0.35">
      <c r="B57" s="4"/>
      <c r="C57" s="10" t="s">
        <v>14</v>
      </c>
      <c r="D57" s="10"/>
      <c r="E57" s="10"/>
      <c r="F57" s="12">
        <f>D56*F56</f>
        <v>175</v>
      </c>
      <c r="G57" s="12">
        <f>D56*G56</f>
        <v>175</v>
      </c>
      <c r="H57" s="5"/>
      <c r="J57" s="62"/>
      <c r="K57" s="62"/>
      <c r="L57" s="62"/>
      <c r="M57" s="62"/>
      <c r="N57" s="62"/>
      <c r="P57" s="4"/>
      <c r="Q57" s="6"/>
      <c r="R57" s="6"/>
      <c r="S57" s="6"/>
      <c r="T57" s="6"/>
      <c r="U57" s="6"/>
      <c r="V57" s="6"/>
      <c r="W57" s="6"/>
      <c r="X57" s="6"/>
      <c r="Y57" s="6"/>
      <c r="Z57" s="5"/>
      <c r="AB57" s="4"/>
      <c r="AC57" s="6"/>
      <c r="AD57" s="6"/>
      <c r="AE57" s="6"/>
      <c r="AF57" s="6"/>
      <c r="AG57" s="6"/>
      <c r="AH57" s="6"/>
      <c r="AI57" s="6"/>
      <c r="AJ57" s="6"/>
      <c r="AK57" s="5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71"/>
    </row>
    <row r="58" spans="2:54" x14ac:dyDescent="0.35">
      <c r="B58" s="4"/>
      <c r="C58" s="6"/>
      <c r="D58" s="6"/>
      <c r="E58" s="6"/>
      <c r="F58" s="6"/>
      <c r="G58" s="6"/>
      <c r="H58" s="5"/>
      <c r="J58" s="62"/>
      <c r="K58" s="62"/>
      <c r="L58" s="62"/>
      <c r="M58" s="62"/>
      <c r="N58" s="62"/>
      <c r="P58" s="4"/>
      <c r="Q58" s="58" t="s">
        <v>68</v>
      </c>
      <c r="R58" s="59"/>
      <c r="S58" s="59"/>
      <c r="T58" s="59"/>
      <c r="U58" s="59"/>
      <c r="V58" s="59"/>
      <c r="W58" s="59"/>
      <c r="X58" s="59"/>
      <c r="Y58" s="59"/>
      <c r="Z58" s="5"/>
      <c r="AB58" s="4"/>
      <c r="AC58" s="6"/>
      <c r="AD58" s="6"/>
      <c r="AE58" s="6"/>
      <c r="AF58" s="6"/>
      <c r="AG58" s="6"/>
      <c r="AH58" s="6"/>
      <c r="AI58" s="6"/>
      <c r="AJ58" s="6"/>
      <c r="AK58" s="5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71"/>
    </row>
    <row r="59" spans="2:54" x14ac:dyDescent="0.35">
      <c r="B59" s="4"/>
      <c r="C59" s="13" t="s">
        <v>27</v>
      </c>
      <c r="D59" s="13"/>
      <c r="E59" s="13"/>
      <c r="F59" s="19">
        <f>F26+F32+F38+F45+F52+F57</f>
        <v>980</v>
      </c>
      <c r="G59" s="19">
        <f>G26+G32+G38+G45+G52+G57</f>
        <v>660</v>
      </c>
      <c r="H59" s="5"/>
      <c r="J59" s="62"/>
      <c r="K59" s="62"/>
      <c r="L59" s="62"/>
      <c r="M59" s="62"/>
      <c r="N59" s="62"/>
      <c r="P59" s="4"/>
      <c r="Q59" s="6"/>
      <c r="R59" s="6"/>
      <c r="S59" s="6"/>
      <c r="T59" s="6"/>
      <c r="U59" s="6"/>
      <c r="V59" s="6"/>
      <c r="W59" s="6"/>
      <c r="X59" s="6"/>
      <c r="Y59" s="6"/>
      <c r="Z59" s="5"/>
      <c r="AB59" s="4"/>
      <c r="AC59" s="6"/>
      <c r="AD59" s="6"/>
      <c r="AE59" s="6"/>
      <c r="AF59" s="6"/>
      <c r="AG59" s="6"/>
      <c r="AH59" s="6"/>
      <c r="AI59" s="6"/>
      <c r="AJ59" s="6"/>
      <c r="AK59" s="5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71"/>
    </row>
    <row r="60" spans="2:54" ht="15" thickBot="1" x14ac:dyDescent="0.4">
      <c r="B60" s="7"/>
      <c r="C60" s="8"/>
      <c r="D60" s="8"/>
      <c r="E60" s="8"/>
      <c r="F60" s="8"/>
      <c r="G60" s="8"/>
      <c r="H60" s="9"/>
      <c r="J60" s="62"/>
      <c r="K60" s="62"/>
      <c r="L60" s="62"/>
      <c r="M60" s="62"/>
      <c r="N60" s="62"/>
      <c r="P60" s="4"/>
      <c r="Q60" s="6"/>
      <c r="R60" s="6"/>
      <c r="S60" s="60" t="s">
        <v>55</v>
      </c>
      <c r="T60" s="6"/>
      <c r="U60" s="6"/>
      <c r="V60" s="6"/>
      <c r="W60" s="6"/>
      <c r="X60" s="6"/>
      <c r="Y60" s="6"/>
      <c r="Z60" s="5"/>
      <c r="AB60" s="4"/>
      <c r="AC60" s="6"/>
      <c r="AD60" s="6"/>
      <c r="AE60" s="6"/>
      <c r="AF60" s="6"/>
      <c r="AG60" s="6"/>
      <c r="AH60" s="6"/>
      <c r="AI60" s="6"/>
      <c r="AJ60" s="6"/>
      <c r="AK60" s="5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71"/>
    </row>
    <row r="61" spans="2:54" x14ac:dyDescent="0.35">
      <c r="B61" s="62"/>
      <c r="C61" s="62"/>
      <c r="D61" s="62"/>
      <c r="E61" s="62"/>
      <c r="F61" s="62"/>
      <c r="G61" s="62"/>
      <c r="H61" s="62"/>
      <c r="J61" s="62"/>
      <c r="K61" s="62"/>
      <c r="L61" s="62"/>
      <c r="M61" s="62"/>
      <c r="N61" s="62"/>
      <c r="P61" s="4"/>
      <c r="Q61" s="6"/>
      <c r="R61" s="6"/>
      <c r="S61" s="32" t="s">
        <v>56</v>
      </c>
      <c r="T61" s="6" t="s">
        <v>57</v>
      </c>
      <c r="U61" s="6" t="s">
        <v>58</v>
      </c>
      <c r="V61" s="6" t="s">
        <v>59</v>
      </c>
      <c r="W61" s="6" t="s">
        <v>60</v>
      </c>
      <c r="X61" s="6" t="s">
        <v>61</v>
      </c>
      <c r="Y61" s="68" t="s">
        <v>62</v>
      </c>
      <c r="Z61" s="5"/>
      <c r="AB61" s="4"/>
      <c r="AC61" s="6"/>
      <c r="AD61" s="6"/>
      <c r="AE61" s="6"/>
      <c r="AF61" s="6"/>
      <c r="AG61" s="6"/>
      <c r="AH61" s="6"/>
      <c r="AI61" s="6"/>
      <c r="AJ61" s="6"/>
      <c r="AK61" s="5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71"/>
    </row>
    <row r="62" spans="2:54" x14ac:dyDescent="0.35">
      <c r="B62" s="62"/>
      <c r="C62" s="62"/>
      <c r="D62" s="62"/>
      <c r="E62" s="62"/>
      <c r="F62" s="62"/>
      <c r="G62" s="62"/>
      <c r="H62" s="62"/>
      <c r="J62" s="62"/>
      <c r="K62" s="62"/>
      <c r="L62" s="62"/>
      <c r="M62" s="62"/>
      <c r="N62" s="62"/>
      <c r="P62" s="4"/>
      <c r="Q62" s="6"/>
      <c r="R62" s="30" t="s">
        <v>66</v>
      </c>
      <c r="S62" s="33" t="s">
        <v>63</v>
      </c>
      <c r="T62" s="20">
        <v>2026</v>
      </c>
      <c r="U62" s="20">
        <v>2027</v>
      </c>
      <c r="V62" s="20">
        <v>2028</v>
      </c>
      <c r="W62" s="20">
        <v>2029</v>
      </c>
      <c r="X62" s="20">
        <v>2030</v>
      </c>
      <c r="Y62" s="69"/>
      <c r="Z62" s="5"/>
      <c r="AB62" s="4"/>
      <c r="AC62" s="6"/>
      <c r="AD62" s="6"/>
      <c r="AE62" s="6"/>
      <c r="AF62" s="6"/>
      <c r="AG62" s="6"/>
      <c r="AH62" s="6"/>
      <c r="AI62" s="6"/>
      <c r="AJ62" s="6"/>
      <c r="AK62" s="5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71"/>
    </row>
    <row r="63" spans="2:54" x14ac:dyDescent="0.35">
      <c r="B63" s="62"/>
      <c r="C63" s="62"/>
      <c r="D63" s="62"/>
      <c r="E63" s="62"/>
      <c r="F63" s="62"/>
      <c r="G63" s="62"/>
      <c r="H63" s="62"/>
      <c r="J63" s="62"/>
      <c r="K63" s="62"/>
      <c r="L63" s="62"/>
      <c r="M63" s="62"/>
      <c r="N63" s="62"/>
      <c r="P63" s="4"/>
      <c r="Q63" s="6"/>
      <c r="R63" s="6" t="s">
        <v>69</v>
      </c>
      <c r="S63" s="49">
        <f>SUM(S25:S37)</f>
        <v>669438000</v>
      </c>
      <c r="T63" s="50">
        <f t="shared" ref="T63:X63" si="24">SUM(T25:T37)</f>
        <v>768438000</v>
      </c>
      <c r="U63" s="50">
        <f t="shared" si="24"/>
        <v>867438000</v>
      </c>
      <c r="V63" s="50">
        <f t="shared" si="24"/>
        <v>966438000</v>
      </c>
      <c r="W63" s="50">
        <f t="shared" si="24"/>
        <v>1065438000</v>
      </c>
      <c r="X63" s="50">
        <f t="shared" si="24"/>
        <v>1164438000</v>
      </c>
      <c r="Y63" s="50">
        <f>SUM(T63:X63)</f>
        <v>4832190000</v>
      </c>
      <c r="Z63" s="5"/>
      <c r="AB63" s="4"/>
      <c r="AC63" s="6"/>
      <c r="AD63" s="6"/>
      <c r="AE63" s="6"/>
      <c r="AF63" s="6"/>
      <c r="AG63" s="6"/>
      <c r="AH63" s="6"/>
      <c r="AI63" s="6"/>
      <c r="AJ63" s="6"/>
      <c r="AK63" s="5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71"/>
    </row>
    <row r="64" spans="2:54" x14ac:dyDescent="0.35">
      <c r="B64" s="62"/>
      <c r="C64" s="62"/>
      <c r="D64" s="62"/>
      <c r="E64" s="62"/>
      <c r="F64" s="62"/>
      <c r="G64" s="62"/>
      <c r="H64" s="62"/>
      <c r="J64" s="62"/>
      <c r="K64" s="62"/>
      <c r="L64" s="62"/>
      <c r="M64" s="62"/>
      <c r="N64" s="62"/>
      <c r="P64" s="4"/>
      <c r="Q64" s="6"/>
      <c r="R64" s="6" t="s">
        <v>70</v>
      </c>
      <c r="S64" s="49">
        <f>SUM(S44:S56)</f>
        <v>669438000</v>
      </c>
      <c r="T64" s="50">
        <f t="shared" ref="T64:X64" si="25">SUM(T44:T56)</f>
        <v>805695600</v>
      </c>
      <c r="U64" s="50">
        <f t="shared" si="25"/>
        <v>972582000</v>
      </c>
      <c r="V64" s="50">
        <f t="shared" si="25"/>
        <v>1153868400</v>
      </c>
      <c r="W64" s="50">
        <f t="shared" si="25"/>
        <v>1375383600</v>
      </c>
      <c r="X64" s="50">
        <f t="shared" si="25"/>
        <v>1616098800</v>
      </c>
      <c r="Y64" s="50">
        <f t="shared" ref="Y64:Y67" si="26">SUM(T64:X64)</f>
        <v>5923628400</v>
      </c>
      <c r="Z64" s="5"/>
      <c r="AB64" s="4"/>
      <c r="AC64" s="6"/>
      <c r="AD64" s="6"/>
      <c r="AE64" s="6"/>
      <c r="AF64" s="6"/>
      <c r="AG64" s="6"/>
      <c r="AH64" s="6"/>
      <c r="AI64" s="6"/>
      <c r="AJ64" s="6"/>
      <c r="AK64" s="5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71"/>
    </row>
    <row r="65" spans="2:54" x14ac:dyDescent="0.35">
      <c r="B65" s="62"/>
      <c r="C65" s="62"/>
      <c r="D65" s="62"/>
      <c r="E65" s="62"/>
      <c r="F65" s="62"/>
      <c r="G65" s="62"/>
      <c r="H65" s="62"/>
      <c r="J65" s="62"/>
      <c r="K65" s="62"/>
      <c r="L65" s="62"/>
      <c r="M65" s="62"/>
      <c r="N65" s="62"/>
      <c r="P65" s="4"/>
      <c r="Q65" s="6"/>
      <c r="R65" s="13" t="s">
        <v>71</v>
      </c>
      <c r="S65" s="56">
        <f>S64-S63</f>
        <v>0</v>
      </c>
      <c r="T65" s="57">
        <f t="shared" ref="T65:X65" si="27">T64-T63</f>
        <v>37257600</v>
      </c>
      <c r="U65" s="57">
        <f t="shared" si="27"/>
        <v>105144000</v>
      </c>
      <c r="V65" s="57">
        <f t="shared" si="27"/>
        <v>187430400</v>
      </c>
      <c r="W65" s="57">
        <f t="shared" si="27"/>
        <v>309945600</v>
      </c>
      <c r="X65" s="57">
        <f t="shared" si="27"/>
        <v>451660800</v>
      </c>
      <c r="Y65" s="57">
        <f t="shared" si="26"/>
        <v>1091438400</v>
      </c>
      <c r="Z65" s="5"/>
      <c r="AB65" s="4"/>
      <c r="AC65" s="6"/>
      <c r="AD65" s="6"/>
      <c r="AE65" s="6"/>
      <c r="AF65" s="6"/>
      <c r="AG65" s="6"/>
      <c r="AH65" s="6"/>
      <c r="AI65" s="6"/>
      <c r="AJ65" s="6"/>
      <c r="AK65" s="5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71"/>
    </row>
    <row r="66" spans="2:54" x14ac:dyDescent="0.35">
      <c r="B66" s="62"/>
      <c r="C66" s="62"/>
      <c r="D66" s="62"/>
      <c r="E66" s="62"/>
      <c r="F66" s="62"/>
      <c r="G66" s="62"/>
      <c r="H66" s="62"/>
      <c r="J66" s="62"/>
      <c r="K66" s="62"/>
      <c r="L66" s="62"/>
      <c r="M66" s="62"/>
      <c r="N66" s="62"/>
      <c r="P66" s="4"/>
      <c r="Q66" s="6"/>
      <c r="R66" s="6" t="s">
        <v>72</v>
      </c>
      <c r="S66" s="49">
        <f>S63/S10</f>
        <v>660</v>
      </c>
      <c r="T66" s="50">
        <f t="shared" ref="T66:X66" si="28">T63/T10</f>
        <v>660</v>
      </c>
      <c r="U66" s="50">
        <f t="shared" si="28"/>
        <v>660</v>
      </c>
      <c r="V66" s="50">
        <f t="shared" si="28"/>
        <v>660</v>
      </c>
      <c r="W66" s="50">
        <f t="shared" si="28"/>
        <v>660</v>
      </c>
      <c r="X66" s="50">
        <f t="shared" si="28"/>
        <v>660</v>
      </c>
      <c r="Y66" s="50">
        <f t="shared" si="26"/>
        <v>3300</v>
      </c>
      <c r="Z66" s="5"/>
      <c r="AB66" s="4"/>
      <c r="AC66" s="6"/>
      <c r="AD66" s="6"/>
      <c r="AE66" s="6"/>
      <c r="AF66" s="6"/>
      <c r="AG66" s="6"/>
      <c r="AH66" s="6"/>
      <c r="AI66" s="6"/>
      <c r="AJ66" s="6"/>
      <c r="AK66" s="5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71"/>
    </row>
    <row r="67" spans="2:54" x14ac:dyDescent="0.35">
      <c r="B67" s="62"/>
      <c r="C67" s="62"/>
      <c r="D67" s="62"/>
      <c r="E67" s="62"/>
      <c r="F67" s="62"/>
      <c r="G67" s="62"/>
      <c r="H67" s="62"/>
      <c r="J67" s="62"/>
      <c r="K67" s="62"/>
      <c r="L67" s="62"/>
      <c r="M67" s="62"/>
      <c r="N67" s="62"/>
      <c r="P67" s="4"/>
      <c r="Q67" s="6"/>
      <c r="R67" s="6" t="s">
        <v>73</v>
      </c>
      <c r="S67" s="49">
        <f>S64/S10</f>
        <v>660</v>
      </c>
      <c r="T67" s="50">
        <f t="shared" ref="T67:X67" si="29">T64/T10</f>
        <v>692</v>
      </c>
      <c r="U67" s="50">
        <f t="shared" si="29"/>
        <v>740</v>
      </c>
      <c r="V67" s="50">
        <f t="shared" si="29"/>
        <v>788</v>
      </c>
      <c r="W67" s="50">
        <f t="shared" si="29"/>
        <v>852</v>
      </c>
      <c r="X67" s="50">
        <f t="shared" si="29"/>
        <v>916</v>
      </c>
      <c r="Y67" s="50">
        <f t="shared" si="26"/>
        <v>3988</v>
      </c>
      <c r="Z67" s="5"/>
      <c r="AB67" s="4"/>
      <c r="AC67" s="6"/>
      <c r="AD67" s="6"/>
      <c r="AE67" s="6"/>
      <c r="AF67" s="6"/>
      <c r="AG67" s="6"/>
      <c r="AH67" s="6"/>
      <c r="AI67" s="6"/>
      <c r="AJ67" s="6"/>
      <c r="AK67" s="5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71"/>
    </row>
    <row r="68" spans="2:54" x14ac:dyDescent="0.35">
      <c r="B68" s="62"/>
      <c r="C68" s="62"/>
      <c r="D68" s="62"/>
      <c r="E68" s="62"/>
      <c r="F68" s="62"/>
      <c r="G68" s="62"/>
      <c r="H68" s="62"/>
      <c r="J68" s="62"/>
      <c r="K68" s="62"/>
      <c r="L68" s="62"/>
      <c r="M68" s="62"/>
      <c r="N68" s="62"/>
      <c r="P68" s="4"/>
      <c r="Q68" s="6"/>
      <c r="R68" s="13" t="s">
        <v>74</v>
      </c>
      <c r="S68" s="56">
        <f t="shared" ref="S68:X68" si="30">S67-S66</f>
        <v>0</v>
      </c>
      <c r="T68" s="57">
        <f t="shared" si="30"/>
        <v>32</v>
      </c>
      <c r="U68" s="57">
        <f t="shared" si="30"/>
        <v>80</v>
      </c>
      <c r="V68" s="57">
        <f t="shared" si="30"/>
        <v>128</v>
      </c>
      <c r="W68" s="57">
        <f t="shared" si="30"/>
        <v>192</v>
      </c>
      <c r="X68" s="57">
        <f t="shared" si="30"/>
        <v>256</v>
      </c>
      <c r="Y68" s="57">
        <f>SUM(T68:X68)</f>
        <v>688</v>
      </c>
      <c r="Z68" s="5"/>
      <c r="AB68" s="4"/>
      <c r="AC68" s="6"/>
      <c r="AD68" s="6"/>
      <c r="AE68" s="6"/>
      <c r="AF68" s="6"/>
      <c r="AG68" s="6"/>
      <c r="AH68" s="6"/>
      <c r="AI68" s="6"/>
      <c r="AJ68" s="6"/>
      <c r="AK68" s="5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71"/>
    </row>
    <row r="69" spans="2:54" x14ac:dyDescent="0.35">
      <c r="B69" s="62"/>
      <c r="C69" s="62"/>
      <c r="D69" s="62"/>
      <c r="E69" s="62"/>
      <c r="F69" s="62"/>
      <c r="G69" s="62"/>
      <c r="H69" s="62"/>
      <c r="J69" s="62"/>
      <c r="K69" s="62"/>
      <c r="L69" s="62"/>
      <c r="M69" s="62"/>
      <c r="N69" s="62"/>
      <c r="P69" s="4"/>
      <c r="Q69" s="6"/>
      <c r="R69" s="6"/>
      <c r="S69" s="34"/>
      <c r="T69" s="35"/>
      <c r="U69" s="35"/>
      <c r="V69" s="35"/>
      <c r="W69" s="35"/>
      <c r="X69" s="35"/>
      <c r="Y69" s="35"/>
      <c r="Z69" s="5"/>
      <c r="AB69" s="4"/>
      <c r="AC69" s="6"/>
      <c r="AD69" s="6"/>
      <c r="AE69" s="6"/>
      <c r="AF69" s="6"/>
      <c r="AG69" s="6"/>
      <c r="AH69" s="6"/>
      <c r="AI69" s="6"/>
      <c r="AJ69" s="6"/>
      <c r="AK69" s="5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71"/>
    </row>
    <row r="70" spans="2:54" x14ac:dyDescent="0.35">
      <c r="B70" s="62"/>
      <c r="C70" s="62"/>
      <c r="D70" s="62"/>
      <c r="E70" s="62"/>
      <c r="F70" s="62"/>
      <c r="G70" s="62"/>
      <c r="H70" s="62"/>
      <c r="J70" s="62"/>
      <c r="K70" s="62"/>
      <c r="L70" s="62"/>
      <c r="M70" s="62"/>
      <c r="N70" s="62"/>
      <c r="P70" s="4"/>
      <c r="Q70" s="6"/>
      <c r="R70" s="30" t="s">
        <v>75</v>
      </c>
      <c r="S70" s="36"/>
      <c r="T70" s="37"/>
      <c r="U70" s="37"/>
      <c r="V70" s="37"/>
      <c r="W70" s="37"/>
      <c r="X70" s="37"/>
      <c r="Y70" s="37"/>
      <c r="Z70" s="5"/>
      <c r="AB70" s="4"/>
      <c r="AC70" s="6"/>
      <c r="AD70" s="6"/>
      <c r="AE70" s="6"/>
      <c r="AF70" s="6"/>
      <c r="AG70" s="6"/>
      <c r="AH70" s="6"/>
      <c r="AI70" s="6"/>
      <c r="AJ70" s="6"/>
      <c r="AK70" s="5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71"/>
    </row>
    <row r="71" spans="2:54" x14ac:dyDescent="0.35">
      <c r="B71" s="62"/>
      <c r="C71" s="62"/>
      <c r="D71" s="62"/>
      <c r="E71" s="62"/>
      <c r="F71" s="62"/>
      <c r="G71" s="62"/>
      <c r="H71" s="62"/>
      <c r="J71" s="62"/>
      <c r="K71" s="62"/>
      <c r="L71" s="62"/>
      <c r="M71" s="62"/>
      <c r="N71" s="62"/>
      <c r="P71" s="4"/>
      <c r="Q71" s="6"/>
      <c r="R71" s="10" t="s">
        <v>7</v>
      </c>
      <c r="S71" s="54">
        <f t="shared" ref="S71:S76" si="31">(S44+S51)-(S25+S32)</f>
        <v>0</v>
      </c>
      <c r="T71" s="55">
        <f t="shared" ref="T71:X71" si="32">(T44+T51)-(T25+T32)</f>
        <v>23286000</v>
      </c>
      <c r="U71" s="55">
        <f t="shared" si="32"/>
        <v>65715000</v>
      </c>
      <c r="V71" s="55">
        <f t="shared" si="32"/>
        <v>117144000</v>
      </c>
      <c r="W71" s="55">
        <f t="shared" si="32"/>
        <v>193716000</v>
      </c>
      <c r="X71" s="55">
        <f t="shared" si="32"/>
        <v>282288000</v>
      </c>
      <c r="Y71" s="55">
        <f>SUM(T71:X71)</f>
        <v>682149000</v>
      </c>
      <c r="Z71" s="5"/>
      <c r="AB71" s="4"/>
      <c r="AC71" s="6"/>
      <c r="AD71" s="6"/>
      <c r="AE71" s="6"/>
      <c r="AF71" s="6"/>
      <c r="AG71" s="6"/>
      <c r="AH71" s="6"/>
      <c r="AI71" s="6"/>
      <c r="AJ71" s="6"/>
      <c r="AK71" s="5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71"/>
    </row>
    <row r="72" spans="2:54" x14ac:dyDescent="0.35">
      <c r="B72" s="62"/>
      <c r="C72" s="62"/>
      <c r="D72" s="62"/>
      <c r="E72" s="62"/>
      <c r="F72" s="62"/>
      <c r="G72" s="62"/>
      <c r="H72" s="62"/>
      <c r="J72" s="62"/>
      <c r="K72" s="62"/>
      <c r="L72" s="62"/>
      <c r="M72" s="62"/>
      <c r="N72" s="62"/>
      <c r="P72" s="4"/>
      <c r="Q72" s="6"/>
      <c r="R72" s="6" t="s">
        <v>15</v>
      </c>
      <c r="S72" s="49">
        <f t="shared" si="31"/>
        <v>0</v>
      </c>
      <c r="T72" s="50">
        <f t="shared" ref="T72:X72" si="33">(T45+T52)-(T26+T33)</f>
        <v>23286000</v>
      </c>
      <c r="U72" s="50">
        <f t="shared" si="33"/>
        <v>65715000</v>
      </c>
      <c r="V72" s="50">
        <f t="shared" si="33"/>
        <v>117144000</v>
      </c>
      <c r="W72" s="50">
        <f t="shared" si="33"/>
        <v>193716000</v>
      </c>
      <c r="X72" s="50">
        <f t="shared" si="33"/>
        <v>282288000</v>
      </c>
      <c r="Y72" s="50">
        <f t="shared" ref="Y72:Y76" si="34">SUM(T72:X72)</f>
        <v>682149000</v>
      </c>
      <c r="Z72" s="5"/>
      <c r="AB72" s="4"/>
      <c r="AC72" s="6"/>
      <c r="AD72" s="6"/>
      <c r="AE72" s="6"/>
      <c r="AF72" s="6"/>
      <c r="AG72" s="6"/>
      <c r="AH72" s="6"/>
      <c r="AI72" s="6"/>
      <c r="AJ72" s="6"/>
      <c r="AK72" s="5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71"/>
    </row>
    <row r="73" spans="2:54" x14ac:dyDescent="0.35">
      <c r="B73" s="62"/>
      <c r="C73" s="62"/>
      <c r="D73" s="62"/>
      <c r="E73" s="62"/>
      <c r="F73" s="62"/>
      <c r="G73" s="62"/>
      <c r="H73" s="62"/>
      <c r="J73" s="62"/>
      <c r="K73" s="62"/>
      <c r="L73" s="62"/>
      <c r="M73" s="62"/>
      <c r="N73" s="62"/>
      <c r="P73" s="4"/>
      <c r="Q73" s="6"/>
      <c r="R73" s="10" t="s">
        <v>17</v>
      </c>
      <c r="S73" s="54">
        <f t="shared" si="31"/>
        <v>0</v>
      </c>
      <c r="T73" s="55">
        <f t="shared" ref="T73:X73" si="35">(T46+T53)-(T27+T34)</f>
        <v>5821500</v>
      </c>
      <c r="U73" s="55">
        <f t="shared" si="35"/>
        <v>16428750</v>
      </c>
      <c r="V73" s="55">
        <f t="shared" si="35"/>
        <v>29286000</v>
      </c>
      <c r="W73" s="55">
        <f t="shared" si="35"/>
        <v>48429000</v>
      </c>
      <c r="X73" s="55">
        <f t="shared" si="35"/>
        <v>70572000</v>
      </c>
      <c r="Y73" s="55">
        <f t="shared" si="34"/>
        <v>170537250</v>
      </c>
      <c r="Z73" s="5"/>
      <c r="AB73" s="4"/>
      <c r="AC73" s="6"/>
      <c r="AD73" s="6"/>
      <c r="AE73" s="6"/>
      <c r="AF73" s="6"/>
      <c r="AG73" s="6"/>
      <c r="AH73" s="6"/>
      <c r="AI73" s="6"/>
      <c r="AJ73" s="6"/>
      <c r="AK73" s="5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71"/>
    </row>
    <row r="74" spans="2:54" x14ac:dyDescent="0.35">
      <c r="B74" s="62"/>
      <c r="C74" s="62"/>
      <c r="D74" s="62"/>
      <c r="E74" s="62"/>
      <c r="F74" s="62"/>
      <c r="G74" s="62"/>
      <c r="H74" s="62"/>
      <c r="J74" s="62"/>
      <c r="K74" s="62"/>
      <c r="L74" s="62"/>
      <c r="M74" s="62"/>
      <c r="N74" s="62"/>
      <c r="P74" s="4"/>
      <c r="Q74" s="6"/>
      <c r="R74" s="6" t="s">
        <v>19</v>
      </c>
      <c r="S74" s="49">
        <f t="shared" si="31"/>
        <v>0</v>
      </c>
      <c r="T74" s="50">
        <f t="shared" ref="T74:X74" si="36">(T47+T54)-(T28+T35)</f>
        <v>-6403650</v>
      </c>
      <c r="U74" s="50">
        <f t="shared" si="36"/>
        <v>-18071625</v>
      </c>
      <c r="V74" s="50">
        <f t="shared" si="36"/>
        <v>-32214600</v>
      </c>
      <c r="W74" s="50">
        <f t="shared" si="36"/>
        <v>-53271900</v>
      </c>
      <c r="X74" s="50">
        <f t="shared" si="36"/>
        <v>-77629200</v>
      </c>
      <c r="Y74" s="50">
        <f t="shared" si="34"/>
        <v>-187590975</v>
      </c>
      <c r="Z74" s="5"/>
      <c r="AB74" s="4"/>
      <c r="AC74" s="6"/>
      <c r="AD74" s="6"/>
      <c r="AE74" s="6"/>
      <c r="AF74" s="6"/>
      <c r="AG74" s="6"/>
      <c r="AH74" s="6"/>
      <c r="AI74" s="6"/>
      <c r="AJ74" s="6"/>
      <c r="AK74" s="5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71"/>
    </row>
    <row r="75" spans="2:54" x14ac:dyDescent="0.35">
      <c r="B75" s="62"/>
      <c r="C75" s="62"/>
      <c r="D75" s="62"/>
      <c r="E75" s="62"/>
      <c r="F75" s="62"/>
      <c r="G75" s="62"/>
      <c r="H75" s="62"/>
      <c r="J75" s="62"/>
      <c r="K75" s="62"/>
      <c r="L75" s="62"/>
      <c r="M75" s="62"/>
      <c r="N75" s="62"/>
      <c r="P75" s="4"/>
      <c r="Q75" s="6"/>
      <c r="R75" s="10" t="s">
        <v>23</v>
      </c>
      <c r="S75" s="54">
        <f t="shared" si="31"/>
        <v>0</v>
      </c>
      <c r="T75" s="55">
        <f t="shared" ref="T75:X75" si="37">(T48+T55)-(T29+T36)</f>
        <v>-8732250</v>
      </c>
      <c r="U75" s="55">
        <f t="shared" si="37"/>
        <v>-24643125</v>
      </c>
      <c r="V75" s="55">
        <f t="shared" si="37"/>
        <v>-43929000</v>
      </c>
      <c r="W75" s="55">
        <f t="shared" si="37"/>
        <v>-72643500</v>
      </c>
      <c r="X75" s="55">
        <f t="shared" si="37"/>
        <v>-105858000</v>
      </c>
      <c r="Y75" s="55">
        <f t="shared" si="34"/>
        <v>-255805875</v>
      </c>
      <c r="Z75" s="5"/>
      <c r="AB75" s="4"/>
      <c r="AC75" s="6"/>
      <c r="AD75" s="6"/>
      <c r="AE75" s="6"/>
      <c r="AF75" s="6"/>
      <c r="AG75" s="6"/>
      <c r="AH75" s="6"/>
      <c r="AI75" s="6"/>
      <c r="AJ75" s="6"/>
      <c r="AK75" s="5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71"/>
    </row>
    <row r="76" spans="2:54" x14ac:dyDescent="0.35">
      <c r="B76" s="62"/>
      <c r="C76" s="62"/>
      <c r="D76" s="62"/>
      <c r="E76" s="62"/>
      <c r="F76" s="62"/>
      <c r="G76" s="62"/>
      <c r="H76" s="62"/>
      <c r="J76" s="62"/>
      <c r="K76" s="62"/>
      <c r="L76" s="62"/>
      <c r="M76" s="62"/>
      <c r="N76" s="62"/>
      <c r="P76" s="4"/>
      <c r="Q76" s="6"/>
      <c r="R76" s="20" t="s">
        <v>25</v>
      </c>
      <c r="S76" s="49">
        <f t="shared" si="31"/>
        <v>0</v>
      </c>
      <c r="T76" s="50">
        <f t="shared" ref="T76:X76" si="38">(T49+T56)-(T30+T37)</f>
        <v>0</v>
      </c>
      <c r="U76" s="50">
        <f t="shared" si="38"/>
        <v>0</v>
      </c>
      <c r="V76" s="50">
        <f t="shared" si="38"/>
        <v>0</v>
      </c>
      <c r="W76" s="50">
        <f t="shared" si="38"/>
        <v>0</v>
      </c>
      <c r="X76" s="50">
        <f t="shared" si="38"/>
        <v>0</v>
      </c>
      <c r="Y76" s="50">
        <f t="shared" si="34"/>
        <v>0</v>
      </c>
      <c r="Z76" s="5"/>
      <c r="AB76" s="4"/>
      <c r="AC76" s="6"/>
      <c r="AD76" s="6"/>
      <c r="AE76" s="6"/>
      <c r="AF76" s="6"/>
      <c r="AG76" s="6"/>
      <c r="AH76" s="6"/>
      <c r="AI76" s="6"/>
      <c r="AJ76" s="6"/>
      <c r="AK76" s="5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71"/>
    </row>
    <row r="77" spans="2:54" x14ac:dyDescent="0.35">
      <c r="B77" s="62"/>
      <c r="C77" s="62"/>
      <c r="D77" s="62"/>
      <c r="E77" s="62"/>
      <c r="F77" s="62"/>
      <c r="G77" s="62"/>
      <c r="H77" s="62"/>
      <c r="J77" s="62"/>
      <c r="K77" s="62"/>
      <c r="L77" s="62"/>
      <c r="M77" s="62"/>
      <c r="N77" s="62"/>
      <c r="P77" s="4"/>
      <c r="Q77" s="6"/>
      <c r="R77" s="6"/>
      <c r="S77" s="34"/>
      <c r="T77" s="35"/>
      <c r="U77" s="35"/>
      <c r="V77" s="35"/>
      <c r="W77" s="35"/>
      <c r="X77" s="35"/>
      <c r="Y77" s="35"/>
      <c r="Z77" s="5"/>
      <c r="AB77" s="4"/>
      <c r="AC77" s="6"/>
      <c r="AD77" s="6"/>
      <c r="AE77" s="6"/>
      <c r="AF77" s="6"/>
      <c r="AG77" s="6"/>
      <c r="AH77" s="6"/>
      <c r="AI77" s="6"/>
      <c r="AJ77" s="6"/>
      <c r="AK77" s="5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71"/>
    </row>
    <row r="78" spans="2:54" x14ac:dyDescent="0.35">
      <c r="B78" s="62"/>
      <c r="C78" s="62"/>
      <c r="D78" s="62"/>
      <c r="E78" s="62"/>
      <c r="F78" s="62"/>
      <c r="G78" s="62"/>
      <c r="H78" s="62"/>
      <c r="J78" s="62"/>
      <c r="K78" s="62"/>
      <c r="L78" s="62"/>
      <c r="M78" s="62"/>
      <c r="N78" s="62"/>
      <c r="P78" s="4"/>
      <c r="Q78" s="6"/>
      <c r="R78" s="30" t="s">
        <v>76</v>
      </c>
      <c r="S78" s="36"/>
      <c r="T78" s="37"/>
      <c r="U78" s="37"/>
      <c r="V78" s="37"/>
      <c r="W78" s="37"/>
      <c r="X78" s="37"/>
      <c r="Y78" s="37"/>
      <c r="Z78" s="5"/>
      <c r="AB78" s="4"/>
      <c r="AC78" s="6"/>
      <c r="AD78" s="6"/>
      <c r="AE78" s="6"/>
      <c r="AF78" s="6"/>
      <c r="AG78" s="6"/>
      <c r="AH78" s="6"/>
      <c r="AI78" s="6"/>
      <c r="AJ78" s="6"/>
      <c r="AK78" s="5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71"/>
    </row>
    <row r="79" spans="2:54" x14ac:dyDescent="0.35">
      <c r="B79" s="62"/>
      <c r="C79" s="62"/>
      <c r="D79" s="62"/>
      <c r="E79" s="62"/>
      <c r="F79" s="62"/>
      <c r="G79" s="62"/>
      <c r="H79" s="62"/>
      <c r="J79" s="62"/>
      <c r="K79" s="62"/>
      <c r="L79" s="62"/>
      <c r="M79" s="62"/>
      <c r="N79" s="62"/>
      <c r="P79" s="4"/>
      <c r="Q79" s="6"/>
      <c r="R79" s="10" t="s">
        <v>7</v>
      </c>
      <c r="S79" s="54">
        <f t="array" ref="S79:X84">S71:X76/S10:X10</f>
        <v>0</v>
      </c>
      <c r="T79" s="55">
        <v>20</v>
      </c>
      <c r="U79" s="55">
        <v>50</v>
      </c>
      <c r="V79" s="55">
        <v>80</v>
      </c>
      <c r="W79" s="55">
        <v>120</v>
      </c>
      <c r="X79" s="55">
        <v>160</v>
      </c>
      <c r="Y79" s="55">
        <f>SUM(T79:X79)</f>
        <v>430</v>
      </c>
      <c r="Z79" s="5"/>
      <c r="AB79" s="4"/>
      <c r="AC79" s="6"/>
      <c r="AD79" s="6"/>
      <c r="AE79" s="6"/>
      <c r="AF79" s="6"/>
      <c r="AG79" s="6"/>
      <c r="AH79" s="6"/>
      <c r="AI79" s="6"/>
      <c r="AJ79" s="6"/>
      <c r="AK79" s="5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71"/>
    </row>
    <row r="80" spans="2:54" x14ac:dyDescent="0.35">
      <c r="B80" s="62"/>
      <c r="C80" s="62"/>
      <c r="D80" s="62"/>
      <c r="E80" s="62"/>
      <c r="F80" s="62"/>
      <c r="G80" s="62"/>
      <c r="H80" s="62"/>
      <c r="J80" s="62"/>
      <c r="K80" s="62"/>
      <c r="L80" s="62"/>
      <c r="M80" s="62"/>
      <c r="N80" s="62"/>
      <c r="P80" s="4"/>
      <c r="Q80" s="6"/>
      <c r="R80" s="6" t="s">
        <v>15</v>
      </c>
      <c r="S80" s="49">
        <v>0</v>
      </c>
      <c r="T80" s="50">
        <v>20</v>
      </c>
      <c r="U80" s="50">
        <v>50</v>
      </c>
      <c r="V80" s="50">
        <v>80</v>
      </c>
      <c r="W80" s="50">
        <v>120</v>
      </c>
      <c r="X80" s="50">
        <v>160</v>
      </c>
      <c r="Y80" s="50">
        <f t="shared" ref="Y80:Y84" si="39">SUM(T80:X80)</f>
        <v>430</v>
      </c>
      <c r="Z80" s="5"/>
      <c r="AB80" s="4"/>
      <c r="AC80" s="6"/>
      <c r="AD80" s="6"/>
      <c r="AE80" s="6"/>
      <c r="AF80" s="6"/>
      <c r="AG80" s="6"/>
      <c r="AH80" s="6"/>
      <c r="AI80" s="6"/>
      <c r="AJ80" s="6"/>
      <c r="AK80" s="5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71"/>
    </row>
    <row r="81" spans="2:54" x14ac:dyDescent="0.35">
      <c r="B81" s="62"/>
      <c r="C81" s="62"/>
      <c r="D81" s="62"/>
      <c r="E81" s="62"/>
      <c r="F81" s="62"/>
      <c r="G81" s="62"/>
      <c r="H81" s="62"/>
      <c r="J81" s="62"/>
      <c r="K81" s="62"/>
      <c r="L81" s="62"/>
      <c r="M81" s="62"/>
      <c r="N81" s="62"/>
      <c r="P81" s="4"/>
      <c r="Q81" s="6"/>
      <c r="R81" s="10" t="s">
        <v>17</v>
      </c>
      <c r="S81" s="54">
        <v>0</v>
      </c>
      <c r="T81" s="55">
        <v>5</v>
      </c>
      <c r="U81" s="55">
        <v>12.5</v>
      </c>
      <c r="V81" s="55">
        <v>20</v>
      </c>
      <c r="W81" s="55">
        <v>30</v>
      </c>
      <c r="X81" s="55">
        <v>40</v>
      </c>
      <c r="Y81" s="55">
        <f t="shared" si="39"/>
        <v>107.5</v>
      </c>
      <c r="Z81" s="5"/>
      <c r="AB81" s="4"/>
      <c r="AC81" s="6"/>
      <c r="AD81" s="6"/>
      <c r="AE81" s="6"/>
      <c r="AF81" s="6"/>
      <c r="AG81" s="6"/>
      <c r="AH81" s="6"/>
      <c r="AI81" s="6"/>
      <c r="AJ81" s="6"/>
      <c r="AK81" s="5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71"/>
    </row>
    <row r="82" spans="2:54" x14ac:dyDescent="0.35">
      <c r="B82" s="62"/>
      <c r="C82" s="62"/>
      <c r="D82" s="62"/>
      <c r="E82" s="62"/>
      <c r="F82" s="62"/>
      <c r="G82" s="62"/>
      <c r="H82" s="62"/>
      <c r="J82" s="62"/>
      <c r="K82" s="62"/>
      <c r="L82" s="62"/>
      <c r="M82" s="62"/>
      <c r="N82" s="62"/>
      <c r="P82" s="4"/>
      <c r="Q82" s="6"/>
      <c r="R82" s="6" t="s">
        <v>19</v>
      </c>
      <c r="S82" s="49">
        <v>0</v>
      </c>
      <c r="T82" s="50">
        <v>-5.5</v>
      </c>
      <c r="U82" s="50">
        <v>-13.75</v>
      </c>
      <c r="V82" s="50">
        <v>-22</v>
      </c>
      <c r="W82" s="50">
        <v>-33</v>
      </c>
      <c r="X82" s="50">
        <v>-44</v>
      </c>
      <c r="Y82" s="50">
        <f t="shared" si="39"/>
        <v>-118.25</v>
      </c>
      <c r="Z82" s="5"/>
      <c r="AB82" s="4"/>
      <c r="AC82" s="6"/>
      <c r="AD82" s="6"/>
      <c r="AE82" s="6"/>
      <c r="AF82" s="6"/>
      <c r="AG82" s="6"/>
      <c r="AH82" s="6"/>
      <c r="AI82" s="6"/>
      <c r="AJ82" s="6"/>
      <c r="AK82" s="5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71"/>
    </row>
    <row r="83" spans="2:54" x14ac:dyDescent="0.35">
      <c r="B83" s="62"/>
      <c r="C83" s="62"/>
      <c r="D83" s="62"/>
      <c r="E83" s="62"/>
      <c r="F83" s="62"/>
      <c r="G83" s="62"/>
      <c r="H83" s="62"/>
      <c r="J83" s="62"/>
      <c r="K83" s="62"/>
      <c r="L83" s="62"/>
      <c r="M83" s="62"/>
      <c r="N83" s="62"/>
      <c r="P83" s="4"/>
      <c r="Q83" s="6"/>
      <c r="R83" s="10" t="s">
        <v>23</v>
      </c>
      <c r="S83" s="54">
        <v>0</v>
      </c>
      <c r="T83" s="55">
        <v>-7.5</v>
      </c>
      <c r="U83" s="55">
        <v>-18.75</v>
      </c>
      <c r="V83" s="55">
        <v>-30</v>
      </c>
      <c r="W83" s="55">
        <v>-45</v>
      </c>
      <c r="X83" s="55">
        <v>-60</v>
      </c>
      <c r="Y83" s="55">
        <f t="shared" si="39"/>
        <v>-161.25</v>
      </c>
      <c r="Z83" s="5"/>
      <c r="AB83" s="4"/>
      <c r="AC83" s="6"/>
      <c r="AD83" s="6"/>
      <c r="AE83" s="6"/>
      <c r="AF83" s="6"/>
      <c r="AG83" s="6"/>
      <c r="AH83" s="6"/>
      <c r="AI83" s="6"/>
      <c r="AJ83" s="6"/>
      <c r="AK83" s="5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71"/>
    </row>
    <row r="84" spans="2:54" x14ac:dyDescent="0.35">
      <c r="B84" s="62"/>
      <c r="C84" s="62"/>
      <c r="D84" s="62"/>
      <c r="E84" s="62"/>
      <c r="F84" s="62"/>
      <c r="G84" s="62"/>
      <c r="H84" s="62"/>
      <c r="J84" s="62"/>
      <c r="K84" s="62"/>
      <c r="L84" s="62"/>
      <c r="M84" s="62"/>
      <c r="N84" s="62"/>
      <c r="P84" s="4"/>
      <c r="Q84" s="6"/>
      <c r="R84" s="20" t="s">
        <v>25</v>
      </c>
      <c r="S84" s="49">
        <v>0</v>
      </c>
      <c r="T84" s="50">
        <v>0</v>
      </c>
      <c r="U84" s="50">
        <v>0</v>
      </c>
      <c r="V84" s="50">
        <v>0</v>
      </c>
      <c r="W84" s="50">
        <v>0</v>
      </c>
      <c r="X84" s="50">
        <v>0</v>
      </c>
      <c r="Y84" s="50">
        <f t="shared" si="39"/>
        <v>0</v>
      </c>
      <c r="Z84" s="5"/>
      <c r="AB84" s="4"/>
      <c r="AC84" s="6"/>
      <c r="AD84" s="6"/>
      <c r="AE84" s="6"/>
      <c r="AF84" s="6"/>
      <c r="AG84" s="6"/>
      <c r="AH84" s="6"/>
      <c r="AI84" s="6"/>
      <c r="AJ84" s="6"/>
      <c r="AK84" s="5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71"/>
    </row>
    <row r="85" spans="2:54" ht="15" thickBot="1" x14ac:dyDescent="0.4">
      <c r="B85" s="62"/>
      <c r="C85" s="62"/>
      <c r="D85" s="62"/>
      <c r="E85" s="62"/>
      <c r="F85" s="62"/>
      <c r="G85" s="62"/>
      <c r="H85" s="62"/>
      <c r="J85" s="62"/>
      <c r="K85" s="62"/>
      <c r="L85" s="62"/>
      <c r="M85" s="62"/>
      <c r="N85" s="62"/>
      <c r="P85" s="7"/>
      <c r="Q85" s="8"/>
      <c r="R85" s="8"/>
      <c r="S85" s="8"/>
      <c r="T85" s="8"/>
      <c r="U85" s="8"/>
      <c r="V85" s="8"/>
      <c r="W85" s="8"/>
      <c r="X85" s="8"/>
      <c r="Y85" s="8"/>
      <c r="Z85" s="9"/>
      <c r="AB85" s="4"/>
      <c r="AC85" s="6"/>
      <c r="AD85" s="6"/>
      <c r="AE85" s="6"/>
      <c r="AF85" s="6"/>
      <c r="AG85" s="6"/>
      <c r="AH85" s="6"/>
      <c r="AI85" s="6"/>
      <c r="AJ85" s="6"/>
      <c r="AK85" s="5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71"/>
    </row>
    <row r="86" spans="2:54" x14ac:dyDescent="0.35">
      <c r="B86" s="62"/>
      <c r="C86" s="62"/>
      <c r="D86" s="62"/>
      <c r="E86" s="62"/>
      <c r="F86" s="62"/>
      <c r="G86" s="62"/>
      <c r="H86" s="62"/>
      <c r="J86" s="62"/>
      <c r="K86" s="62"/>
      <c r="L86" s="62"/>
      <c r="M86" s="62"/>
      <c r="N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B86" s="4"/>
      <c r="AC86" s="6"/>
      <c r="AD86" s="6"/>
      <c r="AE86" s="6"/>
      <c r="AF86" s="6"/>
      <c r="AG86" s="6"/>
      <c r="AH86" s="6"/>
      <c r="AI86" s="6"/>
      <c r="AJ86" s="6"/>
      <c r="AK86" s="5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71"/>
    </row>
    <row r="87" spans="2:54" x14ac:dyDescent="0.35">
      <c r="B87" s="62"/>
      <c r="C87" s="62"/>
      <c r="D87" s="62"/>
      <c r="E87" s="62"/>
      <c r="F87" s="62"/>
      <c r="G87" s="62"/>
      <c r="H87" s="62"/>
      <c r="J87" s="62"/>
      <c r="K87" s="62"/>
      <c r="L87" s="62"/>
      <c r="M87" s="62"/>
      <c r="N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B87" s="4"/>
      <c r="AC87" s="6"/>
      <c r="AD87" s="6"/>
      <c r="AE87" s="6"/>
      <c r="AF87" s="6"/>
      <c r="AG87" s="6"/>
      <c r="AH87" s="6"/>
      <c r="AI87" s="6"/>
      <c r="AJ87" s="6"/>
      <c r="AK87" s="5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71"/>
    </row>
    <row r="88" spans="2:54" x14ac:dyDescent="0.35">
      <c r="B88" s="62"/>
      <c r="C88" s="62"/>
      <c r="D88" s="62"/>
      <c r="E88" s="62"/>
      <c r="F88" s="62"/>
      <c r="G88" s="62"/>
      <c r="H88" s="62"/>
      <c r="J88" s="62"/>
      <c r="K88" s="62"/>
      <c r="L88" s="62"/>
      <c r="M88" s="62"/>
      <c r="N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B88" s="4"/>
      <c r="AC88" s="6"/>
      <c r="AD88" s="6"/>
      <c r="AE88" s="6"/>
      <c r="AF88" s="6"/>
      <c r="AG88" s="6"/>
      <c r="AH88" s="6"/>
      <c r="AI88" s="6"/>
      <c r="AJ88" s="6"/>
      <c r="AK88" s="5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71"/>
    </row>
    <row r="89" spans="2:54" x14ac:dyDescent="0.35">
      <c r="B89" s="62"/>
      <c r="C89" s="62"/>
      <c r="D89" s="62"/>
      <c r="E89" s="62"/>
      <c r="F89" s="62"/>
      <c r="G89" s="62"/>
      <c r="H89" s="62"/>
      <c r="J89" s="62"/>
      <c r="K89" s="62"/>
      <c r="L89" s="62"/>
      <c r="M89" s="62"/>
      <c r="N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B89" s="4"/>
      <c r="AC89" s="6"/>
      <c r="AD89" s="6"/>
      <c r="AE89" s="6"/>
      <c r="AF89" s="6"/>
      <c r="AG89" s="6"/>
      <c r="AH89" s="6"/>
      <c r="AI89" s="6"/>
      <c r="AJ89" s="6"/>
      <c r="AK89" s="5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71"/>
    </row>
    <row r="90" spans="2:54" x14ac:dyDescent="0.35">
      <c r="B90" s="62"/>
      <c r="C90" s="62"/>
      <c r="D90" s="62"/>
      <c r="E90" s="62"/>
      <c r="F90" s="62"/>
      <c r="G90" s="62"/>
      <c r="H90" s="62"/>
      <c r="J90" s="62"/>
      <c r="K90" s="62"/>
      <c r="L90" s="62"/>
      <c r="M90" s="62"/>
      <c r="N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B90" s="4"/>
      <c r="AC90" s="6"/>
      <c r="AD90" s="6"/>
      <c r="AE90" s="6"/>
      <c r="AF90" s="6"/>
      <c r="AG90" s="6"/>
      <c r="AH90" s="6"/>
      <c r="AI90" s="6"/>
      <c r="AJ90" s="6"/>
      <c r="AK90" s="5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71"/>
    </row>
    <row r="91" spans="2:54" x14ac:dyDescent="0.35">
      <c r="B91" s="62"/>
      <c r="C91" s="62"/>
      <c r="D91" s="62"/>
      <c r="E91" s="62"/>
      <c r="F91" s="62"/>
      <c r="G91" s="62"/>
      <c r="H91" s="62"/>
      <c r="J91" s="62"/>
      <c r="K91" s="62"/>
      <c r="L91" s="62"/>
      <c r="M91" s="62"/>
      <c r="N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B91" s="4"/>
      <c r="AC91" s="6"/>
      <c r="AD91" s="6"/>
      <c r="AE91" s="6"/>
      <c r="AF91" s="6"/>
      <c r="AG91" s="6"/>
      <c r="AH91" s="6"/>
      <c r="AI91" s="6"/>
      <c r="AJ91" s="6"/>
      <c r="AK91" s="5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71"/>
    </row>
    <row r="92" spans="2:54" x14ac:dyDescent="0.35">
      <c r="B92" s="62"/>
      <c r="C92" s="62"/>
      <c r="D92" s="62"/>
      <c r="E92" s="62"/>
      <c r="F92" s="62"/>
      <c r="G92" s="62"/>
      <c r="H92" s="62"/>
      <c r="J92" s="62"/>
      <c r="K92" s="62"/>
      <c r="L92" s="62"/>
      <c r="M92" s="62"/>
      <c r="N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B92" s="4"/>
      <c r="AC92" s="6"/>
      <c r="AD92" s="6"/>
      <c r="AE92" s="6"/>
      <c r="AF92" s="6"/>
      <c r="AG92" s="6"/>
      <c r="AH92" s="6"/>
      <c r="AI92" s="6"/>
      <c r="AJ92" s="6"/>
      <c r="AK92" s="5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71"/>
    </row>
    <row r="93" spans="2:54" x14ac:dyDescent="0.35">
      <c r="B93" s="62"/>
      <c r="C93" s="62"/>
      <c r="D93" s="62"/>
      <c r="E93" s="62"/>
      <c r="F93" s="62"/>
      <c r="G93" s="62"/>
      <c r="H93" s="62"/>
      <c r="J93" s="62"/>
      <c r="K93" s="62"/>
      <c r="L93" s="62"/>
      <c r="M93" s="62"/>
      <c r="N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B93" s="4"/>
      <c r="AC93" s="6"/>
      <c r="AD93" s="6"/>
      <c r="AE93" s="6"/>
      <c r="AF93" s="6"/>
      <c r="AG93" s="6"/>
      <c r="AH93" s="6"/>
      <c r="AI93" s="6"/>
      <c r="AJ93" s="6"/>
      <c r="AK93" s="5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71"/>
    </row>
    <row r="94" spans="2:54" x14ac:dyDescent="0.35">
      <c r="B94" s="62"/>
      <c r="C94" s="62"/>
      <c r="D94" s="62"/>
      <c r="E94" s="62"/>
      <c r="F94" s="62"/>
      <c r="G94" s="62"/>
      <c r="H94" s="62"/>
      <c r="J94" s="62"/>
      <c r="K94" s="62"/>
      <c r="L94" s="62"/>
      <c r="M94" s="62"/>
      <c r="N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B94" s="4"/>
      <c r="AC94" s="6"/>
      <c r="AD94" s="6"/>
      <c r="AE94" s="6"/>
      <c r="AF94" s="6"/>
      <c r="AG94" s="6"/>
      <c r="AH94" s="6"/>
      <c r="AI94" s="6"/>
      <c r="AJ94" s="6"/>
      <c r="AK94" s="5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71"/>
    </row>
    <row r="95" spans="2:54" x14ac:dyDescent="0.35">
      <c r="B95" s="62"/>
      <c r="C95" s="62"/>
      <c r="D95" s="62"/>
      <c r="E95" s="62"/>
      <c r="F95" s="62"/>
      <c r="G95" s="62"/>
      <c r="H95" s="62"/>
      <c r="J95" s="62"/>
      <c r="K95" s="62"/>
      <c r="L95" s="62"/>
      <c r="M95" s="62"/>
      <c r="N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B95" s="4"/>
      <c r="AC95" s="6"/>
      <c r="AD95" s="6"/>
      <c r="AE95" s="6"/>
      <c r="AF95" s="6"/>
      <c r="AG95" s="6"/>
      <c r="AH95" s="6"/>
      <c r="AI95" s="6"/>
      <c r="AJ95" s="6"/>
      <c r="AK95" s="5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71"/>
    </row>
    <row r="96" spans="2:54" x14ac:dyDescent="0.35">
      <c r="B96" s="62"/>
      <c r="C96" s="62"/>
      <c r="D96" s="62"/>
      <c r="E96" s="62"/>
      <c r="F96" s="62"/>
      <c r="G96" s="62"/>
      <c r="H96" s="62"/>
      <c r="J96" s="62"/>
      <c r="K96" s="62"/>
      <c r="L96" s="62"/>
      <c r="M96" s="62"/>
      <c r="N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B96" s="4"/>
      <c r="AC96" s="6"/>
      <c r="AD96" s="6"/>
      <c r="AE96" s="6"/>
      <c r="AF96" s="6"/>
      <c r="AG96" s="6"/>
      <c r="AH96" s="6"/>
      <c r="AI96" s="6"/>
      <c r="AJ96" s="6"/>
      <c r="AK96" s="5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71"/>
    </row>
    <row r="97" spans="2:54" x14ac:dyDescent="0.35">
      <c r="B97" s="62"/>
      <c r="C97" s="62"/>
      <c r="D97" s="62"/>
      <c r="E97" s="62"/>
      <c r="F97" s="62"/>
      <c r="G97" s="62"/>
      <c r="H97" s="62"/>
      <c r="J97" s="62"/>
      <c r="K97" s="62"/>
      <c r="L97" s="62"/>
      <c r="M97" s="62"/>
      <c r="N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B97" s="4"/>
      <c r="AC97" s="6"/>
      <c r="AD97" s="6"/>
      <c r="AE97" s="6"/>
      <c r="AF97" s="6"/>
      <c r="AG97" s="6"/>
      <c r="AH97" s="6"/>
      <c r="AI97" s="6"/>
      <c r="AJ97" s="6"/>
      <c r="AK97" s="5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71"/>
    </row>
    <row r="98" spans="2:54" x14ac:dyDescent="0.35">
      <c r="B98" s="62"/>
      <c r="C98" s="62"/>
      <c r="D98" s="62"/>
      <c r="E98" s="62"/>
      <c r="F98" s="62"/>
      <c r="G98" s="62"/>
      <c r="H98" s="62"/>
      <c r="J98" s="62"/>
      <c r="K98" s="62"/>
      <c r="L98" s="62"/>
      <c r="M98" s="62"/>
      <c r="N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B98" s="4"/>
      <c r="AC98" s="6"/>
      <c r="AD98" s="6"/>
      <c r="AE98" s="6"/>
      <c r="AF98" s="6"/>
      <c r="AG98" s="6"/>
      <c r="AH98" s="6"/>
      <c r="AI98" s="6"/>
      <c r="AJ98" s="6"/>
      <c r="AK98" s="5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71"/>
    </row>
    <row r="99" spans="2:54" ht="15" thickBot="1" x14ac:dyDescent="0.4">
      <c r="B99" s="62"/>
      <c r="C99" s="62"/>
      <c r="D99" s="62"/>
      <c r="E99" s="62"/>
      <c r="F99" s="62"/>
      <c r="G99" s="62"/>
      <c r="H99" s="62"/>
      <c r="J99" s="62"/>
      <c r="K99" s="62"/>
      <c r="L99" s="62"/>
      <c r="M99" s="62"/>
      <c r="N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B99" s="7"/>
      <c r="AC99" s="8"/>
      <c r="AD99" s="8"/>
      <c r="AE99" s="8"/>
      <c r="AF99" s="8"/>
      <c r="AG99" s="8"/>
      <c r="AH99" s="8"/>
      <c r="AI99" s="8"/>
      <c r="AJ99" s="8"/>
      <c r="AK99" s="9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71"/>
    </row>
    <row r="100" spans="2:54" x14ac:dyDescent="0.35">
      <c r="B100" s="62"/>
      <c r="C100" s="62"/>
      <c r="D100" s="62"/>
      <c r="E100" s="62"/>
      <c r="F100" s="62"/>
      <c r="G100" s="62"/>
      <c r="H100" s="62"/>
      <c r="J100" s="62"/>
      <c r="K100" s="62"/>
      <c r="L100" s="62"/>
      <c r="M100" s="62"/>
      <c r="N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71"/>
    </row>
    <row r="101" spans="2:54" x14ac:dyDescent="0.35">
      <c r="B101" s="62"/>
      <c r="C101" s="62"/>
      <c r="D101" s="62"/>
      <c r="E101" s="62"/>
      <c r="F101" s="62"/>
      <c r="G101" s="62"/>
      <c r="H101" s="62"/>
      <c r="J101" s="62"/>
      <c r="K101" s="62"/>
      <c r="L101" s="62"/>
      <c r="M101" s="62"/>
      <c r="N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71"/>
    </row>
    <row r="102" spans="2:54" x14ac:dyDescent="0.35">
      <c r="B102" s="62"/>
      <c r="C102" s="62"/>
      <c r="D102" s="62"/>
      <c r="E102" s="62"/>
      <c r="F102" s="62"/>
      <c r="G102" s="62"/>
      <c r="H102" s="62"/>
      <c r="J102" s="62"/>
      <c r="K102" s="62"/>
      <c r="L102" s="62"/>
      <c r="M102" s="62"/>
      <c r="N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71"/>
    </row>
    <row r="103" spans="2:54" x14ac:dyDescent="0.35">
      <c r="B103" s="62"/>
      <c r="C103" s="62"/>
      <c r="D103" s="62"/>
      <c r="E103" s="62"/>
      <c r="F103" s="62"/>
      <c r="G103" s="62"/>
      <c r="H103" s="62"/>
      <c r="J103" s="62"/>
      <c r="K103" s="62"/>
      <c r="L103" s="62"/>
      <c r="M103" s="62"/>
      <c r="N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71"/>
    </row>
    <row r="104" spans="2:54" x14ac:dyDescent="0.35">
      <c r="B104" s="62"/>
      <c r="C104" s="62"/>
      <c r="D104" s="62"/>
      <c r="E104" s="62"/>
      <c r="F104" s="62"/>
      <c r="G104" s="62"/>
      <c r="H104" s="62"/>
      <c r="J104" s="62"/>
      <c r="K104" s="62"/>
      <c r="L104" s="62"/>
      <c r="M104" s="62"/>
      <c r="N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71"/>
    </row>
    <row r="105" spans="2:54" x14ac:dyDescent="0.35">
      <c r="B105" s="62"/>
      <c r="C105" s="62"/>
      <c r="D105" s="62"/>
      <c r="E105" s="62"/>
      <c r="F105" s="62"/>
      <c r="G105" s="62"/>
      <c r="H105" s="62"/>
      <c r="J105" s="62"/>
      <c r="K105" s="62"/>
      <c r="L105" s="62"/>
      <c r="M105" s="62"/>
      <c r="N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71"/>
    </row>
    <row r="106" spans="2:54" x14ac:dyDescent="0.35">
      <c r="B106" s="62"/>
      <c r="C106" s="62"/>
      <c r="D106" s="62"/>
      <c r="E106" s="62"/>
      <c r="F106" s="62"/>
      <c r="G106" s="62"/>
      <c r="H106" s="62"/>
      <c r="J106" s="62"/>
      <c r="K106" s="62"/>
      <c r="L106" s="62"/>
      <c r="M106" s="62"/>
      <c r="N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2"/>
      <c r="BB106" s="71"/>
    </row>
    <row r="107" spans="2:54" x14ac:dyDescent="0.35"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</row>
  </sheetData>
  <mergeCells count="17">
    <mergeCell ref="AC3:AJ3"/>
    <mergeCell ref="Q32:Q37"/>
    <mergeCell ref="Q25:Q30"/>
    <mergeCell ref="Y42:Y43"/>
    <mergeCell ref="Q44:Q49"/>
    <mergeCell ref="Q51:Q56"/>
    <mergeCell ref="Y61:Y62"/>
    <mergeCell ref="C3:G3"/>
    <mergeCell ref="K18:M18"/>
    <mergeCell ref="Y8:Y9"/>
    <mergeCell ref="Y15:Y16"/>
    <mergeCell ref="Y23:Y24"/>
    <mergeCell ref="C18:G18"/>
    <mergeCell ref="C5:G6"/>
    <mergeCell ref="C8:G8"/>
    <mergeCell ref="C10:G11"/>
    <mergeCell ref="C13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von Hein</dc:creator>
  <cp:lastModifiedBy>Mirko von Hein</cp:lastModifiedBy>
  <dcterms:created xsi:type="dcterms:W3CDTF">2025-01-10T15:44:55Z</dcterms:created>
  <dcterms:modified xsi:type="dcterms:W3CDTF">2025-01-25T17:49:52Z</dcterms:modified>
</cp:coreProperties>
</file>